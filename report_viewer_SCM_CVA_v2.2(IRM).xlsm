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70.200\ユーザー\masayuki.tomizawa\"/>
    </mc:Choice>
  </mc:AlternateContent>
  <bookViews>
    <workbookView xWindow="0" yWindow="0" windowWidth="28800" windowHeight="13050"/>
  </bookViews>
  <sheets>
    <sheet name="report" sheetId="2" r:id="rId1"/>
    <sheet name="report_new" sheetId="3" r:id="rId2"/>
    <sheet name="RW" sheetId="5" r:id="rId3"/>
    <sheet name="Sheet1" sheetId="1" r:id="rId4"/>
    <sheet name="SF" sheetId="4" r:id="rId5"/>
    <sheet name="Analysis" sheetId="6" r:id="rId6"/>
    <sheet name="Sheet6" sheetId="11" r:id="rId7"/>
  </sheets>
  <functionGroups builtInGroupCount="18"/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Key1" hidden="1">#N/A</definedName>
    <definedName name="_Key2" hidden="1">#REF!</definedName>
    <definedName name="_Key3" hidden="1">#REF!</definedName>
    <definedName name="_Order1" hidden="1">255</definedName>
    <definedName name="_Order2" hidden="1">255</definedName>
    <definedName name="_Sort" hidden="1">#REF!</definedName>
    <definedName name="_Sort1" hidden="1">#REF!</definedName>
    <definedName name="a">#REF!</definedName>
    <definedName name="aa">#REF!</definedName>
    <definedName name="aaa">[1]合計表!$I$8</definedName>
    <definedName name="aaaa">[1]合計表!$I$8</definedName>
    <definedName name="BALANCE">[2]Input!$D$5</definedName>
    <definedName name="BALANCE1">[2]Input!$D$5</definedName>
    <definedName name="bb">#REF!</definedName>
    <definedName name="bbb">[1]合計表!$I$9</definedName>
    <definedName name="bbbb">[1]合計表!$I$9</definedName>
    <definedName name="bis1_からのクエリ" localSheetId="0" hidden="1">report!$A$7:$AV$38</definedName>
    <definedName name="bis1_からのクエリ" localSheetId="1" hidden="1">report_new!$A$7:$BQ$36</definedName>
    <definedName name="bis1_からのクエリ" localSheetId="3" hidden="1">Sheet1!$B$1:$B$3</definedName>
    <definedName name="bis1_からのクエリ_1" localSheetId="3" hidden="1">Sheet1!$A$1:$A$102</definedName>
    <definedName name="bis1_からのクエリ_2" localSheetId="3" hidden="1">Sheet1!$C$1:$C$6</definedName>
    <definedName name="bis1_からのクエリ_3" localSheetId="3" hidden="1">Sheet1!$D$1:$E$2</definedName>
    <definedName name="Bksum2">#REF!</definedName>
    <definedName name="cc">#REF!</definedName>
    <definedName name="ccc">[1]合計表!$I$10</definedName>
    <definedName name="cccc">[1]合計表!$I$10</definedName>
    <definedName name="copy">#REF!</definedName>
    <definedName name="CRUDﾏﾄﾘｯｸｽ">#REF!</definedName>
    <definedName name="Cv97SheetGousei" hidden="1">#REF!</definedName>
    <definedName name="dd">#REF!</definedName>
    <definedName name="ddd">[1]合計表!$I$11</definedName>
    <definedName name="dw" hidden="1">{"障害",#N/A,FALSE,"LAN02S";"未試験",#N/A,FALSE,"LAN02S"}</definedName>
    <definedName name="ew" hidden="1">{"障害",#N/A,FALSE,"LAN02S";"未試験",#N/A,FALSE,"LAN02S"}</definedName>
    <definedName name="ff">#REF!</definedName>
    <definedName name="gg">#REF!</definedName>
    <definedName name="gmat">#REF!</definedName>
    <definedName name="GPCol_Convexity">#REF!</definedName>
    <definedName name="GPCol_Country">#REF!</definedName>
    <definedName name="GPCol_Coupon">#REF!</definedName>
    <definedName name="GPCol_Currency">#REF!</definedName>
    <definedName name="GPCol_Current_Face_m">#REF!</definedName>
    <definedName name="GPCol_CUSIP">#REF!</definedName>
    <definedName name="GPCol_Duration">#REF!</definedName>
    <definedName name="GPCol_DV01">#REF!</definedName>
    <definedName name="GPCol_First">#REF!</definedName>
    <definedName name="GPCol_Fitch_Rating">#REF!</definedName>
    <definedName name="GPCol_ISIN">#REF!</definedName>
    <definedName name="GPCol_Market_NAV">#REF!</definedName>
    <definedName name="GPCol_Market_Price_Dec">#REF!</definedName>
    <definedName name="GPCol_Market_Value">#REF!</definedName>
    <definedName name="GPCol_Moody_s_Rating">#REF!</definedName>
    <definedName name="GPCol_Notional_Market_Value">#REF!</definedName>
    <definedName name="GPCol_Notional_of_NAV">#REF!</definedName>
    <definedName name="GPCol_OAS">#REF!</definedName>
    <definedName name="GPCol_Original_Face_m">#REF!</definedName>
    <definedName name="GPCol_Position_Description">#REF!</definedName>
    <definedName name="GPCol_S_P_Rating">#REF!</definedName>
    <definedName name="GPCol_Security_Group">#REF!</definedName>
    <definedName name="GPCol_Security_Type">#REF!</definedName>
    <definedName name="GPCol_SEDOL">#REF!</definedName>
    <definedName name="GPCol_Spread_Duration">#REF!</definedName>
    <definedName name="GPCol_Spread_DV01">#REF!</definedName>
    <definedName name="GPCol_Stated_Maturity">#REF!</definedName>
    <definedName name="GPCol_Underlying_Ticker">#REF!</definedName>
    <definedName name="GPCol_WAL">#REF!</definedName>
    <definedName name="GPCol_Yield_To_Worst">#REF!</definedName>
    <definedName name="GPData">#REF!</definedName>
    <definedName name="ＨＤ提出" hidden="1">[3]上場償却明細!#REF!</definedName>
    <definedName name="HTML_CodePage" hidden="1">932</definedName>
    <definedName name="HTML_Control" hidden="1">{"'見越品'!$A$116:$J$248"}</definedName>
    <definedName name="HTML_Description" hidden="1">""</definedName>
    <definedName name="HTML_Email" hidden="1">""</definedName>
    <definedName name="HTML_Header" hidden="1">""</definedName>
    <definedName name="HTML_LastUpdate" hidden="1">"99/09/24"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"Q:\ionew9-24.htm"</definedName>
    <definedName name="HTML_PathTemplate" hidden="1">"E:\Cost\TEMPLATE.HTM"</definedName>
    <definedName name="HTML_Title" hidden="1">""</definedName>
    <definedName name="HTML1_1" hidden="1">"[price.xls]Sheet1!$A$1:$L$191"</definedName>
    <definedName name="HTML1_10" hidden="1">""</definedName>
    <definedName name="HTML1_11" hidden="1">1</definedName>
    <definedName name="HTML1_12" hidden="1">"I:\saeki\EXCEL\PRICE07.htm"</definedName>
    <definedName name="HTML1_2" hidden="1">1</definedName>
    <definedName name="HTML1_3" hidden="1">"price0718"</definedName>
    <definedName name="HTML1_4" hidden="1">"横堀"</definedName>
    <definedName name="HTML1_5" hidden="1">""</definedName>
    <definedName name="HTML1_6" hidden="1">-4146</definedName>
    <definedName name="HTML1_7" hidden="1">-4146</definedName>
    <definedName name="HTML1_8" hidden="1">"96/07/18"</definedName>
    <definedName name="HTML1_9" hidden="1">"saeki"</definedName>
    <definedName name="HTML10_1" hidden="1">"[横堀1.xls]Sheet1!$A$1:$L$18"</definedName>
    <definedName name="HTML10_11" hidden="1">1</definedName>
    <definedName name="HTML10_12" hidden="1">"K:\WWW_HOME\OPC_HOME\Cost\HONTAI1.htm"</definedName>
    <definedName name="HTML10_2" hidden="1">-4146</definedName>
    <definedName name="HTML10_3" hidden="1">"K:\WWW_HOME\OPC_HOME\Cost\TEMPLATE.htm"</definedName>
    <definedName name="HTML11_1" hidden="1">"[横堀1.xls]Sheet1!$A$19:$L$40"</definedName>
    <definedName name="HTML11_11" hidden="1">1</definedName>
    <definedName name="HTML11_12" hidden="1">"K:\WWW_HOME\OPC_HOME\Cost\HONTAI2.htm"</definedName>
    <definedName name="HTML11_2" hidden="1">-4146</definedName>
    <definedName name="HTML11_3" hidden="1">"K:\WWW_HOME\OPC_HOME\Cost\TEMPLATE.htm"</definedName>
    <definedName name="HTML12_1" hidden="1">"[横堀1.xls]Sheet1!$A$41:$L$60"</definedName>
    <definedName name="HTML12_11" hidden="1">1</definedName>
    <definedName name="HTML12_12" hidden="1">"K:\WWW_HOME\OPC_HOME\Cost\HONTAI3.htm"</definedName>
    <definedName name="HTML12_2" hidden="1">-4146</definedName>
    <definedName name="HTML12_3" hidden="1">"K:\WWW_HOME\OPC_HOME\Cost\TEMPLATE.htm"</definedName>
    <definedName name="HTML13_1" hidden="1">"[横堀1.xls]Sheet1!$A$61:$L$86"</definedName>
    <definedName name="HTML13_11" hidden="1">1</definedName>
    <definedName name="HTML13_12" hidden="1">"K:\WWW_HOME\OPC_HOME\Cost\HONTAI4.htm"</definedName>
    <definedName name="HTML13_2" hidden="1">-4146</definedName>
    <definedName name="HTML13_3" hidden="1">"K:\WWW_HOME\OPC_HOME\Cost\TEMPLATE.htm"</definedName>
    <definedName name="HTML14_1" hidden="1">"[横堀1.xls]Sheet1!$A$88:$L$125"</definedName>
    <definedName name="HTML14_11" hidden="1">1</definedName>
    <definedName name="HTML14_12" hidden="1">"K:\WWW_HOME\OPC_HOME\Cost\IO1.htm"</definedName>
    <definedName name="HTML14_2" hidden="1">-4146</definedName>
    <definedName name="HTML14_3" hidden="1">"K:\WWW_HOME\OPC_HOME\Cost\TEMPLATE.htm"</definedName>
    <definedName name="HTML15_1" hidden="1">"[横堀1.xls]Sheet1!$A$127:$L$159"</definedName>
    <definedName name="HTML15_11" hidden="1">1</definedName>
    <definedName name="HTML15_12" hidden="1">"K:\WWW_HOME\OPC_HOME\Cost\IO2.htm"</definedName>
    <definedName name="HTML15_2" hidden="1">-4146</definedName>
    <definedName name="HTML15_3" hidden="1">"K:\WWW_HOME\OPC_HOME\Cost\TEMPLATE.htm"</definedName>
    <definedName name="HTML16_1" hidden="1">"[横堀1.xls]Sheet1!$A$61:$L$88"</definedName>
    <definedName name="HTML16_11" hidden="1">1</definedName>
    <definedName name="HTML16_12" hidden="1">"K:\WWW_HOME\OPC_HOME\Cost\HONTAI4.htm"</definedName>
    <definedName name="HTML16_2" hidden="1">-4146</definedName>
    <definedName name="HTML16_3" hidden="1">"K:\WWW_HOME\OPC_HOME\Cost\TEMPLATE.htm"</definedName>
    <definedName name="HTML17_1" hidden="1">"[横堀1.xls]Sheet1!$A$90:$L$128"</definedName>
    <definedName name="HTML17_11" hidden="1">1</definedName>
    <definedName name="HTML17_12" hidden="1">"K:\WWW_HOME\OPC_HOME\Cost\IO1.htm"</definedName>
    <definedName name="HTML17_2" hidden="1">-4146</definedName>
    <definedName name="HTML17_3" hidden="1">"K:\WWW_HOME\OPC_HOME\Cost\TEMPLATE.htm"</definedName>
    <definedName name="HTML18_1" hidden="1">"[横堀1.xls]Sheet1!$A$130:$L$162"</definedName>
    <definedName name="HTML18_11" hidden="1">1</definedName>
    <definedName name="HTML18_12" hidden="1">"K:\WWW_HOME\OPC_HOME\Cost\IO2.htm"</definedName>
    <definedName name="HTML18_2" hidden="1">-4146</definedName>
    <definedName name="HTML18_3" hidden="1">"K:\WWW_HOME\OPC_HOME\Cost\TEMPLATE.htm"</definedName>
    <definedName name="HTML19_1" hidden="1">"[横堀1.xls]Sheet1!$A$130:$K$163"</definedName>
    <definedName name="HTML19_11" hidden="1">1</definedName>
    <definedName name="HTML19_12" hidden="1">"K:\WWW_HOME\OPC_HOME\Cost\IO2.htm"</definedName>
    <definedName name="HTML19_2" hidden="1">-4146</definedName>
    <definedName name="HTML19_3" hidden="1">"K:\WWW_HOME\OPC_HOME\Cost\TEMPLATE.htm"</definedName>
    <definedName name="HTML2_1" hidden="1">"[横堀.xls]Sheet1!$B$1:$N$54"</definedName>
    <definedName name="HTML2_10" hidden="1">""</definedName>
    <definedName name="HTML2_11" hidden="1">1</definedName>
    <definedName name="HTML2_12" hidden="1">"D:\DATA\EXCEL\価格提案\HONTAI1.htm"</definedName>
    <definedName name="HTML2_2" hidden="1">1</definedName>
    <definedName name="HTML2_3" hidden="1">"ifStation本体社内価格"</definedName>
    <definedName name="HTML2_4" hidden="1">""</definedName>
    <definedName name="HTML2_5" hidden="1">"W、W95、CS、NTﾀｲﾌﾟの価格にはｷｰﾎﾞｰﾄﾞ、ﾏｳｽが含まれています｡"</definedName>
    <definedName name="HTML2_6" hidden="1">1</definedName>
    <definedName name="HTML2_7" hidden="1">-4146</definedName>
    <definedName name="HTML2_8" hidden="1">"96/07/26"</definedName>
    <definedName name="HTML2_9" hidden="1">"saeki"</definedName>
    <definedName name="HTML20_1" hidden="1">"[横堀1.xls]Sheet1!$A$61:$M$91"</definedName>
    <definedName name="HTML20_11" hidden="1">1</definedName>
    <definedName name="HTML20_12" hidden="1">"K:\WWW_HOME\OPC_HOME\Cost\HONTAI4.htm"</definedName>
    <definedName name="HTML20_2" hidden="1">-4146</definedName>
    <definedName name="HTML20_3" hidden="1">"K:\WWW_HOME\OPC_HOME\Cost\TEMPLATE.htm"</definedName>
    <definedName name="HTML21_1" hidden="1">"[横堀1.xls]Sheet1!$A$93:$M$133"</definedName>
    <definedName name="HTML21_11" hidden="1">1</definedName>
    <definedName name="HTML21_12" hidden="1">"K:\WWW_HOME\OPC_HOME\Cost\IO1.htm"</definedName>
    <definedName name="HTML21_2" hidden="1">-4146</definedName>
    <definedName name="HTML21_3" hidden="1">"K:\WWW_HOME\OPC_HOME\Cost\TEMPLATE.htm"</definedName>
    <definedName name="HTML22_1" hidden="1">"[横堀1.xls]Sheet1!$A$93:$M$132"</definedName>
    <definedName name="HTML22_11" hidden="1">1</definedName>
    <definedName name="HTML22_12" hidden="1">"K:\WWW_HOME\OPC_HOME\Cost\IO1.htm"</definedName>
    <definedName name="HTML22_2" hidden="1">-4146</definedName>
    <definedName name="HTML22_3" hidden="1">"K:\WWW_HOME\OPC_HOME\Cost\TEMPLATE.htm"</definedName>
    <definedName name="HTML23_1" hidden="1">"[横堀1.xls]Sheet1!$A$134:$M$168"</definedName>
    <definedName name="HTML23_11" hidden="1">1</definedName>
    <definedName name="HTML23_12" hidden="1">"K:\WWW_HOME\OPC_HOME\Cost\IO2.htm"</definedName>
    <definedName name="HTML23_2" hidden="1">-4146</definedName>
    <definedName name="HTML23_3" hidden="1">"K:\WWW_HOME\OPC_HOME\Cost\TEMPLATE.htm"</definedName>
    <definedName name="HTML24_1" hidden="1">"[横堀.xls]Sheet1!$A$1:$L$18"</definedName>
    <definedName name="HTML24_11" hidden="1">1</definedName>
    <definedName name="HTML24_12" hidden="1">"L:\wwwroot\OPC_HOME\Cost\HONTAI1.htm"</definedName>
    <definedName name="HTML24_2" hidden="1">-4146</definedName>
    <definedName name="HTML24_3" hidden="1">"L:\wwwroot\OPC_HOME\Cost\TEMPLATE.HTM"</definedName>
    <definedName name="HTML25_1" hidden="1">"[横堀.xls]Sheet1!$A$19:$L$40"</definedName>
    <definedName name="HTML25_11" hidden="1">1</definedName>
    <definedName name="HTML25_12" hidden="1">"L:\wwwroot\OPC_HOME\Cost\Hontai2.htm"</definedName>
    <definedName name="HTML25_2" hidden="1">-4146</definedName>
    <definedName name="HTML25_3" hidden="1">"L:\wwwroot\OPC_HOME\Cost\TEMPLATE.HTM"</definedName>
    <definedName name="HTML26_1" hidden="1">"[横堀.xls]Sheet1!$A$41:$L$60"</definedName>
    <definedName name="HTML26_11" hidden="1">1</definedName>
    <definedName name="HTML26_12" hidden="1">"L:\wwwroot\OPC_HOME\Cost\Hontai3.htm"</definedName>
    <definedName name="HTML26_2" hidden="1">-4146</definedName>
    <definedName name="HTML26_3" hidden="1">"L:\wwwroot\OPC_HOME\Cost\TEMPLATE.HTM"</definedName>
    <definedName name="HTML27_1" hidden="1">"[横堀.xls]Sheet1!$A$61:$L$93"</definedName>
    <definedName name="HTML27_11" hidden="1">1</definedName>
    <definedName name="HTML27_12" hidden="1">"L:\wwwroot\OPC_HOME\Cost\Hontai4.htm"</definedName>
    <definedName name="HTML27_2" hidden="1">-4146</definedName>
    <definedName name="HTML27_3" hidden="1">"L:\wwwroot\OPC_HOME\Cost\TEMPLATE.HTM"</definedName>
    <definedName name="HTML28_1" hidden="1">"[横堀.xls]Sheet1!$A$95:$L$136"</definedName>
    <definedName name="HTML28_11" hidden="1">1</definedName>
    <definedName name="HTML28_12" hidden="1">"L:\wwwroot\OPC_HOME\Cost\Io1.htm"</definedName>
    <definedName name="HTML28_2" hidden="1">-4146</definedName>
    <definedName name="HTML28_3" hidden="1">"L:\wwwroot\OPC_HOME\Cost\TEMPLATE.HTM"</definedName>
    <definedName name="HTML29_1" hidden="1">"[横堀.xls]Sheet1!$A$138:$L$172"</definedName>
    <definedName name="HTML29_11" hidden="1">1</definedName>
    <definedName name="HTML29_12" hidden="1">"L:\wwwroot\OPC_HOME\Cost\Io2.htm"</definedName>
    <definedName name="HTML29_2" hidden="1">-4146</definedName>
    <definedName name="HTML29_3" hidden="1">"L:\wwwroot\OPC_HOME\Cost\TEMPLATE.HTM"</definedName>
    <definedName name="HTML3_1" hidden="1">"[横堀.xls]Sheet1!$B$1:$N$20"</definedName>
    <definedName name="HTML3_10" hidden="1">""</definedName>
    <definedName name="HTML3_11" hidden="1">1</definedName>
    <definedName name="HTML3_12" hidden="1">"D:\DATA\EXCEL\価格提案\hontai1.htm"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"96/08/07"</definedName>
    <definedName name="HTML3_9" hidden="1">"saeki"</definedName>
    <definedName name="HTML30_1" hidden="1">"[横堀.xls]Sheet1!$A$102:$T$146"</definedName>
    <definedName name="HTML30_11" hidden="1">1</definedName>
    <definedName name="HTML30_12" hidden="1">"L:\wwwroot\OPC_HOME\Cost\Io1.htm"</definedName>
    <definedName name="HTML30_2" hidden="1">-4146</definedName>
    <definedName name="HTML30_3" hidden="1">"L:\wwwroot\OPC_HOME\Cost\TEMPLATE.HTM"</definedName>
    <definedName name="HTML31_1" hidden="1">"[横堀.xls]Sheet1!$C$102:$T$146"</definedName>
    <definedName name="HTML31_11" hidden="1">1</definedName>
    <definedName name="HTML31_12" hidden="1">"L:\wwwroot\OPC_HOME\Cost\Io1.htm"</definedName>
    <definedName name="HTML31_2" hidden="1">-4146</definedName>
    <definedName name="HTML31_3" hidden="1">"L:\wwwroot\OPC_HOME\Cost\TEMPLATE.HTM"</definedName>
    <definedName name="HTML32_1" hidden="1">"[横堀.xls]Sheet1!$A$1:$T$20"</definedName>
    <definedName name="HTML32_11" hidden="1">1</definedName>
    <definedName name="HTML32_12" hidden="1">"L:\wwwroot\OPC_HOME\Cost\Hontai1.htm"</definedName>
    <definedName name="HTML32_2" hidden="1">-4146</definedName>
    <definedName name="HTML32_3" hidden="1">"L:\wwwroot\OPC_HOME\Cost\TEMPLATE.HTM"</definedName>
    <definedName name="HTML33_1" hidden="1">"[横堀.xls]Sheet1!$A$21:$T$42"</definedName>
    <definedName name="HTML33_11" hidden="1">1</definedName>
    <definedName name="HTML33_12" hidden="1">"L:\wwwroot\OPC_HOME\Cost\Hontai2.htm"</definedName>
    <definedName name="HTML33_2" hidden="1">-4146</definedName>
    <definedName name="HTML33_3" hidden="1">"L:\wwwroot\OPC_HOME\Cost\TEMPLATE.HTM"</definedName>
    <definedName name="HTML34_1" hidden="1">"[横堀.xls]Sheet1!$A$43:$T$62"</definedName>
    <definedName name="HTML34_11" hidden="1">1</definedName>
    <definedName name="HTML34_12" hidden="1">"L:\wwwroot\OPC_HOME\Cost\Hontai3.htm"</definedName>
    <definedName name="HTML34_2" hidden="1">-4146</definedName>
    <definedName name="HTML34_3" hidden="1">"L:\wwwroot\OPC_HOME\Cost\TEMPLATE.HTM"</definedName>
    <definedName name="HTML35_1" hidden="1">"[横堀.xls]Sheet1!$A$63:$T$100"</definedName>
    <definedName name="HTML35_11" hidden="1">1</definedName>
    <definedName name="HTML35_12" hidden="1">"L:\wwwroot\OPC_HOME\Cost\Hontai4.htm"</definedName>
    <definedName name="HTML35_2" hidden="1">-4146</definedName>
    <definedName name="HTML35_3" hidden="1">"L:\wwwroot\OPC_HOME\Cost\TEMPLATE.HTM"</definedName>
    <definedName name="HTML36_1" hidden="1">"[横堀.xls]Sheet1!$A$148:$T$185"</definedName>
    <definedName name="HTML36_11" hidden="1">1</definedName>
    <definedName name="HTML36_12" hidden="1">"L:\wwwroot\OPC_HOME\Cost\Io2.htm"</definedName>
    <definedName name="HTML36_2" hidden="1">-4146</definedName>
    <definedName name="HTML36_3" hidden="1">"L:\wwwroot\OPC_HOME\Cost\TEMPLATE.HTM"</definedName>
    <definedName name="HTML37_1" hidden="1">"[横堀.xls]Sheet1!$A$102:$T$151"</definedName>
    <definedName name="HTML37_11" hidden="1">1</definedName>
    <definedName name="HTML37_12" hidden="1">"L:\wwwroot\OPC_HOME\Cost\Io1.htm"</definedName>
    <definedName name="HTML37_2" hidden="1">-4146</definedName>
    <definedName name="HTML37_3" hidden="1">"L:\wwwroot\OPC_HOME\Cost\TEMPLATE.HTM"</definedName>
    <definedName name="HTML38_1" hidden="1">"[横堀.xls]Sheet1!$A$1:$T$27"</definedName>
    <definedName name="HTML38_11" hidden="1">1</definedName>
    <definedName name="HTML38_12" hidden="1">"L:\wwwroot\OPC_HOME\Cost\Hontai1.htm"</definedName>
    <definedName name="HTML38_2" hidden="1">-4146</definedName>
    <definedName name="HTML38_3" hidden="1">"L:\wwwroot\OPC_HOME\Cost\TEMPLATE.HTM"</definedName>
    <definedName name="HTML39_1" hidden="1">"[横堀.xls]Sheet1!$A$109:$T$159"</definedName>
    <definedName name="HTML39_11" hidden="1">1</definedName>
    <definedName name="HTML39_12" hidden="1">"L:\wwwroot\OPC_HOME\Cost\Io1.htm"</definedName>
    <definedName name="HTML39_2" hidden="1">-4146</definedName>
    <definedName name="HTML39_3" hidden="1">"L:\wwwroot\OPC_HOME\Cost\TEMPLATE.HTM"</definedName>
    <definedName name="HTML4_1" hidden="1">"[横堀.xls]Sheet1!$B$1:$N$17"</definedName>
    <definedName name="HTML4_10" hidden="1">""</definedName>
    <definedName name="HTML4_11" hidden="1">1</definedName>
    <definedName name="HTML4_12" hidden="1">"K:\WWW_HOME\OPC_HOME\Cost\HONTAI1.htm"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"96/08/07"</definedName>
    <definedName name="HTML4_9" hidden="1">"saeki"</definedName>
    <definedName name="HTML40_1" hidden="1">"[横堀.xls]Sheet1!$A$109:$T$160"</definedName>
    <definedName name="HTML40_11" hidden="1">1</definedName>
    <definedName name="HTML40_12" hidden="1">"L:\wwwroot\OPC_HOME\Cost\Io1.htm"</definedName>
    <definedName name="HTML40_2" hidden="1">-4146</definedName>
    <definedName name="HTML40_3" hidden="1">"L:\wwwroot\OPC_HOME\Cost\TEMPLATE.HTM"</definedName>
    <definedName name="HTML41_1" hidden="1">"[横堀.xls]Sheet1!$A$162:$S$199"</definedName>
    <definedName name="HTML41_11" hidden="1">1</definedName>
    <definedName name="HTML41_12" hidden="1">"L:\wwwroot\OPC_HOME\Cost\Io2.htm"</definedName>
    <definedName name="HTML41_2" hidden="1">-4146</definedName>
    <definedName name="HTML41_3" hidden="1">"L:\wwwroot\OPC_HOME\Cost\TEMPLATE.HTM"</definedName>
    <definedName name="HTML42_1" hidden="1">"'[横堀.xls]97年度価格'!$A$1:$W$18"</definedName>
    <definedName name="HTML42_11" hidden="1">1</definedName>
    <definedName name="HTML42_12" hidden="1">"L:\wwwroot\OPC_HOME\Cost\Hontai1.htm"</definedName>
    <definedName name="HTML42_2" hidden="1">-4146</definedName>
    <definedName name="HTML42_3" hidden="1">"L:\wwwroot\OPC_HOME\Cost\TEMPLATE.HTM"</definedName>
    <definedName name="HTML43_1" hidden="1">"'[横堀.xls]97年度価格'!$A$19:$U$36"</definedName>
    <definedName name="HTML43_11" hidden="1">1</definedName>
    <definedName name="HTML43_12" hidden="1">"L:\wwwroot\OPC_HOME\Cost\Hontai2.htm"</definedName>
    <definedName name="HTML43_2" hidden="1">-4146</definedName>
    <definedName name="HTML43_3" hidden="1">"L:\wwwroot\OPC_HOME\Cost\TEMPLATE.HTM"</definedName>
    <definedName name="HTML44_1" hidden="1">"'[横堀.xls]97年度価格'!$A$37:$W$76"</definedName>
    <definedName name="HTML44_11" hidden="1">1</definedName>
    <definedName name="HTML44_12" hidden="1">"L:\wwwroot\OPC_HOME\Cost\Hontai3.htm"</definedName>
    <definedName name="HTML44_2" hidden="1">-4146</definedName>
    <definedName name="HTML44_3" hidden="1">"L:\wwwroot\OPC_HOME\Cost\TEMPLATE.HTM"</definedName>
    <definedName name="HTML45_1" hidden="1">"'[横堀.xls]97年度価格'!$A$78:$W$136"</definedName>
    <definedName name="HTML45_11" hidden="1">1</definedName>
    <definedName name="HTML45_12" hidden="1">"L:\wwwroot\OPC_HOME\Cost\Io1.htm"</definedName>
    <definedName name="HTML45_2" hidden="1">-4146</definedName>
    <definedName name="HTML45_3" hidden="1">"L:\wwwroot\OPC_HOME\Cost\TEMPLATE.HTM"</definedName>
    <definedName name="HTML46_1" hidden="1">"'[横堀.xls]97年度価格'!$A$138:$U$181"</definedName>
    <definedName name="HTML46_11" hidden="1">1</definedName>
    <definedName name="HTML46_12" hidden="1">"L:\wwwroot\OPC_HOME\Cost\Io2.htm"</definedName>
    <definedName name="HTML46_2" hidden="1">-4146</definedName>
    <definedName name="HTML46_3" hidden="1">"L:\wwwroot\OPC_HOME\Cost\TEMPLATE.HTM"</definedName>
    <definedName name="HTML47_1" hidden="1">"'[横堀.xls]97年度価格'!$A$138:$V$181"</definedName>
    <definedName name="HTML47_11" hidden="1">1</definedName>
    <definedName name="HTML47_12" hidden="1">"L:\wwwroot\OPC_HOME\Cost\Io2.htm"</definedName>
    <definedName name="HTML47_2" hidden="1">-4146</definedName>
    <definedName name="HTML47_3" hidden="1">"L:\wwwroot\OPC_HOME\Cost\TEMPLATE.HTM"</definedName>
    <definedName name="HTML48_1" hidden="1">"'[横堀.xls]97年度価格'!$A$78:$V$117"</definedName>
    <definedName name="HTML48_11" hidden="1">1</definedName>
    <definedName name="HTML48_12" hidden="1">"L:\wwwroot\OPC_HOME\Cost\Io1.htm"</definedName>
    <definedName name="HTML48_2" hidden="1">-4146</definedName>
    <definedName name="HTML48_3" hidden="1">"L:\wwwroot\OPC_HOME\Cost\TEMPLATE.HTM"</definedName>
    <definedName name="HTML49_1" hidden="1">"'[横堀.xls]97年度価格'!$A$119:$V$132"</definedName>
    <definedName name="HTML49_11" hidden="1">1</definedName>
    <definedName name="HTML49_12" hidden="1">"L:\wwwroot\OPC_HOME\Cost\Io2.htm"</definedName>
    <definedName name="HTML49_2" hidden="1">-4146</definedName>
    <definedName name="HTML49_3" hidden="1">"L:\wwwroot\OPC_HOME\Cost\TEMPLATE.HTM"</definedName>
    <definedName name="HTML5_1" hidden="1">"[横堀.xls]Sheet1!$B$18:$N$38"</definedName>
    <definedName name="HTML5_10" hidden="1">""</definedName>
    <definedName name="HTML5_11" hidden="1">1</definedName>
    <definedName name="HTML5_12" hidden="1">"K:\WWW_HOME\OPC_HOME\Cost\HONTAI2.htm"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"96/08/07"</definedName>
    <definedName name="HTML5_9" hidden="1">"saeki"</definedName>
    <definedName name="HTML50_1" hidden="1">"'[横堀.xls]97年度価格'!$A$134:$V$185"</definedName>
    <definedName name="HTML50_11" hidden="1">1</definedName>
    <definedName name="HTML50_12" hidden="1">"L:\wwwroot\OPC_HOME\Cost\IO3.htm"</definedName>
    <definedName name="HTML50_2" hidden="1">-4146</definedName>
    <definedName name="HTML50_3" hidden="1">"L:\wwwroot\OPC_HOME\Cost\TEMPLATE.HTM"</definedName>
    <definedName name="HTML51_1" hidden="1">"'[横堀.xls]97年度価格'!$A$187:$U$205"</definedName>
    <definedName name="HTML51_11" hidden="1">1</definedName>
    <definedName name="HTML51_12" hidden="1">"L:\wwwroot\OPC_HOME\Cost\IO4.htm"</definedName>
    <definedName name="HTML51_2" hidden="1">-4146</definedName>
    <definedName name="HTML51_3" hidden="1">"L:\wwwroot\OPC_HOME\Cost\TEMPLATE.HTM"</definedName>
    <definedName name="HTML52_1" hidden="1">"'[横堀.xls]97年度価格'!$A$134:$V$186"</definedName>
    <definedName name="HTML52_11" hidden="1">1</definedName>
    <definedName name="HTML52_12" hidden="1">"L:\wwwroot\OPC_HOME\Cost\IO3.htm"</definedName>
    <definedName name="HTML52_2" hidden="1">-4146</definedName>
    <definedName name="HTML52_3" hidden="1">"L:\wwwroot\OPC_HOME\Cost\TEMPLATE.HTM"</definedName>
    <definedName name="HTML53_1" hidden="1">"'[横堀.xls]97年度価格'!$A$78:$V$118"</definedName>
    <definedName name="HTML53_11" hidden="1">1</definedName>
    <definedName name="HTML53_12" hidden="1">"L:\wwwroot\OPC_HOME\Cost\Io1.htm"</definedName>
    <definedName name="HTML53_2" hidden="1">-4146</definedName>
    <definedName name="HTML53_3" hidden="1">"L:\wwwroot\OPC_HOME\Cost\TEMPLATE.HTM"</definedName>
    <definedName name="HTML54_1" hidden="1">"'[横堀.xls]97年度価格'!$A$19:$W$36"</definedName>
    <definedName name="HTML54_11" hidden="1">1</definedName>
    <definedName name="HTML54_12" hidden="1">"L:\wwwroot\OPC_HOME\Cost\Hontai2.htm"</definedName>
    <definedName name="HTML54_2" hidden="1">-4146</definedName>
    <definedName name="HTML54_3" hidden="1">"L:\wwwroot\OPC_HOME\Cost\TEMPLATE.HTM"</definedName>
    <definedName name="HTML55_1" hidden="1">"'[横堀.xls]97年度価格'!$B$189:$U$207"</definedName>
    <definedName name="HTML55_11" hidden="1">1</definedName>
    <definedName name="HTML55_12" hidden="1">"L:\wwwroot\OPC_HOME\Cost\IO4.htm"</definedName>
    <definedName name="HTML55_2" hidden="1">-4146</definedName>
    <definedName name="HTML55_3" hidden="1">"L:\wwwroot\OPC_HOME\Cost\TEMPLATE.HTM"</definedName>
    <definedName name="HTML56_1" hidden="1">"'[横堀.xls]97年度価格'!$A$135:$V$187"</definedName>
    <definedName name="HTML56_11" hidden="1">1</definedName>
    <definedName name="HTML56_12" hidden="1">"L:\wwwroot\OPC_HOME\Cost\IO3.htm"</definedName>
    <definedName name="HTML56_2" hidden="1">-4146</definedName>
    <definedName name="HTML56_3" hidden="1">"L:\wwwroot\OPC_HOME\Cost\TEMPLATE.HTM"</definedName>
    <definedName name="HTML57_1" hidden="1">"'[横堀.xls]97年度価格'!$A$1:$W$20"</definedName>
    <definedName name="HTML57_11" hidden="1">1</definedName>
    <definedName name="HTML57_12" hidden="1">"L:\wwwroot\OPC_HOME\Cost\Hontai1.htm"</definedName>
    <definedName name="HTML57_2" hidden="1">-4146</definedName>
    <definedName name="HTML57_3" hidden="1">"L:\wwwroot\OPC_HOME\Cost\TEMPLATE.HTM"</definedName>
    <definedName name="HTML58_1" hidden="1">"'[横堀.xls]97年度価格'!$A$39:$W$78"</definedName>
    <definedName name="HTML58_11" hidden="1">1</definedName>
    <definedName name="HTML58_12" hidden="1">"L:\wwwroot\OPC_HOME\Cost\Hontai3.htm"</definedName>
    <definedName name="HTML58_2" hidden="1">-4146</definedName>
    <definedName name="HTML58_3" hidden="1">"L:\wwwroot\OPC_HOME\Cost\TEMPLATE.HTM"</definedName>
    <definedName name="HTML59_1" hidden="1">"'[横堀.xls]97年度価格'!$A$80:$V$123"</definedName>
    <definedName name="HTML59_11" hidden="1">1</definedName>
    <definedName name="HTML59_12" hidden="1">"L:\wwwroot\OPC_HOME\Cost\Io1.htm"</definedName>
    <definedName name="HTML59_2" hidden="1">-4146</definedName>
    <definedName name="HTML59_3" hidden="1">"L:\wwwroot\OPC_HOME\Cost\TEMPLATE.HTM"</definedName>
    <definedName name="HTML6_1" hidden="1">"[横堀.xls]Sheet1!$B$39:$N$58"</definedName>
    <definedName name="HTML6_10" hidden="1">""</definedName>
    <definedName name="HTML6_11" hidden="1">1</definedName>
    <definedName name="HTML6_12" hidden="1">"K:\WWW_HOME\OPC_HOME\Cost\HONTAI3.htm"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"96/08/07"</definedName>
    <definedName name="HTML6_9" hidden="1">"saeki"</definedName>
    <definedName name="HTML60_1" hidden="1">"'[横堀.xls]97年度価格'!$A$140:$V$195"</definedName>
    <definedName name="HTML60_11" hidden="1">1</definedName>
    <definedName name="HTML60_12" hidden="1">"L:\wwwroot\OPC_HOME\Cost\IO3.htm"</definedName>
    <definedName name="HTML60_2" hidden="1">-4146</definedName>
    <definedName name="HTML60_3" hidden="1">"L:\wwwroot\OPC_HOME\Cost\TEMPLATE.HTM"</definedName>
    <definedName name="HTML61_1" hidden="1">"'[横堀.xls]97年度価格'!$A$39:$W$83"</definedName>
    <definedName name="HTML61_11" hidden="1">1</definedName>
    <definedName name="HTML61_12" hidden="1">"L:\wwwroot\OPC_HOME\Cost\Hontai3.htm"</definedName>
    <definedName name="HTML61_2" hidden="1">-4146</definedName>
    <definedName name="HTML61_3" hidden="1">"L:\wwwroot\OPC_HOME\Cost\TEMPLATE.HTM"</definedName>
    <definedName name="HTML62_1" hidden="1">"'[横堀.xls]97年度価格'!$A$84:$V$127"</definedName>
    <definedName name="HTML62_11" hidden="1">1</definedName>
    <definedName name="HTML62_12" hidden="1">"L:\wwwroot\OPC_HOME\Cost\Io1.htm"</definedName>
    <definedName name="HTML62_2" hidden="1">-4146</definedName>
    <definedName name="HTML62_3" hidden="1">"L:\wwwroot\OPC_HOME\Cost\TEMPLATE.HTM"</definedName>
    <definedName name="HTML63_1" hidden="1">"'[横堀NEW.xls]97年度価格'!$E$1:$H$8"</definedName>
    <definedName name="HTML63_11" hidden="1">1</definedName>
    <definedName name="HTML63_12" hidden="1">"K:\Cost\Hontai01.htm"</definedName>
    <definedName name="HTML63_2" hidden="1">-4146</definedName>
    <definedName name="HTML63_3" hidden="1">"K:\Cost\TEMPLATE.HTM"</definedName>
    <definedName name="HTML64_1" hidden="1">"'[横堀NEW.xls]97年度価格'!$B$10:$Y$20"</definedName>
    <definedName name="HTML64_11" hidden="1">1</definedName>
    <definedName name="HTML64_12" hidden="1">"K:\Cost\Hontai1.htm"</definedName>
    <definedName name="HTML64_2" hidden="1">-4146</definedName>
    <definedName name="HTML64_3" hidden="1">"K:\Cost\TEMPLATE.HTM"</definedName>
    <definedName name="HTML65_1" hidden="1">"'[横堀NEW.xls]97年度価格'!$A$21:$W$34"</definedName>
    <definedName name="HTML65_11" hidden="1">1</definedName>
    <definedName name="HTML65_12" hidden="1">"K:\Cost\Hontai2.htm"</definedName>
    <definedName name="HTML65_2" hidden="1">-4146</definedName>
    <definedName name="HTML65_3" hidden="1">"K:\Cost\TEMPLATE.HTM"</definedName>
    <definedName name="HTML66_1" hidden="1">"'[横堀NEW.xls]97年度価格'!$B$35:$X$64"</definedName>
    <definedName name="HTML66_11" hidden="1">1</definedName>
    <definedName name="HTML66_12" hidden="1">"K:\Cost\Hontai3.htm"</definedName>
    <definedName name="HTML66_2" hidden="1">-4146</definedName>
    <definedName name="HTML66_3" hidden="1">"K:\Cost\TEMPLATE.HTM"</definedName>
    <definedName name="HTML67_1" hidden="1">"'[横堀NEW.xls]97年度価格'!$A$66:$W$102"</definedName>
    <definedName name="HTML67_11" hidden="1">1</definedName>
    <definedName name="HTML67_12" hidden="1">"K:\Cost\Io1.htm"</definedName>
    <definedName name="HTML67_2" hidden="1">-4146</definedName>
    <definedName name="HTML67_3" hidden="1">"K:\Cost\TEMPLATE.HTM"</definedName>
    <definedName name="HTML68_1" hidden="1">"'[横堀NEW.xls]97年度価格'!$A$104:$W$117"</definedName>
    <definedName name="HTML68_11" hidden="1">1</definedName>
    <definedName name="HTML68_12" hidden="1">"K:\Cost\Io2.htm"</definedName>
    <definedName name="HTML68_2" hidden="1">-4146</definedName>
    <definedName name="HTML68_3" hidden="1">"K:\Cost\TEMPLATE.HTM"</definedName>
    <definedName name="HTML69_1" hidden="1">"'[横堀NEW.xls]97年度価格'!$A$119:$X$173"</definedName>
    <definedName name="HTML69_11" hidden="1">1</definedName>
    <definedName name="HTML69_12" hidden="1">"K:\Cost\IO3.htm"</definedName>
    <definedName name="HTML69_2" hidden="1">-4146</definedName>
    <definedName name="HTML69_3" hidden="1">"K:\Cost\TEMPLATE.HTM"</definedName>
    <definedName name="HTML7_1" hidden="1">"[横堀.xls]Sheet1!$B$86:$N$122"</definedName>
    <definedName name="HTML7_10" hidden="1">""</definedName>
    <definedName name="HTML7_11" hidden="1">1</definedName>
    <definedName name="HTML7_12" hidden="1">"K:\WWW_HOME\OPC_HOME\Cost\IO1.htm"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"96/08/07"</definedName>
    <definedName name="HTML7_9" hidden="1">"saeki"</definedName>
    <definedName name="HTML70_1" hidden="1">"'[横堀NEW.xls]97年度価格'!$A$175:$W$193"</definedName>
    <definedName name="HTML70_11" hidden="1">1</definedName>
    <definedName name="HTML70_12" hidden="1">"K:\Cost\IO4.htm"</definedName>
    <definedName name="HTML70_2" hidden="1">-4146</definedName>
    <definedName name="HTML70_3" hidden="1">"K:\Cost\TEMPLATE.HTM"</definedName>
    <definedName name="HTML71_1" hidden="1">"'[Yokobori.xls]97年度価格'!$A$66:$X$104"</definedName>
    <definedName name="HTML71_11" hidden="1">1</definedName>
    <definedName name="HTML71_12" hidden="1">"K:\Cost\Io1.htm"</definedName>
    <definedName name="HTML71_2" hidden="1">-4146</definedName>
    <definedName name="HTML71_3" hidden="1">"K:\Cost\TEMPLATE.HTM"</definedName>
    <definedName name="HTML72_1" hidden="1">"'[Yokobori.xls]97年度価格'!$A$21:$W$34"</definedName>
    <definedName name="HTML72_11" hidden="1">1</definedName>
    <definedName name="HTML72_12" hidden="1">"K:\Cost\Hontai2.htm"</definedName>
    <definedName name="HTML72_2" hidden="1">-4146</definedName>
    <definedName name="HTML72_3" hidden="1">"K:\Cost\TEMPLATE.HTM"</definedName>
    <definedName name="HTML73_1" hidden="1">"'[Yokobori.xls]97年度価格'!$A$121:$X$175"</definedName>
    <definedName name="HTML73_11" hidden="1">1</definedName>
    <definedName name="HTML73_12" hidden="1">"K:\Cost\IO3.htm"</definedName>
    <definedName name="HTML73_2" hidden="1">-4146</definedName>
    <definedName name="HTML73_3" hidden="1">"K:\Cost\TEMPLATE.HTM"</definedName>
    <definedName name="HTML74_1" hidden="1">"'[Yokobori.xls]97年度価格'!$A$177:$W$195"</definedName>
    <definedName name="HTML74_11" hidden="1">1</definedName>
    <definedName name="HTML74_12" hidden="1">"K:\Cost\IO4.htm"</definedName>
    <definedName name="HTML74_2" hidden="1">-4146</definedName>
    <definedName name="HTML74_3" hidden="1">"K:\Cost\TEMPLATE.HTM"</definedName>
    <definedName name="HTML75_1" hidden="1">"'[Yokobori.xls]98年度価格'!$B$106:$V$119"</definedName>
    <definedName name="HTML75_11" hidden="1">1</definedName>
    <definedName name="HTML75_12" hidden="1">"K:\Cost\Io2.htm"</definedName>
    <definedName name="HTML75_2" hidden="1">-4146</definedName>
    <definedName name="HTML75_3" hidden="1">"K:\Cost\TEMPLATE.HTM"</definedName>
    <definedName name="HTML76_1" hidden="1">"'[Yokobori.xls]98年度価格'!$A$121:$W$175"</definedName>
    <definedName name="HTML76_11" hidden="1">1</definedName>
    <definedName name="HTML76_12" hidden="1">"K:\Cost\IO3.htm"</definedName>
    <definedName name="HTML76_2" hidden="1">-4146</definedName>
    <definedName name="HTML76_3" hidden="1">"K:\Cost\TEMPLATE.HTM"</definedName>
    <definedName name="HTML77_1" hidden="1">"'[Yokobori.xls]98年度価格'!$B$177:$V$195"</definedName>
    <definedName name="HTML77_11" hidden="1">1</definedName>
    <definedName name="HTML77_12" hidden="1">"K:\Cost\IO4.htm"</definedName>
    <definedName name="HTML77_2" hidden="1">-4146</definedName>
    <definedName name="HTML77_3" hidden="1">"K:\Cost\TEMPLATE.HTM"</definedName>
    <definedName name="HTML78_1" hidden="1">"'[Yokobori.xls]98年度価格'!$A$66:$W$104"</definedName>
    <definedName name="HTML78_11" hidden="1">1</definedName>
    <definedName name="HTML78_12" hidden="1">"K:\Cost\Io1.htm"</definedName>
    <definedName name="HTML78_2" hidden="1">-4146</definedName>
    <definedName name="HTML78_3" hidden="1">"K:\Cost\TEMPLATE.HTM"</definedName>
    <definedName name="HTML79_1" hidden="1">"'[Yokobori.xls]98年度価格'!$A$177:$W$196"</definedName>
    <definedName name="HTML79_11" hidden="1">1</definedName>
    <definedName name="HTML79_12" hidden="1">"K:\Cost\IO4.htm"</definedName>
    <definedName name="HTML79_2" hidden="1">-4146</definedName>
    <definedName name="HTML79_3" hidden="1">"K:\Cost\TEMPLATE.HTM"</definedName>
    <definedName name="HTML8_1" hidden="1">"[横堀.xls]Sheet1!$B$124:$N$156"</definedName>
    <definedName name="HTML8_10" hidden="1">""</definedName>
    <definedName name="HTML8_11" hidden="1">1</definedName>
    <definedName name="HTML8_12" hidden="1">"K:\WWW_HOME\OPC_HOME\Cost\IO2.htm"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"96/08/07"</definedName>
    <definedName name="HTML8_9" hidden="1">"saeki"</definedName>
    <definedName name="HTML80_1" hidden="1">"'[Yokobori.xls]98年度価格'!$B$1:$X$13"</definedName>
    <definedName name="HTML80_11" hidden="1">1</definedName>
    <definedName name="HTML80_12" hidden="1">"K:\Cost\Hontai1.htm"</definedName>
    <definedName name="HTML80_2" hidden="1">-4146</definedName>
    <definedName name="HTML80_3" hidden="1">"K:\Cost\TEMPLATE.HTM"</definedName>
    <definedName name="HTML81_1" hidden="1">"'[Yokobori.xls]98年度価格'!$A$14:$V$29"</definedName>
    <definedName name="HTML81_11" hidden="1">1</definedName>
    <definedName name="HTML81_12" hidden="1">"K:\Cost\Hontai2.htm"</definedName>
    <definedName name="HTML81_2" hidden="1">-4146</definedName>
    <definedName name="HTML81_3" hidden="1">"K:\Cost\TEMPLATE.HTM"</definedName>
    <definedName name="HTML82_1" hidden="1">"'[Yokobori.xls]98年度価格'!$A$30:$X$61"</definedName>
    <definedName name="HTML82_11" hidden="1">1</definedName>
    <definedName name="HTML82_12" hidden="1">"K:\Cost\Hontai3.htm"</definedName>
    <definedName name="HTML82_2" hidden="1">-4146</definedName>
    <definedName name="HTML82_3" hidden="1">"K:\Cost\TEMPLATE.HTM"</definedName>
    <definedName name="HTML83_1" hidden="1">"'[Yokobori.xls]98年度価格'!$A$63:$W$103"</definedName>
    <definedName name="HTML83_11" hidden="1">1</definedName>
    <definedName name="HTML83_12" hidden="1">"K:\Cost\Io1.htm"</definedName>
    <definedName name="HTML83_2" hidden="1">-4146</definedName>
    <definedName name="HTML83_3" hidden="1">"K:\Cost\TEMPLATE.HTM"</definedName>
    <definedName name="HTML84_1" hidden="1">"'[Yokobori.xls]98年度価格'!$A$1:$X$13"</definedName>
    <definedName name="HTML84_11" hidden="1">1</definedName>
    <definedName name="HTML84_12" hidden="1">"K:\Cost\Hontai1.htm"</definedName>
    <definedName name="HTML84_2" hidden="1">-4146</definedName>
    <definedName name="HTML84_3" hidden="1">"K:\Cost\TEMPLATE.HTM"</definedName>
    <definedName name="HTML85_1" hidden="1">"'[Yokobori.xls]98年度価格'!$A$30:$W$61"</definedName>
    <definedName name="HTML85_11" hidden="1">1</definedName>
    <definedName name="HTML85_12" hidden="1">"K:\Cost\Hontai3.htm"</definedName>
    <definedName name="HTML85_2" hidden="1">-4146</definedName>
    <definedName name="HTML85_3" hidden="1">"K:\Cost\TEMPLATE.HTM"</definedName>
    <definedName name="HTML86_1" hidden="1">"[Yokobori.xls]CTO生産品!$A$1:$G$65"</definedName>
    <definedName name="HTML86_11" hidden="1">1</definedName>
    <definedName name="HTML86_12" hidden="1">"K:\Cost\Hontai4.htm"</definedName>
    <definedName name="HTML86_2" hidden="1">-4146</definedName>
    <definedName name="HTML86_3" hidden="1">"K:\Cost\TEMPLATE.HTM"</definedName>
    <definedName name="HTML87_1" hidden="1">"[Yokobori.xls]従来製品!$A$1:$X$13"</definedName>
    <definedName name="HTML87_11" hidden="1">1</definedName>
    <definedName name="HTML87_12" hidden="1">"K:\Cost\Hontai1.htm"</definedName>
    <definedName name="HTML87_2" hidden="1">-4146</definedName>
    <definedName name="HTML87_3" hidden="1">"K:\Cost\TEMPLATE.HTM"</definedName>
    <definedName name="HTML88_1" hidden="1">"[Yokobori.xls]従来製品!$A$30:$W$64"</definedName>
    <definedName name="HTML88_11" hidden="1">1</definedName>
    <definedName name="HTML88_12" hidden="1">"K:\Cost\Hontai3.htm"</definedName>
    <definedName name="HTML88_2" hidden="1">-4146</definedName>
    <definedName name="HTML88_3" hidden="1">"K:\Cost\TEMPLATE.HTM"</definedName>
    <definedName name="HTML89_1" hidden="1">"[Yokobori.xls]従来製品!$A$30:$X$64"</definedName>
    <definedName name="HTML89_11" hidden="1">1</definedName>
    <definedName name="HTML89_12" hidden="1">"K:\Cost\Hontai3.htm"</definedName>
    <definedName name="HTML89_2" hidden="1">-4146</definedName>
    <definedName name="HTML89_3" hidden="1">"K:\Cost\TEMPLATE.HTM"</definedName>
    <definedName name="HTML9_1" hidden="1">"[横堀.xls]Sheet1!$B$59:$N$84"</definedName>
    <definedName name="HTML9_10" hidden="1">""</definedName>
    <definedName name="HTML9_11" hidden="1">1</definedName>
    <definedName name="HTML9_12" hidden="1">"K:\WWW_HOME\OPC_HOME\Cost\HONTAI4.htm"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"96/08/07"</definedName>
    <definedName name="HTML9_9" hidden="1">"saeki"</definedName>
    <definedName name="HTML90_1" hidden="1">"[Yokobori.xls]従来製品!$A$66:$W$108"</definedName>
    <definedName name="HTML90_11" hidden="1">1</definedName>
    <definedName name="HTML90_12" hidden="1">"K:\Cost\Io1.htm"</definedName>
    <definedName name="HTML90_2" hidden="1">-4146</definedName>
    <definedName name="HTML90_3" hidden="1">"K:\Cost\TEMPLATE.HTM"</definedName>
    <definedName name="HTML91_1" hidden="1">"[Yokobori.xls]従来製品!$A$125:$W$179"</definedName>
    <definedName name="HTML91_11" hidden="1">1</definedName>
    <definedName name="HTML91_12" hidden="1">"K:\Cost\IO3.htm"</definedName>
    <definedName name="HTML91_2" hidden="1">-4146</definedName>
    <definedName name="HTML91_3" hidden="1">"K:\Cost\TEMPLATE.HTM"</definedName>
    <definedName name="HTML92_1" hidden="1">"[Yokobori.xls]CTO生産品!$A$1:$G$67"</definedName>
    <definedName name="HTML92_11" hidden="1">1</definedName>
    <definedName name="HTML92_12" hidden="1">"K:\Cost\Hontai4.htm"</definedName>
    <definedName name="HTML92_2" hidden="1">-4146</definedName>
    <definedName name="HTML92_3" hidden="1">"K:\Cost\TEMPLATE.HTM"</definedName>
    <definedName name="HTML93_1" hidden="1">"[Yokobori.xls]従来製品!$B$30:$W$64"</definedName>
    <definedName name="HTML93_11" hidden="1">1</definedName>
    <definedName name="HTML93_12" hidden="1">"K:\Cost\Hontai3.htm"</definedName>
    <definedName name="HTML93_2" hidden="1">-4146</definedName>
    <definedName name="HTML93_3" hidden="1">"K:\Cost\TEMPLATE.HTM"</definedName>
    <definedName name="HTMLCount" hidden="1">93</definedName>
    <definedName name="MAA">#REF!</definedName>
    <definedName name="mat">#REF!</definedName>
    <definedName name="matome">#REF!</definedName>
    <definedName name="misyu">#REF!</definedName>
    <definedName name="NO">#REF!</definedName>
    <definedName name="NTｻｰﾊﾞ" hidden="1">{"'O-9000 LTU'!$A$1:$O$385"}</definedName>
    <definedName name="Onet1">#REF!</definedName>
    <definedName name="Onet2">#REF!</definedName>
    <definedName name="Onet3">#REF!</definedName>
    <definedName name="para">#REF!</definedName>
    <definedName name="_xlnm.Print_Area">#REF!</definedName>
    <definedName name="Q_3021_Exp_Form1_cp">#REF!</definedName>
    <definedName name="rate_sort">#REF!</definedName>
    <definedName name="ratio1">#REF!</definedName>
    <definedName name="ratio2">#REF!</definedName>
    <definedName name="SaveCsv">[4]!SaveCsv</definedName>
    <definedName name="sd" hidden="1">{"障害",#N/A,FALSE,"LAN02S";"未試験",#N/A,FALSE,"LAN02S"}</definedName>
    <definedName name="ｓｓｓｓｓｓ" hidden="1">{"障害",#N/A,FALSE,"LAN02S";"未試験",#N/A,FALSE,"LAN02S"}</definedName>
    <definedName name="std">#REF!</definedName>
    <definedName name="T_3020_OutForm1_cp">#REF!</definedName>
    <definedName name="T_自己査定用_テストデータ">#REF!</definedName>
    <definedName name="tu">#REF!</definedName>
    <definedName name="TYPE">#REF!</definedName>
    <definedName name="vw_営業店_総括_単月">#REF!</definedName>
    <definedName name="vw_営業店_総括_累計">#REF!</definedName>
    <definedName name="vw_営業店_内訳_単月">#REF!</definedName>
    <definedName name="vw_営業店_内訳_累計">#REF!</definedName>
    <definedName name="wrn.LAN02." hidden="1">{"障害",#N/A,FALSE,"LAN02S";"未試験",#N/A,FALSE,"LAN02S"}</definedName>
    <definedName name="yak">#REF!</definedName>
    <definedName name="あ" hidden="1">#REF!</definedName>
    <definedName name="エンティティ">#REF!</definedName>
    <definedName name="エンティティデータ">#REF!</definedName>
    <definedName name="クエリー1">#REF!</definedName>
    <definedName name="グローバル・ボンド・オープン">#REF!</definedName>
    <definedName name="ﾌﾟﾛｾｽ・ｴﾝﾃｨﾃｨ参照ﾏﾄﾘｯｸｽ">#REF!</definedName>
    <definedName name="リコース">[5]DB!$E$3:$E$6</definedName>
    <definedName name="印刷">[0]!印刷</definedName>
    <definedName name="会社コード">#REF!</definedName>
    <definedName name="格付">[5]DB!$F$3:$F$6</definedName>
    <definedName name="勘定リスト_0220_00">#REF!</definedName>
    <definedName name="公表">[5]DB!$C$3:$C$7</definedName>
    <definedName name="資産割合">[5]DB!$B$3:$B$5</definedName>
    <definedName name="時価区分リスト_0220_00">#REF!</definedName>
    <definedName name="終了">[0]!終了</definedName>
    <definedName name="終了2">[0]!終了2</definedName>
    <definedName name="所有目的リスト_0220_00">#REF!</definedName>
    <definedName name="申請">#REF!</definedName>
    <definedName name="入力範囲">[6]SE3!$C$5:$K$10,[6]SE3!$C$12:$K$13,[6]SE3!$C$15:$K$17,[6]SE3!$C$19:$K$20,[6]SE3!$N$6,[6]SE3!$N$8,[6]SE3!$M$15:$Q$15,[6]SE3!$C$29:$M$34,[6]SE3!$C$36:$M$37,[6]SE3!$C$39:$M$41,[6]SE3!$C$43:$M$44,[6]SE3!$I$57</definedName>
    <definedName name="発行場所">[5]DB!$A$3:$A$5</definedName>
    <definedName name="連結主体名称_みずほﾌｨﾅﾝｼｬﾙｸﾞﾙｰﾌﾟ">#REF!</definedName>
  </definedNames>
  <calcPr calcId="171027"/>
  <pivotCaches>
    <pivotCache cacheId="1" r:id="rId14"/>
    <pivotCache cacheId="40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2" l="1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J8" i="2"/>
  <c r="J9" i="2"/>
  <c r="J10" i="2"/>
  <c r="J11" i="2"/>
  <c r="J12" i="2"/>
  <c r="K12" i="2" s="1"/>
  <c r="L12" i="2" s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K34" i="2" s="1"/>
  <c r="L34" i="2" s="1"/>
  <c r="J35" i="2"/>
  <c r="J36" i="2"/>
  <c r="J37" i="2"/>
  <c r="J38" i="2"/>
  <c r="K38" i="2" s="1"/>
  <c r="L38" i="2" s="1"/>
  <c r="K9" i="2"/>
  <c r="L9" i="2" s="1"/>
  <c r="K10" i="2"/>
  <c r="L10" i="2" s="1"/>
  <c r="K11" i="2"/>
  <c r="K13" i="2"/>
  <c r="K14" i="2"/>
  <c r="K15" i="2"/>
  <c r="K17" i="2"/>
  <c r="L17" i="2" s="1"/>
  <c r="K18" i="2"/>
  <c r="K19" i="2"/>
  <c r="L19" i="2" s="1"/>
  <c r="K21" i="2"/>
  <c r="L21" i="2" s="1"/>
  <c r="K22" i="2"/>
  <c r="K23" i="2"/>
  <c r="L23" i="2" s="1"/>
  <c r="K25" i="2"/>
  <c r="L25" i="2" s="1"/>
  <c r="K26" i="2"/>
  <c r="K27" i="2"/>
  <c r="K28" i="2"/>
  <c r="K29" i="2"/>
  <c r="K30" i="2"/>
  <c r="K31" i="2"/>
  <c r="K33" i="2"/>
  <c r="L33" i="2" s="1"/>
  <c r="K35" i="2"/>
  <c r="L35" i="2" s="1"/>
  <c r="K37" i="2"/>
  <c r="L37" i="2" s="1"/>
  <c r="L11" i="2"/>
  <c r="L13" i="2"/>
  <c r="L14" i="2"/>
  <c r="L15" i="2"/>
  <c r="L18" i="2"/>
  <c r="L22" i="2"/>
  <c r="L26" i="2"/>
  <c r="L27" i="2"/>
  <c r="L28" i="2"/>
  <c r="L29" i="2"/>
  <c r="L30" i="2"/>
  <c r="L31" i="2"/>
  <c r="L20" i="2" l="1"/>
  <c r="K20" i="2"/>
  <c r="K36" i="2"/>
  <c r="L36" i="2" s="1"/>
  <c r="K32" i="2"/>
  <c r="L32" i="2" s="1"/>
  <c r="K24" i="2"/>
  <c r="L24" i="2" s="1"/>
  <c r="K16" i="2"/>
  <c r="L16" i="2" s="1"/>
  <c r="K8" i="2"/>
  <c r="L8" i="2" s="1"/>
  <c r="J8" i="3" l="1"/>
  <c r="J9" i="3"/>
  <c r="J10" i="3"/>
  <c r="J11" i="3"/>
  <c r="J12" i="3"/>
  <c r="J13" i="3"/>
  <c r="J14" i="3"/>
  <c r="M14" i="3" s="1"/>
  <c r="J15" i="3"/>
  <c r="J16" i="3"/>
  <c r="J17" i="3"/>
  <c r="J18" i="3"/>
  <c r="J19" i="3"/>
  <c r="J20" i="3"/>
  <c r="J21" i="3"/>
  <c r="M21" i="3" s="1"/>
  <c r="J22" i="3"/>
  <c r="M22" i="3" s="1"/>
  <c r="J23" i="3"/>
  <c r="J24" i="3"/>
  <c r="J25" i="3"/>
  <c r="J26" i="3"/>
  <c r="J27" i="3"/>
  <c r="J28" i="3"/>
  <c r="J29" i="3"/>
  <c r="M29" i="3" s="1"/>
  <c r="J30" i="3"/>
  <c r="M30" i="3" s="1"/>
  <c r="J31" i="3"/>
  <c r="J32" i="3"/>
  <c r="J33" i="3"/>
  <c r="J34" i="3"/>
  <c r="J35" i="3"/>
  <c r="J36" i="3"/>
  <c r="K8" i="3"/>
  <c r="N8" i="3" s="1"/>
  <c r="K9" i="3"/>
  <c r="N9" i="3" s="1"/>
  <c r="K10" i="3"/>
  <c r="K11" i="3"/>
  <c r="K12" i="3"/>
  <c r="K13" i="3"/>
  <c r="K14" i="3"/>
  <c r="K15" i="3"/>
  <c r="K16" i="3"/>
  <c r="N16" i="3" s="1"/>
  <c r="K17" i="3"/>
  <c r="N17" i="3" s="1"/>
  <c r="K18" i="3"/>
  <c r="K19" i="3"/>
  <c r="K20" i="3"/>
  <c r="K21" i="3"/>
  <c r="K22" i="3"/>
  <c r="K23" i="3"/>
  <c r="K24" i="3"/>
  <c r="N24" i="3" s="1"/>
  <c r="K25" i="3"/>
  <c r="N25" i="3" s="1"/>
  <c r="K26" i="3"/>
  <c r="K27" i="3"/>
  <c r="K28" i="3"/>
  <c r="K29" i="3"/>
  <c r="K30" i="3"/>
  <c r="K31" i="3"/>
  <c r="K32" i="3"/>
  <c r="N32" i="3" s="1"/>
  <c r="K33" i="3"/>
  <c r="N33" i="3" s="1"/>
  <c r="K34" i="3"/>
  <c r="K35" i="3"/>
  <c r="K36" i="3"/>
  <c r="L8" i="3"/>
  <c r="L9" i="3"/>
  <c r="L10" i="3"/>
  <c r="L11" i="3"/>
  <c r="O11" i="3" s="1"/>
  <c r="L12" i="3"/>
  <c r="O12" i="3" s="1"/>
  <c r="L13" i="3"/>
  <c r="L14" i="3"/>
  <c r="L15" i="3"/>
  <c r="L16" i="3"/>
  <c r="L17" i="3"/>
  <c r="L18" i="3"/>
  <c r="L19" i="3"/>
  <c r="O19" i="3" s="1"/>
  <c r="L20" i="3"/>
  <c r="O20" i="3" s="1"/>
  <c r="L21" i="3"/>
  <c r="L22" i="3"/>
  <c r="L23" i="3"/>
  <c r="L24" i="3"/>
  <c r="L25" i="3"/>
  <c r="L26" i="3"/>
  <c r="L27" i="3"/>
  <c r="O27" i="3" s="1"/>
  <c r="L28" i="3"/>
  <c r="O28" i="3" s="1"/>
  <c r="L29" i="3"/>
  <c r="L30" i="3"/>
  <c r="O30" i="3" s="1"/>
  <c r="L31" i="3"/>
  <c r="L32" i="3"/>
  <c r="L33" i="3"/>
  <c r="L34" i="3"/>
  <c r="O34" i="3" s="1"/>
  <c r="L35" i="3"/>
  <c r="O35" i="3" s="1"/>
  <c r="L36" i="3"/>
  <c r="O36" i="3" s="1"/>
  <c r="M8" i="3"/>
  <c r="M9" i="3"/>
  <c r="M10" i="3"/>
  <c r="M11" i="3"/>
  <c r="M12" i="3"/>
  <c r="M13" i="3"/>
  <c r="M15" i="3"/>
  <c r="M16" i="3"/>
  <c r="M17" i="3"/>
  <c r="M18" i="3"/>
  <c r="M19" i="3"/>
  <c r="M20" i="3"/>
  <c r="M23" i="3"/>
  <c r="M24" i="3"/>
  <c r="M25" i="3"/>
  <c r="M26" i="3"/>
  <c r="M27" i="3"/>
  <c r="M28" i="3"/>
  <c r="M31" i="3"/>
  <c r="M32" i="3"/>
  <c r="M33" i="3"/>
  <c r="M34" i="3"/>
  <c r="M35" i="3"/>
  <c r="M36" i="3"/>
  <c r="N10" i="3"/>
  <c r="N11" i="3"/>
  <c r="N12" i="3"/>
  <c r="N13" i="3"/>
  <c r="N14" i="3"/>
  <c r="N15" i="3"/>
  <c r="N18" i="3"/>
  <c r="N19" i="3"/>
  <c r="N20" i="3"/>
  <c r="N21" i="3"/>
  <c r="N22" i="3"/>
  <c r="N23" i="3"/>
  <c r="N26" i="3"/>
  <c r="N27" i="3"/>
  <c r="N28" i="3"/>
  <c r="N29" i="3"/>
  <c r="N30" i="3"/>
  <c r="N31" i="3"/>
  <c r="N34" i="3"/>
  <c r="N35" i="3"/>
  <c r="N36" i="3"/>
  <c r="O8" i="3"/>
  <c r="O9" i="3"/>
  <c r="O10" i="3"/>
  <c r="O13" i="3"/>
  <c r="O14" i="3"/>
  <c r="O15" i="3"/>
  <c r="O16" i="3"/>
  <c r="O17" i="3"/>
  <c r="O18" i="3"/>
  <c r="O21" i="3"/>
  <c r="O22" i="3"/>
  <c r="O23" i="3"/>
  <c r="O24" i="3"/>
  <c r="O25" i="3"/>
  <c r="O26" i="3"/>
  <c r="O29" i="3"/>
  <c r="O31" i="3"/>
  <c r="O32" i="3"/>
  <c r="O33" i="3"/>
  <c r="P19" i="3"/>
  <c r="Q19" i="3" s="1"/>
  <c r="P35" i="3"/>
  <c r="Q35" i="3" s="1"/>
  <c r="V8" i="3"/>
  <c r="Z8" i="3" s="1"/>
  <c r="V9" i="3"/>
  <c r="Z9" i="3" s="1"/>
  <c r="V11" i="3"/>
  <c r="P11" i="3" s="1"/>
  <c r="Q11" i="3" s="1"/>
  <c r="V12" i="3"/>
  <c r="Z12" i="3" s="1"/>
  <c r="V13" i="3"/>
  <c r="P13" i="3" s="1"/>
  <c r="Q13" i="3" s="1"/>
  <c r="V14" i="3"/>
  <c r="W14" i="3" s="1"/>
  <c r="V15" i="3"/>
  <c r="P15" i="3" s="1"/>
  <c r="Q15" i="3" s="1"/>
  <c r="V16" i="3"/>
  <c r="Z16" i="3" s="1"/>
  <c r="V17" i="3"/>
  <c r="P17" i="3" s="1"/>
  <c r="Q17" i="3" s="1"/>
  <c r="V18" i="3"/>
  <c r="P18" i="3" s="1"/>
  <c r="Q18" i="3" s="1"/>
  <c r="V19" i="3"/>
  <c r="V20" i="3"/>
  <c r="Z20" i="3" s="1"/>
  <c r="V21" i="3"/>
  <c r="P21" i="3" s="1"/>
  <c r="Q21" i="3" s="1"/>
  <c r="V22" i="3"/>
  <c r="W22" i="3" s="1"/>
  <c r="V23" i="3"/>
  <c r="P23" i="3" s="1"/>
  <c r="Q23" i="3" s="1"/>
  <c r="V24" i="3"/>
  <c r="Z24" i="3" s="1"/>
  <c r="V25" i="3"/>
  <c r="P25" i="3" s="1"/>
  <c r="Q25" i="3" s="1"/>
  <c r="V26" i="3"/>
  <c r="P26" i="3" s="1"/>
  <c r="Q26" i="3" s="1"/>
  <c r="V27" i="3"/>
  <c r="P27" i="3" s="1"/>
  <c r="Q27" i="3" s="1"/>
  <c r="V28" i="3"/>
  <c r="Z28" i="3" s="1"/>
  <c r="V29" i="3"/>
  <c r="P29" i="3" s="1"/>
  <c r="Q29" i="3" s="1"/>
  <c r="V30" i="3"/>
  <c r="W30" i="3" s="1"/>
  <c r="V31" i="3"/>
  <c r="P31" i="3" s="1"/>
  <c r="Q31" i="3" s="1"/>
  <c r="V32" i="3"/>
  <c r="Z32" i="3" s="1"/>
  <c r="V33" i="3"/>
  <c r="Z33" i="3" s="1"/>
  <c r="V34" i="3"/>
  <c r="P34" i="3" s="1"/>
  <c r="Q34" i="3" s="1"/>
  <c r="V35" i="3"/>
  <c r="V36" i="3"/>
  <c r="Z36" i="3" s="1"/>
  <c r="W8" i="3"/>
  <c r="Y8" i="3" s="1"/>
  <c r="W9" i="3"/>
  <c r="Y9" i="3" s="1"/>
  <c r="W11" i="3"/>
  <c r="AA11" i="3" s="1"/>
  <c r="AB11" i="3" s="1"/>
  <c r="AC11" i="3" s="1"/>
  <c r="W15" i="3"/>
  <c r="AA15" i="3" s="1"/>
  <c r="AB15" i="3" s="1"/>
  <c r="AC15" i="3" s="1"/>
  <c r="W17" i="3"/>
  <c r="Y17" i="3" s="1"/>
  <c r="W19" i="3"/>
  <c r="AA19" i="3" s="1"/>
  <c r="AB19" i="3" s="1"/>
  <c r="AC19" i="3" s="1"/>
  <c r="W23" i="3"/>
  <c r="AA23" i="3" s="1"/>
  <c r="AB23" i="3" s="1"/>
  <c r="AC23" i="3" s="1"/>
  <c r="W24" i="3"/>
  <c r="Y24" i="3" s="1"/>
  <c r="W27" i="3"/>
  <c r="AA27" i="3" s="1"/>
  <c r="AB27" i="3" s="1"/>
  <c r="AC27" i="3" s="1"/>
  <c r="W28" i="3"/>
  <c r="AA28" i="3" s="1"/>
  <c r="AB28" i="3" s="1"/>
  <c r="AC28" i="3" s="1"/>
  <c r="W31" i="3"/>
  <c r="AA31" i="3" s="1"/>
  <c r="AB31" i="3" s="1"/>
  <c r="AC31" i="3" s="1"/>
  <c r="AD31" i="3" s="1"/>
  <c r="W35" i="3"/>
  <c r="AA35" i="3" s="1"/>
  <c r="AB35" i="3" s="1"/>
  <c r="AC35" i="3" s="1"/>
  <c r="AD35" i="3" s="1"/>
  <c r="Y11" i="3"/>
  <c r="Y15" i="3"/>
  <c r="Y23" i="3"/>
  <c r="Y31" i="3"/>
  <c r="Z11" i="3"/>
  <c r="Z15" i="3"/>
  <c r="Z19" i="3"/>
  <c r="Z23" i="3"/>
  <c r="Z27" i="3"/>
  <c r="Z29" i="3"/>
  <c r="Z31" i="3"/>
  <c r="Z35" i="3"/>
  <c r="AA24" i="3"/>
  <c r="AB24" i="3"/>
  <c r="AC24" i="3" s="1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E23" i="3" s="1"/>
  <c r="AD24" i="3"/>
  <c r="AD25" i="3"/>
  <c r="AD26" i="3"/>
  <c r="AD27" i="3"/>
  <c r="AD28" i="3"/>
  <c r="AD29" i="3"/>
  <c r="AD30" i="3"/>
  <c r="BR8" i="3"/>
  <c r="BR9" i="3"/>
  <c r="BR10" i="3"/>
  <c r="BR11" i="3"/>
  <c r="BR12" i="3"/>
  <c r="BR13" i="3"/>
  <c r="BR14" i="3"/>
  <c r="BR15" i="3"/>
  <c r="BR16" i="3"/>
  <c r="BR17" i="3"/>
  <c r="BR18" i="3"/>
  <c r="BR19" i="3"/>
  <c r="BR20" i="3"/>
  <c r="BR21" i="3"/>
  <c r="BR22" i="3"/>
  <c r="BR23" i="3"/>
  <c r="BR24" i="3"/>
  <c r="BR25" i="3"/>
  <c r="BR26" i="3"/>
  <c r="BR27" i="3"/>
  <c r="BR28" i="3"/>
  <c r="BR29" i="3"/>
  <c r="BR30" i="3"/>
  <c r="BR31" i="3"/>
  <c r="BR32" i="3"/>
  <c r="BR33" i="3"/>
  <c r="BR34" i="3"/>
  <c r="BR35" i="3"/>
  <c r="BR36" i="3"/>
  <c r="BS8" i="3"/>
  <c r="BS9" i="3"/>
  <c r="BS10" i="3"/>
  <c r="BS11" i="3"/>
  <c r="BS12" i="3"/>
  <c r="BS13" i="3"/>
  <c r="BS14" i="3"/>
  <c r="BS15" i="3"/>
  <c r="BS16" i="3"/>
  <c r="BS17" i="3"/>
  <c r="BS18" i="3"/>
  <c r="BS19" i="3"/>
  <c r="BS20" i="3"/>
  <c r="BS21" i="3"/>
  <c r="BS22" i="3"/>
  <c r="BS23" i="3"/>
  <c r="BS24" i="3"/>
  <c r="BS25" i="3"/>
  <c r="BS26" i="3"/>
  <c r="BS27" i="3"/>
  <c r="BS28" i="3"/>
  <c r="BS29" i="3"/>
  <c r="BS30" i="3"/>
  <c r="BS31" i="3"/>
  <c r="BS32" i="3"/>
  <c r="BS33" i="3"/>
  <c r="BS34" i="3"/>
  <c r="BS35" i="3"/>
  <c r="BS36" i="3"/>
  <c r="BT8" i="3"/>
  <c r="BT9" i="3"/>
  <c r="BT10" i="3"/>
  <c r="BT11" i="3"/>
  <c r="BT12" i="3"/>
  <c r="BT13" i="3"/>
  <c r="BT14" i="3"/>
  <c r="BT15" i="3"/>
  <c r="BT16" i="3"/>
  <c r="BT17" i="3"/>
  <c r="BT18" i="3"/>
  <c r="BT19" i="3"/>
  <c r="BT20" i="3"/>
  <c r="BT21" i="3"/>
  <c r="BT22" i="3"/>
  <c r="BT23" i="3"/>
  <c r="BT24" i="3"/>
  <c r="BT25" i="3"/>
  <c r="BT26" i="3"/>
  <c r="BT27" i="3"/>
  <c r="BT28" i="3"/>
  <c r="BT29" i="3"/>
  <c r="BT30" i="3"/>
  <c r="BT31" i="3"/>
  <c r="BT32" i="3"/>
  <c r="BT33" i="3"/>
  <c r="BT34" i="3"/>
  <c r="BT35" i="3"/>
  <c r="BT36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30" i="3"/>
  <c r="BU31" i="3"/>
  <c r="BU32" i="3"/>
  <c r="BU33" i="3"/>
  <c r="BU34" i="3"/>
  <c r="BU35" i="3"/>
  <c r="BU36" i="3"/>
  <c r="BV8" i="3"/>
  <c r="BV9" i="3"/>
  <c r="BV10" i="3"/>
  <c r="BV11" i="3"/>
  <c r="BV12" i="3"/>
  <c r="BV13" i="3"/>
  <c r="BV14" i="3"/>
  <c r="BV15" i="3"/>
  <c r="BV16" i="3"/>
  <c r="BV17" i="3"/>
  <c r="BV18" i="3"/>
  <c r="BV19" i="3"/>
  <c r="BV20" i="3"/>
  <c r="BV21" i="3"/>
  <c r="BV22" i="3"/>
  <c r="BV23" i="3"/>
  <c r="BV24" i="3"/>
  <c r="BV25" i="3"/>
  <c r="BV26" i="3"/>
  <c r="BV27" i="3"/>
  <c r="BV28" i="3"/>
  <c r="BV29" i="3"/>
  <c r="BV30" i="3"/>
  <c r="BV31" i="3"/>
  <c r="BV32" i="3"/>
  <c r="BV33" i="3"/>
  <c r="BV34" i="3"/>
  <c r="BV35" i="3"/>
  <c r="BV36" i="3"/>
  <c r="AE15" i="3" l="1"/>
  <c r="Y28" i="3"/>
  <c r="Y27" i="3"/>
  <c r="AE24" i="3"/>
  <c r="P28" i="3"/>
  <c r="Q28" i="3" s="1"/>
  <c r="Z14" i="3"/>
  <c r="AE17" i="3"/>
  <c r="P12" i="3"/>
  <c r="Q12" i="3" s="1"/>
  <c r="AE31" i="3"/>
  <c r="W20" i="3"/>
  <c r="W29" i="3"/>
  <c r="AA29" i="3" s="1"/>
  <c r="AB29" i="3" s="1"/>
  <c r="AC29" i="3" s="1"/>
  <c r="Z13" i="3"/>
  <c r="Z25" i="3"/>
  <c r="W16" i="3"/>
  <c r="P24" i="3"/>
  <c r="Q24" i="3" s="1"/>
  <c r="P8" i="3"/>
  <c r="Q8" i="3" s="1"/>
  <c r="AE28" i="3"/>
  <c r="W36" i="3"/>
  <c r="W25" i="3"/>
  <c r="Y25" i="3" s="1"/>
  <c r="AE25" i="3" s="1"/>
  <c r="P9" i="3"/>
  <c r="Q9" i="3" s="1"/>
  <c r="AE27" i="3"/>
  <c r="AE11" i="3"/>
  <c r="Z21" i="3"/>
  <c r="W13" i="3"/>
  <c r="AA13" i="3" s="1"/>
  <c r="AB13" i="3" s="1"/>
  <c r="AC13" i="3" s="1"/>
  <c r="P36" i="3"/>
  <c r="Q36" i="3" s="1"/>
  <c r="P20" i="3"/>
  <c r="Q20" i="3" s="1"/>
  <c r="Y35" i="3"/>
  <c r="AE35" i="3" s="1"/>
  <c r="Y19" i="3"/>
  <c r="AE19" i="3" s="1"/>
  <c r="W33" i="3"/>
  <c r="Y33" i="3" s="1"/>
  <c r="W12" i="3"/>
  <c r="Z17" i="3"/>
  <c r="W32" i="3"/>
  <c r="W21" i="3"/>
  <c r="AA21" i="3" s="1"/>
  <c r="AB21" i="3" s="1"/>
  <c r="AC21" i="3" s="1"/>
  <c r="P32" i="3"/>
  <c r="Q32" i="3" s="1"/>
  <c r="P16" i="3"/>
  <c r="Q16" i="3" s="1"/>
  <c r="Y30" i="3"/>
  <c r="AE30" i="3" s="1"/>
  <c r="AA30" i="3"/>
  <c r="AB30" i="3" s="1"/>
  <c r="AC30" i="3" s="1"/>
  <c r="Y22" i="3"/>
  <c r="AE22" i="3" s="1"/>
  <c r="AA22" i="3"/>
  <c r="AB22" i="3" s="1"/>
  <c r="AC22" i="3" s="1"/>
  <c r="Y14" i="3"/>
  <c r="AE14" i="3" s="1"/>
  <c r="AA14" i="3"/>
  <c r="AB14" i="3" s="1"/>
  <c r="AC14" i="3" s="1"/>
  <c r="AA8" i="3"/>
  <c r="AB8" i="3" s="1"/>
  <c r="AC8" i="3" s="1"/>
  <c r="AD8" i="3" s="1"/>
  <c r="AE8" i="3" s="1"/>
  <c r="Y29" i="3"/>
  <c r="AE29" i="3" s="1"/>
  <c r="Y13" i="3"/>
  <c r="AE13" i="3" s="1"/>
  <c r="W34" i="3"/>
  <c r="W26" i="3"/>
  <c r="W18" i="3"/>
  <c r="P33" i="3"/>
  <c r="Q33" i="3" s="1"/>
  <c r="AA17" i="3"/>
  <c r="AB17" i="3" s="1"/>
  <c r="AC17" i="3" s="1"/>
  <c r="AA9" i="3"/>
  <c r="AB9" i="3" s="1"/>
  <c r="AC9" i="3" s="1"/>
  <c r="AD9" i="3" s="1"/>
  <c r="AE9" i="3" s="1"/>
  <c r="Z30" i="3"/>
  <c r="Z22" i="3"/>
  <c r="P30" i="3"/>
  <c r="Q30" i="3" s="1"/>
  <c r="P22" i="3"/>
  <c r="Q22" i="3" s="1"/>
  <c r="P14" i="3"/>
  <c r="Q14" i="3" s="1"/>
  <c r="Z34" i="3"/>
  <c r="Z26" i="3"/>
  <c r="Z18" i="3"/>
  <c r="AL6" i="3"/>
  <c r="AL5" i="3"/>
  <c r="AL4" i="3"/>
  <c r="AL3" i="3"/>
  <c r="AL2" i="3"/>
  <c r="AA25" i="3" l="1"/>
  <c r="AB25" i="3" s="1"/>
  <c r="AC25" i="3" s="1"/>
  <c r="Y21" i="3"/>
  <c r="AE21" i="3" s="1"/>
  <c r="Y16" i="3"/>
  <c r="AE16" i="3" s="1"/>
  <c r="AA16" i="3"/>
  <c r="AB16" i="3" s="1"/>
  <c r="AC16" i="3" s="1"/>
  <c r="AA12" i="3"/>
  <c r="AB12" i="3" s="1"/>
  <c r="AC12" i="3" s="1"/>
  <c r="Y12" i="3"/>
  <c r="AE12" i="3" s="1"/>
  <c r="AA33" i="3"/>
  <c r="AB33" i="3" s="1"/>
  <c r="AC33" i="3" s="1"/>
  <c r="AD33" i="3" s="1"/>
  <c r="AE33" i="3" s="1"/>
  <c r="Y32" i="3"/>
  <c r="AA32" i="3"/>
  <c r="AB32" i="3" s="1"/>
  <c r="AC32" i="3" s="1"/>
  <c r="AD32" i="3" s="1"/>
  <c r="AE32" i="3" s="1"/>
  <c r="AA36" i="3"/>
  <c r="AB36" i="3" s="1"/>
  <c r="AC36" i="3" s="1"/>
  <c r="AD36" i="3" s="1"/>
  <c r="Y36" i="3"/>
  <c r="AA20" i="3"/>
  <c r="AB20" i="3" s="1"/>
  <c r="AC20" i="3" s="1"/>
  <c r="Y20" i="3"/>
  <c r="AE20" i="3" s="1"/>
  <c r="Y18" i="3"/>
  <c r="AE18" i="3" s="1"/>
  <c r="AA18" i="3"/>
  <c r="AB18" i="3" s="1"/>
  <c r="AC18" i="3" s="1"/>
  <c r="Y26" i="3"/>
  <c r="AE26" i="3" s="1"/>
  <c r="AA26" i="3"/>
  <c r="AB26" i="3" s="1"/>
  <c r="AC26" i="3" s="1"/>
  <c r="Y34" i="3"/>
  <c r="AA34" i="3"/>
  <c r="AB34" i="3" s="1"/>
  <c r="AC34" i="3" s="1"/>
  <c r="AD34" i="3" s="1"/>
  <c r="AE34" i="3" s="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4" i="11"/>
  <c r="AH4" i="3"/>
  <c r="AE36" i="3" l="1"/>
  <c r="C52" i="11"/>
  <c r="C1" i="2" l="1"/>
  <c r="B5" i="3" l="1"/>
  <c r="B2" i="3"/>
  <c r="V10" i="3" s="1"/>
  <c r="B1" i="3"/>
  <c r="P10" i="3" l="1"/>
  <c r="Q10" i="3" s="1"/>
  <c r="Z10" i="3"/>
  <c r="W10" i="3"/>
  <c r="B4" i="2"/>
  <c r="B3" i="2"/>
  <c r="Y10" i="3" l="1"/>
  <c r="AA10" i="3" s="1"/>
  <c r="AB10" i="3" s="1"/>
  <c r="AC10" i="3" s="1"/>
  <c r="AD10" i="3" s="1"/>
  <c r="AE10" i="3" s="1"/>
  <c r="B3" i="3"/>
  <c r="B4" i="3"/>
  <c r="BW10" i="3" l="1"/>
  <c r="BW18" i="3"/>
  <c r="BW26" i="3"/>
  <c r="BW34" i="3"/>
  <c r="BW11" i="3"/>
  <c r="BW19" i="3"/>
  <c r="BW27" i="3"/>
  <c r="BW35" i="3"/>
  <c r="BW13" i="3"/>
  <c r="BW21" i="3"/>
  <c r="BW29" i="3"/>
  <c r="BW14" i="3"/>
  <c r="BW22" i="3"/>
  <c r="BW30" i="3"/>
  <c r="BW15" i="3"/>
  <c r="BW23" i="3"/>
  <c r="BW31" i="3"/>
  <c r="BW8" i="3"/>
  <c r="BW16" i="3"/>
  <c r="BW24" i="3"/>
  <c r="BW32" i="3"/>
  <c r="BW9" i="3"/>
  <c r="BW17" i="3"/>
  <c r="BW25" i="3"/>
  <c r="BW33" i="3"/>
  <c r="BW12" i="3"/>
  <c r="BW20" i="3"/>
  <c r="BW28" i="3"/>
  <c r="BW36" i="3"/>
  <c r="AH3" i="3"/>
  <c r="P4" i="3"/>
  <c r="P5" i="3" s="1"/>
  <c r="G3" i="2" s="1"/>
  <c r="V4" i="3"/>
  <c r="AI4" i="3" l="1"/>
  <c r="AI3" i="3" s="1"/>
  <c r="AM4" i="3"/>
  <c r="AF4" i="3" l="1"/>
  <c r="AG4" i="3" s="1"/>
  <c r="AG3" i="3" s="1"/>
  <c r="G5" i="2" s="1"/>
  <c r="AF3" i="3" l="1"/>
  <c r="G4" i="2" s="1"/>
</calcChain>
</file>

<file path=xl/connections.xml><?xml version="1.0" encoding="utf-8"?>
<connections xmlns="http://schemas.openxmlformats.org/spreadsheetml/2006/main">
  <connection id="1" name="bis1 report_1" type="1" refreshedVersion="6" background="1" saveData="1">
    <dbPr connection="DSN=bis1;" command="SELECT b.POS_NO as NO,_x000d__x000a_b.OBLIGOR_NAME, _x000d__x000a_b.SEC_TYPE,_x000d__x000a_ifnull(b.REF,if(b.SEC_TYPE regexp 'Ref Risk','REF',null)) REF, _x000d__x000a_b.AVC, _x000d__x000a_b.INDUSTRY,_x000d__x000a_b.SEC_CODE,_x000d__x000a_b.RTG_SP,_x000d__x000a_b.RTG_MOODY,_x000d__x000a_b.RTG_FITCH,_x000d__x000a_b.ASSET_TYPE_ID,_x000d__x000a_b.CAPITAL_TYPE,_x000d__x000a_b.HOLDING_TYPE,_x000d__x000a_b.MATURITY,_x000d__x000a_b.MARKET_VALUE,_x000d__x000a_b.ACC_INT,_x000d__x000a_b.NOTIONAL,_x000d__x000a_b.BB_TICKER,_x000d__x000a_b.DESCRIPTION,_x000d__x000a_b.PER_NAV,_x000d__x000a_b.RISK_WEIGHT,_x000d__x000a_b.REF_NO,_x000d__x000a_b.UNDL_BB_TICKER,_x000d__x000a_b.REPO_DIFF,_x000d__x000a_b.REPO_DAYS,_x000d__x000a_b.REPO_MV,_x000d__x000a_b.REPO_COST,_x000d__x000a_b.REPO_ACC_INT,_x000d__x000a_b.REPO_AMOUNT,_x000d__x000a_b.QUANTITY,_x000d__x000a_b.PRICE,b.COST,_x000d__x000a_b.CURRENCY,_x000d__x000a_b.CCY_RATE,_x000d__x000a_b.FACTOR,_x000d__x000a_b.DELTA,_x000d__x000a_b.UNDL_PRICE,_x000d__x000a_b.START_DATE,_x000d__x000a_b.FIN_WEIGHT,_x000d__x000a_b.REMARK,_x000d__x000a_b.MODIFIED MTIME,_x000d__x000a_d.RISK_WEIGHT EST_RW,_x000d__x000a_d.ADJ_PER_NAV_x000d__x000a_FROM report_id a join report_data2 b on (a.REPORT_ID=b.REPORT_ID) left join est_risk_weight c on (a.REPORT_ID=c.REPORT_ID and c.CALC_VER=302) left join est_risk_weight_data1 d on (c.RW_ID=d.RW_ID and b.POS_NO=d.POS_NO) WHERE a.FUND_NAME=? AND a.REPORT_DATE=? AND a.VERSION=?"/>
    <parameters count="3">
      <parameter name="パラメーター1" parameterType="cell" refreshOnChange="1" cell="report!$B$1"/>
      <parameter name="パラメーター2" parameterType="cell" refreshOnChange="1" cell="report!$B$2"/>
      <parameter name="パラメーター3" parameterType="cell" refreshOnChange="1" cell="report!$B$5"/>
    </parameters>
  </connection>
  <connection id="2" name="bis1 report_ccy" type="1" refreshedVersion="6" background="1" saveData="1">
    <dbPr connection="DSN=bis3;" command="SELECT report_id_0.FUND_CCY, report_id_0.FUND_NAV_x000d__x000a_FROM bis1.report_id report_id_0_x000d__x000a_WHERE (report_id_0.FUND_NAME=?) AND (report_id_0.REPORT_DATE=?) AND (report_id_0.VERSION=?)"/>
    <parameters count="3">
      <parameter name="パラメーター1" parameterType="cell" refreshOnChange="1" cell="report!$B$1"/>
      <parameter name="パラメーター2" parameterType="cell" refreshOnChange="1" cell="report!$B$2"/>
      <parameter name="パラメーター3" parameterType="cell" refreshOnChange="1" cell="report!$B$5"/>
    </parameters>
  </connection>
  <connection id="3" name="bis1 report_dates" description="view" type="1" refreshedVersion="6" background="1" saveData="1">
    <dbPr connection="DSN=bis3;" command="SELECT DISTINCT date_format(report_id_0.REPORT_DATE,'%Y-%m-%d') REPORT_DATE_x000d__x000a_FROM bis1.report_id report_id_0_x000d__x000a_WHERE (report_id_0.FUND_NAME=?) order by report_id_0.REPORT_DATE desc"/>
    <parameters count="1">
      <parameter name="パラメーター1" parameterType="cell" refreshOnChange="1" cell="report!$B$1"/>
    </parameters>
  </connection>
  <connection id="4" name="bis1 report_names" type="1" refreshedVersion="6" background="1" saveData="1">
    <dbPr connection="DSN=bis3;" command="SELECT fund_name,MAX(report_date) REPORT_DATE,MAX(modified) MODIFIED FROM `bis1`.`report_id_latest` GROUP BY fund_name HAVING DATE_ADD(now(),interval -1 year)&lt;report_date AND DATE_ADD(now(),interval -1 year)&lt;modified ORDER BY fund_name"/>
  </connection>
  <connection id="5" name="bis1 report_new" type="1" refreshedVersion="6" background="1" saveData="1">
    <dbPr connection="DSN=bis3;" command="SELECT_x000d__x000a_  POS_NO as NO,_x000d__x000a_  OBLIGOR_NAME,_x000d__x000a_  SEC_TYPE,_x000d__x000a_  AVC,_x000d__x000a_  INDUSTRY,_x000d__x000a_  SEC_CODE,_x000d__x000a_  RTG_SP,_x000d__x000a_  RTG_MOODY,_x000d__x000a_  RTG_FITCH,_x000d__x000a_  ASSET_TYPE_ID,_x000d__x000a_  CAPITAL_TYPE,_x000d__x000a_  HOLDING_TYPE,_x000d__x000a_  MATURITY,_x000d__x000a_  MARKET_VALUE,_x000d__x000a_  ACC_INT,_x000d__x000a_  NOTIONAL,_x000d__x000a_  BB_TICKER,_x000d__x000a_  DESCRIPTION,_x000d__x000a_  PER_NAV,_x000d__x000a_  RISK_WEIGHT,_x000d__x000a_  MODIFIED MTIME,_x000d__x000a_  UNDL_POS_NO as UNDL_NO,_x000d__x000a_  UNDL_OBLIGOR,_x000d__x000a_  UNDL_SEC_TYPE,_x000d__x000a_  UNDL_AVC,_x000d__x000a_  UNDL_INDUSTRY,_x000d__x000a_  UNDL_SEC_CODE,_x000d__x000a_  UNDL_SP,_x000d__x000a_  UNDL_MOODY,_x000d__x000a_  UNDL_FITCH,_x000d__x000a_  UNDL_SENIORITY,_x000d__x000a_  UNDL_MARKET_VALUE UNDL_MV,_x000d__x000a_  UNDL_MATURITY,_x000d__x000a_  UNDL_FIN_WEIGHT,_x000d__x000a_  UNDL_DESCRIPTION,_x000d__x000a_  UNDL_BB_TICKER,_x000d__x000a_  REPO_DIFF,_x000d__x000a_  REPO_DAYS,_x000d__x000a_  REPO_MV,_x000d__x000a_  REPO_COST,_x000d__x000a_  REPO_ACC_INT,_x000d__x000a_  REPO_AMOUNT,_x000d__x000a_  QUANTITY,_x000d__x000a_  PRICE,_x000d__x000a_  CURRENCY,_x000d__x000a_  CCY_RATE,_x000d__x000a_  FACTOR,_x000d__x000a_  DELTA,_x000d__x000a_  UNDL_PRICE,_x000d__x000a_  START_DATE_x000d__x000a_FROM report_data_new2 WHERE FUND_NAME=? AND REPORT_DATE=? AND VERSION=?"/>
    <parameters count="3">
      <parameter name="パラメーター1" parameterType="cell" refreshOnChange="1" cell="report_new!$B$1"/>
      <parameter name="パラメーター2" parameterType="cell" refreshOnChange="1" cell="report_new!$B$2"/>
      <parameter name="パラメーター3" parameterType="cell" refreshOnChange="1" cell="report_new!$B$5"/>
    </parameters>
  </connection>
  <connection id="6" name="bis1 report_version" type="1" refreshedVersion="6" background="1" saveData="1">
    <dbPr connection="DSN=bis3;" command="SELECT report_id_0.VERSION_x000d__x000a_FROM bis1.report_id report_id_0_x000d__x000a_WHERE (report_id_0.FUND_NAME=?) AND (report_id_0.REPORT_DATE=?) order by report_id_0.VERSION desc"/>
    <parameters count="2">
      <parameter name="パラメーター1" parameterType="cell" refreshOnChange="1" cell="report!$B$1"/>
      <parameter name="パラメーター2" parameterType="cell" refreshOnChange="1" cell="report!$B$2"/>
    </parameters>
  </connection>
</connections>
</file>

<file path=xl/sharedStrings.xml><?xml version="1.0" encoding="utf-8"?>
<sst xmlns="http://schemas.openxmlformats.org/spreadsheetml/2006/main" count="1125" uniqueCount="712">
  <si>
    <t>McpSealight</t>
  </si>
  <si>
    <t>NezuJapan</t>
  </si>
  <si>
    <t>VERSION</t>
  </si>
  <si>
    <t>FUND</t>
    <phoneticPr fontId="4"/>
  </si>
  <si>
    <t>DATE</t>
    <phoneticPr fontId="4"/>
  </si>
  <si>
    <t>CCY</t>
    <phoneticPr fontId="4"/>
  </si>
  <si>
    <t>NAV</t>
    <phoneticPr fontId="4"/>
  </si>
  <si>
    <t>VERSION</t>
    <phoneticPr fontId="4"/>
  </si>
  <si>
    <t>REPORT_DATE</t>
  </si>
  <si>
    <t>FUND_NAME</t>
  </si>
  <si>
    <t>FUND_NAV</t>
  </si>
  <si>
    <t>FUND_CCY</t>
  </si>
  <si>
    <t>Gca</t>
  </si>
  <si>
    <t>Northlight</t>
  </si>
  <si>
    <t>TerraGroveJapan</t>
  </si>
  <si>
    <t>Passport</t>
  </si>
  <si>
    <t>3w</t>
  </si>
  <si>
    <t>ChinaAmc</t>
  </si>
  <si>
    <t>Hadron</t>
  </si>
  <si>
    <t>SakaFocus</t>
  </si>
  <si>
    <t>Macrosynergy</t>
  </si>
  <si>
    <t>MacEmea</t>
  </si>
  <si>
    <t>MarathonFocus</t>
  </si>
  <si>
    <t>ComplusRates</t>
  </si>
  <si>
    <t>TrendMacro</t>
  </si>
  <si>
    <t>TidePoint</t>
  </si>
  <si>
    <t>AlphaGenLrp</t>
  </si>
  <si>
    <t>CapeViewRecovery</t>
  </si>
  <si>
    <t>JinJapan</t>
  </si>
  <si>
    <t>Zebedee</t>
  </si>
  <si>
    <t>JabcapEmea</t>
  </si>
  <si>
    <t>ComplusMacro</t>
  </si>
  <si>
    <t>AlphaGenVolantis</t>
  </si>
  <si>
    <t>BlackRockEuropean</t>
  </si>
  <si>
    <t>TerraGrovePanAsia</t>
  </si>
  <si>
    <t>TrafalgarTrading</t>
  </si>
  <si>
    <t>Asgard</t>
  </si>
  <si>
    <t>SoundPoint</t>
  </si>
  <si>
    <t>Ariose</t>
  </si>
  <si>
    <t>Prudence</t>
  </si>
  <si>
    <t>LmrAlpha</t>
  </si>
  <si>
    <t>Maritime</t>
  </si>
  <si>
    <t>RedCliff</t>
  </si>
  <si>
    <t>Pentwater</t>
  </si>
  <si>
    <t>AthosAsia</t>
  </si>
  <si>
    <t>Ironshield</t>
  </si>
  <si>
    <t>OasisValueAlpha</t>
  </si>
  <si>
    <t>OasisValueAlphaH1Mbk</t>
  </si>
  <si>
    <t>OasisValueAlphaH2</t>
  </si>
  <si>
    <t>Brilliant</t>
  </si>
  <si>
    <t>Senzar</t>
  </si>
  <si>
    <t>Arosa</t>
  </si>
  <si>
    <t>WaterValley</t>
  </si>
  <si>
    <t>Cvc</t>
  </si>
  <si>
    <t>AlphadyneAsia</t>
  </si>
  <si>
    <t>Akito</t>
  </si>
  <si>
    <t>QuestJapan</t>
  </si>
  <si>
    <t>GhostTree</t>
  </si>
  <si>
    <t>HuntLane</t>
  </si>
  <si>
    <t>McpMojna</t>
  </si>
  <si>
    <t>ArcticBlue</t>
  </si>
  <si>
    <t>Tourbillon</t>
  </si>
  <si>
    <t>McpAbbeville</t>
  </si>
  <si>
    <t>Sanctum</t>
  </si>
  <si>
    <t>PrudentialFixedIncome</t>
  </si>
  <si>
    <t>Edl</t>
  </si>
  <si>
    <t>Sio</t>
  </si>
  <si>
    <t>Alvento</t>
  </si>
  <si>
    <t>SEC_TYPE</t>
  </si>
  <si>
    <t>DESCRIPTION</t>
  </si>
  <si>
    <t>BB_TICKER</t>
  </si>
  <si>
    <t>QUANTITY</t>
  </si>
  <si>
    <t>MATURITY</t>
  </si>
  <si>
    <t>Equity</t>
  </si>
  <si>
    <t>Cash and Equivalents</t>
  </si>
  <si>
    <t>Idalion</t>
  </si>
  <si>
    <t>Whitehaven</t>
  </si>
  <si>
    <t>ASSET_TYPE_ID</t>
  </si>
  <si>
    <t>CURRENCY</t>
  </si>
  <si>
    <t>REF</t>
  </si>
  <si>
    <t>KoZhou</t>
  </si>
  <si>
    <t>OldOrchard</t>
  </si>
  <si>
    <t>CrescentMacro</t>
  </si>
  <si>
    <t>Nordkinn</t>
  </si>
  <si>
    <t>Panorama</t>
  </si>
  <si>
    <t>Alphalex</t>
  </si>
  <si>
    <t>CdhAsian</t>
  </si>
  <si>
    <t>Ckc</t>
  </si>
  <si>
    <t>Massar</t>
  </si>
  <si>
    <t>MmaPanAsia</t>
  </si>
  <si>
    <t>PeGlobal</t>
  </si>
  <si>
    <t>Future判定</t>
    <rPh sb="6" eb="8">
      <t>ハンテイ</t>
    </rPh>
    <phoneticPr fontId="3"/>
  </si>
  <si>
    <t>Call/Put</t>
    <phoneticPr fontId="3"/>
  </si>
  <si>
    <t>String_check</t>
    <phoneticPr fontId="3"/>
  </si>
  <si>
    <t>Option</t>
    <phoneticPr fontId="3"/>
  </si>
  <si>
    <t>CP_Flag</t>
    <phoneticPr fontId="3"/>
  </si>
  <si>
    <t>Shane</t>
  </si>
  <si>
    <t>MARKET_VALUE</t>
  </si>
  <si>
    <t>Keel</t>
  </si>
  <si>
    <t>FX Forward</t>
  </si>
  <si>
    <t>Equity Index Future</t>
  </si>
  <si>
    <t>NO</t>
  </si>
  <si>
    <t>OBLIGOR_NAME</t>
  </si>
  <si>
    <t>AVC</t>
  </si>
  <si>
    <t>INDUSTRY</t>
  </si>
  <si>
    <t>SEC_CODE</t>
  </si>
  <si>
    <t>RTG_SP</t>
  </si>
  <si>
    <t>RTG_MOODY</t>
  </si>
  <si>
    <t>RTG_FITCH</t>
  </si>
  <si>
    <t>CAPITAL_TYPE</t>
  </si>
  <si>
    <t>HOLDING_TYPE</t>
  </si>
  <si>
    <t>ACC_INT</t>
  </si>
  <si>
    <t>NOTIONAL</t>
  </si>
  <si>
    <t>PER_NAV</t>
  </si>
  <si>
    <t>RISK_WEIGHT</t>
  </si>
  <si>
    <t>REF_NO</t>
  </si>
  <si>
    <t>UNDL_BB_TICKER</t>
  </si>
  <si>
    <t>REPO_DIFF</t>
  </si>
  <si>
    <t>REPO_DAYS</t>
  </si>
  <si>
    <t>REPO_MV</t>
  </si>
  <si>
    <t>REPO_COST</t>
  </si>
  <si>
    <t>REPO_ACC_INT</t>
  </si>
  <si>
    <t>REPO_AMOUNT</t>
  </si>
  <si>
    <t>PRICE</t>
  </si>
  <si>
    <t>COST</t>
  </si>
  <si>
    <t>FACTOR</t>
  </si>
  <si>
    <t>DELTA</t>
  </si>
  <si>
    <t>UNDL_PRICE</t>
  </si>
  <si>
    <t>START_DATE</t>
  </si>
  <si>
    <t>FIN_WEIGHT</t>
  </si>
  <si>
    <t>REMARK</t>
  </si>
  <si>
    <t>MTIME</t>
  </si>
  <si>
    <t>EST_RW</t>
  </si>
  <si>
    <t>ADJ_PER_NAV</t>
  </si>
  <si>
    <t>FUND</t>
    <phoneticPr fontId="4"/>
  </si>
  <si>
    <t>DATE</t>
    <phoneticPr fontId="4"/>
  </si>
  <si>
    <t>UNDL_NO</t>
  </si>
  <si>
    <t>UNDL_OBLIGOR</t>
  </si>
  <si>
    <t>UNDL_SEC_TYPE</t>
  </si>
  <si>
    <t>UNDL_AVC</t>
  </si>
  <si>
    <t>UNDL_INDUSTRY</t>
  </si>
  <si>
    <t>UNDL_SEC_CODE</t>
  </si>
  <si>
    <t>UNDL_SP</t>
  </si>
  <si>
    <t>UNDL_MOODY</t>
  </si>
  <si>
    <t>UNDL_FITCH</t>
  </si>
  <si>
    <t>UNDL_SENIORITY</t>
  </si>
  <si>
    <t>UNDL_MV</t>
  </si>
  <si>
    <t>UNDL_MATURITY</t>
  </si>
  <si>
    <t>UNDL_FIN_WEIGHT</t>
  </si>
  <si>
    <t>UNDL_DESCRIPTION</t>
  </si>
  <si>
    <t>BBB-</t>
  </si>
  <si>
    <t>CFD</t>
  </si>
  <si>
    <t>AAA</t>
  </si>
  <si>
    <t>Equity Index Option</t>
  </si>
  <si>
    <t>Equity Option</t>
  </si>
  <si>
    <t>Bond Future</t>
  </si>
  <si>
    <t>length</t>
    <phoneticPr fontId="3"/>
  </si>
  <si>
    <t>外国為替・金</t>
    <rPh sb="0" eb="2">
      <t>ガイコク</t>
    </rPh>
    <rPh sb="2" eb="4">
      <t>カワセ</t>
    </rPh>
    <rPh sb="5" eb="6">
      <t>キン</t>
    </rPh>
    <phoneticPr fontId="4"/>
  </si>
  <si>
    <t>11</t>
  </si>
  <si>
    <t>12</t>
  </si>
  <si>
    <t>13</t>
  </si>
  <si>
    <t>金利</t>
    <rPh sb="0" eb="2">
      <t>キンリ</t>
    </rPh>
    <phoneticPr fontId="4"/>
  </si>
  <si>
    <t>21</t>
  </si>
  <si>
    <t>22</t>
  </si>
  <si>
    <t>23</t>
  </si>
  <si>
    <t>株式</t>
    <rPh sb="0" eb="2">
      <t>カブシキ</t>
    </rPh>
    <phoneticPr fontId="4"/>
  </si>
  <si>
    <t>31</t>
  </si>
  <si>
    <t>32</t>
  </si>
  <si>
    <t>33</t>
  </si>
  <si>
    <t>貴金属（金を除く）</t>
    <rPh sb="0" eb="3">
      <t>キキンゾク</t>
    </rPh>
    <rPh sb="4" eb="5">
      <t>キン</t>
    </rPh>
    <rPh sb="6" eb="7">
      <t>ノゾ</t>
    </rPh>
    <phoneticPr fontId="4"/>
  </si>
  <si>
    <t>41</t>
  </si>
  <si>
    <t>42</t>
  </si>
  <si>
    <t>43</t>
  </si>
  <si>
    <t>その他のコモディティ</t>
    <rPh sb="2" eb="3">
      <t>タ</t>
    </rPh>
    <phoneticPr fontId="4"/>
  </si>
  <si>
    <t>51</t>
  </si>
  <si>
    <t>52</t>
  </si>
  <si>
    <t>53</t>
  </si>
  <si>
    <t>RW</t>
  </si>
  <si>
    <r>
      <t>Listed</t>
    </r>
    <r>
      <rPr>
        <sz val="10"/>
        <rFont val="Arial"/>
        <family val="2"/>
      </rPr>
      <t xml:space="preserve"> (IG)</t>
    </r>
  </si>
  <si>
    <t>Listed (Non-IG)</t>
  </si>
  <si>
    <t>Unlisted</t>
  </si>
  <si>
    <t>ETF</t>
  </si>
  <si>
    <r>
      <t>Listed Derivatives (</t>
    </r>
    <r>
      <rPr>
        <sz val="10"/>
        <rFont val="Arial"/>
        <family val="2"/>
      </rPr>
      <t>Delta-Adjusted Gross Exposure</t>
    </r>
    <r>
      <rPr>
        <sz val="10"/>
        <rFont val="Arial"/>
        <family val="2"/>
      </rPr>
      <t>)</t>
    </r>
  </si>
  <si>
    <r>
      <t>OTC Derivatives (Delta-Adjusted Gross Exposure</t>
    </r>
    <r>
      <rPr>
        <sz val="10"/>
        <rFont val="Arial"/>
        <family val="2"/>
      </rPr>
      <t>)</t>
    </r>
  </si>
  <si>
    <r>
      <t>D</t>
    </r>
    <r>
      <rPr>
        <sz val="10"/>
        <rFont val="Arial"/>
        <family val="2"/>
      </rPr>
      <t>ebt</t>
    </r>
  </si>
  <si>
    <r>
      <t>C</t>
    </r>
    <r>
      <rPr>
        <sz val="10"/>
        <rFont val="Arial"/>
        <family val="2"/>
      </rPr>
      <t>redit</t>
    </r>
    <r>
      <rPr>
        <sz val="10"/>
        <rFont val="Arial"/>
        <family val="2"/>
      </rPr>
      <t xml:space="preserve"> Rating</t>
    </r>
  </si>
  <si>
    <t>Sovereign</t>
  </si>
  <si>
    <t>JGB, US Treasuries, GNMA</t>
  </si>
  <si>
    <r>
      <t>A</t>
    </r>
    <r>
      <rPr>
        <sz val="10"/>
        <rFont val="Arial"/>
        <family val="2"/>
      </rPr>
      <t>AA</t>
    </r>
  </si>
  <si>
    <t>AAA (less than 1y)</t>
  </si>
  <si>
    <t>AA+ ~ AA-</t>
  </si>
  <si>
    <t>AA+ ~ AA- (less than 1y)</t>
  </si>
  <si>
    <t>A+ ~ A-</t>
  </si>
  <si>
    <t>A+ ~ A- (less than 1y)</t>
  </si>
  <si>
    <t>BBB+ ~ BBB</t>
  </si>
  <si>
    <t>BBB+ ~ BBB (less than 1y)</t>
  </si>
  <si>
    <t>BBB- (less than 1y)</t>
  </si>
  <si>
    <t>BB+ ~</t>
  </si>
  <si>
    <t>Corporates</t>
  </si>
  <si>
    <r>
      <t>Financial</t>
    </r>
    <r>
      <rPr>
        <sz val="10"/>
        <rFont val="Arial"/>
        <family val="2"/>
      </rPr>
      <t>s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(AVC)</t>
    </r>
  </si>
  <si>
    <t>Securitized</t>
  </si>
  <si>
    <r>
      <t>B</t>
    </r>
    <r>
      <rPr>
        <sz val="10"/>
        <rFont val="Arial"/>
        <family val="2"/>
      </rPr>
      <t>BB+</t>
    </r>
  </si>
  <si>
    <r>
      <t>B</t>
    </r>
    <r>
      <rPr>
        <sz val="10"/>
        <rFont val="Arial"/>
        <family val="2"/>
      </rPr>
      <t>BB</t>
    </r>
  </si>
  <si>
    <r>
      <t>B</t>
    </r>
    <r>
      <rPr>
        <sz val="10"/>
        <rFont val="Arial"/>
        <family val="2"/>
      </rPr>
      <t>BB-</t>
    </r>
  </si>
  <si>
    <t>Commodity Future</t>
  </si>
  <si>
    <t>Commodity Future Option</t>
  </si>
  <si>
    <t>CDS Index SELL</t>
  </si>
  <si>
    <t>IR Future</t>
  </si>
  <si>
    <t>IR Swap</t>
  </si>
  <si>
    <t>FX Option</t>
  </si>
  <si>
    <t>Copper</t>
    <phoneticPr fontId="3"/>
  </si>
  <si>
    <t>Lead</t>
    <phoneticPr fontId="3"/>
  </si>
  <si>
    <t>Zinc</t>
    <phoneticPr fontId="3"/>
  </si>
  <si>
    <t>Tin</t>
    <phoneticPr fontId="3"/>
  </si>
  <si>
    <t>Nickel</t>
    <phoneticPr fontId="3"/>
  </si>
  <si>
    <t>Cobalt</t>
    <phoneticPr fontId="3"/>
  </si>
  <si>
    <t>Molybdenum</t>
    <phoneticPr fontId="3"/>
  </si>
  <si>
    <t>steel</t>
    <phoneticPr fontId="3"/>
  </si>
  <si>
    <t>Gold</t>
    <phoneticPr fontId="3"/>
  </si>
  <si>
    <t>Platinum</t>
    <phoneticPr fontId="3"/>
  </si>
  <si>
    <t>Palladium</t>
    <phoneticPr fontId="3"/>
  </si>
  <si>
    <t>Silver</t>
    <phoneticPr fontId="3"/>
  </si>
  <si>
    <t>Type</t>
    <phoneticPr fontId="3"/>
  </si>
  <si>
    <t>Bond Forward</t>
  </si>
  <si>
    <t>Bond Future Option</t>
  </si>
  <si>
    <t>Bond Option</t>
  </si>
  <si>
    <t>CC Swap</t>
  </si>
  <si>
    <t>CDS BUY</t>
  </si>
  <si>
    <t>CDS Index Option BUY</t>
  </si>
  <si>
    <t>CDS Index Option SELL</t>
  </si>
  <si>
    <t>CDS Index Tranche BUY</t>
  </si>
  <si>
    <t>CDS Index Tranche SELL</t>
  </si>
  <si>
    <t>CDS SELL</t>
  </si>
  <si>
    <t>Commodity Forward</t>
  </si>
  <si>
    <t>Commodity Index Option</t>
  </si>
  <si>
    <t>Commodity Option</t>
  </si>
  <si>
    <t>Correlation Swap</t>
  </si>
  <si>
    <t>Currency Future</t>
  </si>
  <si>
    <t>Currency Index Future</t>
  </si>
  <si>
    <t>Dividend Future</t>
  </si>
  <si>
    <t>Eqiuty Index Future</t>
  </si>
  <si>
    <t>Equity Future</t>
  </si>
  <si>
    <t>Equity Index Dividend Future</t>
  </si>
  <si>
    <t>Equity Index Dividend Option</t>
  </si>
  <si>
    <t>Equity Index Future Option</t>
  </si>
  <si>
    <t>Equity Volatility Index Future</t>
  </si>
  <si>
    <t>Equity Volatility Index Option</t>
  </si>
  <si>
    <t>FRA</t>
  </si>
  <si>
    <t>FX Future</t>
  </si>
  <si>
    <t>Gold Future</t>
  </si>
  <si>
    <t>Gold Option</t>
  </si>
  <si>
    <t>IR Floor</t>
  </si>
  <si>
    <t>IR Future Option</t>
  </si>
  <si>
    <t>IR Swaption</t>
  </si>
  <si>
    <t>Repo Index Future</t>
  </si>
  <si>
    <t>Swaption</t>
  </si>
  <si>
    <t>TRS on Bond</t>
  </si>
  <si>
    <t>TRS on Bond Index</t>
  </si>
  <si>
    <t>TRS on Currency Index</t>
  </si>
  <si>
    <t>TRS on Equity</t>
  </si>
  <si>
    <t>TRS on Loan</t>
  </si>
  <si>
    <t>Variance Swap</t>
  </si>
  <si>
    <t>Volatility Index Future</t>
  </si>
  <si>
    <t>Volatility Index Option</t>
  </si>
  <si>
    <t>Volatility Swap</t>
  </si>
  <si>
    <t>Type2</t>
    <phoneticPr fontId="3"/>
  </si>
  <si>
    <t>SP</t>
    <phoneticPr fontId="3"/>
  </si>
  <si>
    <t>MOODYS</t>
    <phoneticPr fontId="3"/>
  </si>
  <si>
    <t>FITCH</t>
    <phoneticPr fontId="3"/>
  </si>
  <si>
    <t>AAA</t>
    <phoneticPr fontId="3"/>
  </si>
  <si>
    <t>Aaa</t>
    <phoneticPr fontId="3"/>
  </si>
  <si>
    <t>AA</t>
    <phoneticPr fontId="3"/>
  </si>
  <si>
    <t>Aa</t>
    <phoneticPr fontId="3"/>
  </si>
  <si>
    <t>A</t>
    <phoneticPr fontId="3"/>
  </si>
  <si>
    <t>BBB</t>
    <phoneticPr fontId="3"/>
  </si>
  <si>
    <t>Baa</t>
    <phoneticPr fontId="3"/>
  </si>
  <si>
    <t>BB</t>
    <phoneticPr fontId="3"/>
  </si>
  <si>
    <t>B</t>
    <phoneticPr fontId="3"/>
  </si>
  <si>
    <t>CCC</t>
    <phoneticPr fontId="3"/>
  </si>
  <si>
    <t>Caa</t>
    <phoneticPr fontId="3"/>
  </si>
  <si>
    <t>Ba</t>
    <phoneticPr fontId="3"/>
  </si>
  <si>
    <t>CVA掛け目_SP</t>
    <rPh sb="3" eb="4">
      <t>カ</t>
    </rPh>
    <rPh sb="5" eb="6">
      <t>メ</t>
    </rPh>
    <phoneticPr fontId="3"/>
  </si>
  <si>
    <t>CVA掛け目_MOODYS</t>
    <rPh sb="3" eb="4">
      <t>カ</t>
    </rPh>
    <rPh sb="5" eb="6">
      <t>メ</t>
    </rPh>
    <phoneticPr fontId="3"/>
  </si>
  <si>
    <t>CVA掛け目_FITCH</t>
    <rPh sb="3" eb="4">
      <t>カ</t>
    </rPh>
    <rPh sb="5" eb="6">
      <t>メ</t>
    </rPh>
    <phoneticPr fontId="3"/>
  </si>
  <si>
    <t>CC</t>
    <phoneticPr fontId="3"/>
  </si>
  <si>
    <t>CVA掛け目</t>
    <rPh sb="3" eb="4">
      <t>カ</t>
    </rPh>
    <rPh sb="5" eb="6">
      <t>メ</t>
    </rPh>
    <phoneticPr fontId="3"/>
  </si>
  <si>
    <t>C</t>
    <phoneticPr fontId="3"/>
  </si>
  <si>
    <t>CVA</t>
    <phoneticPr fontId="3"/>
  </si>
  <si>
    <t>Aluminum</t>
    <phoneticPr fontId="3"/>
  </si>
  <si>
    <t>Final_Type</t>
    <phoneticPr fontId="3"/>
  </si>
  <si>
    <t>duration</t>
    <phoneticPr fontId="3"/>
  </si>
  <si>
    <t>combo</t>
    <phoneticPr fontId="3"/>
  </si>
  <si>
    <t>SCM_SF</t>
    <phoneticPr fontId="3"/>
  </si>
  <si>
    <t>ADDON</t>
    <phoneticPr fontId="3"/>
  </si>
  <si>
    <t>PE</t>
    <phoneticPr fontId="3"/>
  </si>
  <si>
    <t>PE(before CP)</t>
    <phoneticPr fontId="3"/>
  </si>
  <si>
    <t>undl_risk_weight</t>
    <phoneticPr fontId="3"/>
  </si>
  <si>
    <t>AlphadyneAsia-Tourbillon</t>
  </si>
  <si>
    <t>McpAe</t>
  </si>
  <si>
    <t>McpAlpha</t>
  </si>
  <si>
    <t>McpAlvento</t>
  </si>
  <si>
    <t>McpChinaGrowth</t>
  </si>
  <si>
    <t>McpDegraves</t>
  </si>
  <si>
    <t>McpNorthlight</t>
  </si>
  <si>
    <t>Myda</t>
  </si>
  <si>
    <t>ScmlAB_Cash</t>
  </si>
  <si>
    <t>StellarJin</t>
  </si>
  <si>
    <t>行ラベル</t>
  </si>
  <si>
    <t>総計</t>
  </si>
  <si>
    <t>合計 / ADDON</t>
  </si>
  <si>
    <t>合計 / PE</t>
  </si>
  <si>
    <t>合計 / MARKET_VALUE</t>
  </si>
  <si>
    <t>FocusSigma_Cash</t>
  </si>
  <si>
    <t>61</t>
    <phoneticPr fontId="3"/>
  </si>
  <si>
    <t>62</t>
    <phoneticPr fontId="3"/>
  </si>
  <si>
    <t>63</t>
    <phoneticPr fontId="3"/>
  </si>
  <si>
    <t>CDS or TRS</t>
    <phoneticPr fontId="3"/>
  </si>
  <si>
    <t>CDS Index BUY</t>
    <phoneticPr fontId="3"/>
  </si>
  <si>
    <t>CDS Index Option</t>
    <phoneticPr fontId="3"/>
  </si>
  <si>
    <t>Commodity Future (Gold)</t>
    <phoneticPr fontId="3"/>
  </si>
  <si>
    <t>Commodity Future (Bronze)</t>
    <phoneticPr fontId="3"/>
  </si>
  <si>
    <t>Commodity Future (Silver)</t>
    <phoneticPr fontId="3"/>
  </si>
  <si>
    <t>Commodity Future Option (Gold)</t>
    <phoneticPr fontId="3"/>
  </si>
  <si>
    <t>Currency Future Option</t>
    <phoneticPr fontId="3"/>
  </si>
  <si>
    <t>IR Cap</t>
    <phoneticPr fontId="3"/>
  </si>
  <si>
    <t>TRS on Equity Index</t>
    <phoneticPr fontId="3"/>
  </si>
  <si>
    <t>TRS on Equity Index Future</t>
    <phoneticPr fontId="3"/>
  </si>
  <si>
    <t>CDX-NAHYS27V2-5Y</t>
  </si>
  <si>
    <t>CfpOpportunity</t>
  </si>
  <si>
    <t>CoordinatesAsiaMacro</t>
  </si>
  <si>
    <t>DymonAsiaCurrency</t>
  </si>
  <si>
    <t>ITRAXX-XOVERS26V1-5Y</t>
  </si>
  <si>
    <t>FullyFundedCFD</t>
  </si>
  <si>
    <t>CVA</t>
    <phoneticPr fontId="3"/>
  </si>
  <si>
    <t>Fund RW</t>
    <phoneticPr fontId="3"/>
  </si>
  <si>
    <t>Commodity Option (Silver)</t>
    <phoneticPr fontId="3"/>
  </si>
  <si>
    <t>合計 / CVA</t>
  </si>
  <si>
    <t>Cavalry</t>
  </si>
  <si>
    <t>Eastfort</t>
  </si>
  <si>
    <t>2016-12-31</t>
  </si>
  <si>
    <t>USD</t>
  </si>
  <si>
    <t>Hadron2</t>
  </si>
  <si>
    <t>TidePointRg</t>
  </si>
  <si>
    <t>Commodity Future Option (Silver)</t>
  </si>
  <si>
    <t>Panoramic</t>
  </si>
  <si>
    <t>ConcordiaG10</t>
  </si>
  <si>
    <t>Panoramic-Tourbillon</t>
  </si>
  <si>
    <t>Omni_Cash</t>
  </si>
  <si>
    <t>ScmlCD_Cash</t>
  </si>
  <si>
    <t>Other Liabilities</t>
  </si>
  <si>
    <t>Other Assets</t>
  </si>
  <si>
    <t>2017-03-31</t>
  </si>
  <si>
    <t>McpLindenGrove</t>
  </si>
  <si>
    <t>Tribeca</t>
  </si>
  <si>
    <t>commodity_addon1</t>
    <phoneticPr fontId="3"/>
  </si>
  <si>
    <t>commodity_addon2</t>
  </si>
  <si>
    <t>Currency_addon</t>
    <phoneticPr fontId="3"/>
  </si>
  <si>
    <t>comm1</t>
    <phoneticPr fontId="3"/>
  </si>
  <si>
    <t>comm2</t>
    <phoneticPr fontId="3"/>
  </si>
  <si>
    <t>currency</t>
    <phoneticPr fontId="3"/>
  </si>
  <si>
    <t>Fund RW2</t>
    <phoneticPr fontId="3"/>
  </si>
  <si>
    <t>Commodity Future (Bronz)</t>
    <phoneticPr fontId="3"/>
  </si>
  <si>
    <t>commodity_addon3</t>
  </si>
  <si>
    <t>commodity_addon4</t>
  </si>
  <si>
    <t>comm3</t>
  </si>
  <si>
    <t>comm4</t>
  </si>
  <si>
    <t>合計 / commodity_addon1</t>
  </si>
  <si>
    <t>Bond</t>
  </si>
  <si>
    <t>test</t>
    <phoneticPr fontId="3"/>
  </si>
  <si>
    <t>1</t>
  </si>
  <si>
    <t>A2</t>
  </si>
  <si>
    <t>A</t>
  </si>
  <si>
    <t>A1</t>
  </si>
  <si>
    <t>Financials</t>
  </si>
  <si>
    <t>A+</t>
  </si>
  <si>
    <t>Non-Financials</t>
  </si>
  <si>
    <t>BBB+</t>
  </si>
  <si>
    <t>Baa1</t>
  </si>
  <si>
    <t>BBB</t>
  </si>
  <si>
    <t>A3</t>
  </si>
  <si>
    <t>Govt</t>
  </si>
  <si>
    <t>HKD</t>
  </si>
  <si>
    <t>Market risk合計</t>
    <rPh sb="11" eb="13">
      <t>ゴウケイ</t>
    </rPh>
    <phoneticPr fontId="3"/>
  </si>
  <si>
    <t>コモディティ</t>
    <phoneticPr fontId="3"/>
  </si>
  <si>
    <t>為替・金</t>
    <rPh sb="0" eb="2">
      <t>カワセ</t>
    </rPh>
    <rPh sb="3" eb="4">
      <t>キン</t>
    </rPh>
    <phoneticPr fontId="3"/>
  </si>
  <si>
    <t>A-</t>
  </si>
  <si>
    <t>CNY</t>
  </si>
  <si>
    <t>BNP PARIBAS SECU</t>
  </si>
  <si>
    <t>Bond (Financial)</t>
  </si>
  <si>
    <t>B+</t>
  </si>
  <si>
    <t>CASH: BNP PARIBAS SECU</t>
  </si>
  <si>
    <t>TENCENT</t>
  </si>
  <si>
    <t>700 HK Equity</t>
  </si>
  <si>
    <t>TENCENT HOLDINGS LTD</t>
  </si>
  <si>
    <t>9863543Z FP Equity</t>
  </si>
  <si>
    <t>AUD FORWARD RATE/USD FORWARD RATE</t>
  </si>
  <si>
    <t>CNH FORWARD RATE/USD FORWARD RATE</t>
  </si>
  <si>
    <t>CNY FORWARD RATE/USD FORWARD RATE</t>
  </si>
  <si>
    <t>HKD FORWARD RATE/USD FORWARD RATE</t>
  </si>
  <si>
    <t>IDR FORWARD RATE/USD FORWARD RATE</t>
  </si>
  <si>
    <t>INR FORWARD RATE/USD FORWARD RATE</t>
  </si>
  <si>
    <t>JPY FORWARD RATE/USD FORWARD RATE</t>
  </si>
  <si>
    <t>KRW FORWARD RATE/USD FORWARD RATE</t>
  </si>
  <si>
    <t>NZD FORWARD RATE/USD FORWARD RATE</t>
  </si>
  <si>
    <t>TWD FORWARD RATE/USD FORWARD RATE</t>
  </si>
  <si>
    <t>USD FORWARD RATE/AUD FORWARD RATE</t>
  </si>
  <si>
    <t>USD FORWARD RATE/CNH FORWARD RATE</t>
  </si>
  <si>
    <t>USD FORWARD RATE/CNY FORWARD RATE</t>
  </si>
  <si>
    <t>USD FORWARD RATE/EUR FORWARD RATE</t>
  </si>
  <si>
    <t>USD FORWARD RATE/HKD FORWARD RATE</t>
  </si>
  <si>
    <t>USD FORWARD RATE/IDR FORWARD RATE</t>
  </si>
  <si>
    <t>USD FORWARD RATE/INR FORWARD RATE</t>
  </si>
  <si>
    <t>USD FORWARD RATE/JPY FORWARD RATE</t>
  </si>
  <si>
    <t>USD FORWARD RATE/KRW FORWARD RATE</t>
  </si>
  <si>
    <t>USD FORWARD RATE/NZD FORWARD RATE</t>
  </si>
  <si>
    <t>USD FORWARD RATE/TWD FORWARD RATE</t>
  </si>
  <si>
    <t>JPYUSD Call 119.5 15 Mar 2017 RC1</t>
  </si>
  <si>
    <t>JPYUSD Call 120.15 15 Mar 2017 RC1</t>
  </si>
  <si>
    <t>JPYUSD Put 110 15 Mar 2017 RC1</t>
  </si>
  <si>
    <t>JPYUSD Put 113 15 Mar 2017 RC1</t>
  </si>
  <si>
    <t>CCY_AUD/USD SWAP_15.75bp MS OTC</t>
  </si>
  <si>
    <t>CCY_AUD/USD SWAP_16.25bp_ MS OTC</t>
  </si>
  <si>
    <t>CCY_AUD/USD SWAP_16.25bp_0618_ MS OTC</t>
  </si>
  <si>
    <t>CCY_AUD/USD SWAP_16.4bp_1118_ BNP OTC</t>
  </si>
  <si>
    <t>CCY_AUD/USD SWAP_16.5bp_1118_ BNP OTC</t>
  </si>
  <si>
    <t>CCY_AUD/USD SWAP_17.25_0119_2 UBS OTC</t>
  </si>
  <si>
    <t>CCY_AUD/USD SWAP_17.25_11 MS OTC</t>
  </si>
  <si>
    <t>CCY_AUD/USD SWAP_17.5bp_1218_1_ BNP OTC</t>
  </si>
  <si>
    <t>CCY_AUD/USD SWAP_17.75bp BNP OTC</t>
  </si>
  <si>
    <t>CCY_AUD/USD SWAP_17bp_0119_ MS OTC</t>
  </si>
  <si>
    <t>CCY_AUD/USD SWAP_17bp_0918_1 MS OTC</t>
  </si>
  <si>
    <t>CCY_AUD/USD SWAP_17bp_1218_1_ MS OTC</t>
  </si>
  <si>
    <t>CCY_AUD/USD SWAP_18.25bp_0219_BNP OTC</t>
  </si>
  <si>
    <t>CCY_AUD/USD SWAP_18.5_1218 MS OTC</t>
  </si>
  <si>
    <t>CCY_AUD/USD SWAP_18.5bp_0219_ BNP OTC</t>
  </si>
  <si>
    <t>CCY_AUD/USD SWAP_18.75bp_ UBS OTC</t>
  </si>
  <si>
    <t>CCY_AUD/USD SWAP_18.75bp_0219_ DB OTC</t>
  </si>
  <si>
    <t>CCY_AUD/USD SWAP_18.75bp_0319 DB OTC</t>
  </si>
  <si>
    <t>CCY_AUD/USD SWAP_18bp_0119_ UBS OTC</t>
  </si>
  <si>
    <t>CCY_AUD/USD SWAP_18bp_0219_1_ UBS OTC</t>
  </si>
  <si>
    <t>CCY_AUD/USD SWAP_18bp_0718 UBS OTC</t>
  </si>
  <si>
    <t>CCY_AUD/USD SWAP_19.5bp_0419_ MS OTC</t>
  </si>
  <si>
    <t>CCY_AUD/USD SWAP_19.75bp_ MS OTC</t>
  </si>
  <si>
    <t>CCY_AUD/USD SWAP_19.75bp_0419 UBS OTC</t>
  </si>
  <si>
    <t>CCY_AUD/USD SWAP_19.75bp_0818_ MS OTC</t>
  </si>
  <si>
    <t>CCY_AUD/USD SWAP_19.8bp_0419_ MS OTC</t>
  </si>
  <si>
    <t>CCY_AUD/USD SWAP_19bp_0319_ MS OTC</t>
  </si>
  <si>
    <t>CCY_AUD/USD SWAP_19bp_0319_BNP_ BNP OTC</t>
  </si>
  <si>
    <t>CCY_AUD/USD SWAP_20.25bp UBS OTC</t>
  </si>
  <si>
    <t>CCY_AUD/USD SWAP_20.2bp_0519 DB OTC</t>
  </si>
  <si>
    <t>CCY_AUD/USD SWAP_20.6bp_0519_1 BNP OTC</t>
  </si>
  <si>
    <t>CCY_AUD/USD SWAP_21.5bp_0719 MS OTC</t>
  </si>
  <si>
    <t>CCY_AUD/USD SWAP_21bp_0619 UBS OTC</t>
  </si>
  <si>
    <t>CCY_AUD/USD SWAP_22.25bp BNP OTC</t>
  </si>
  <si>
    <t>CCY_AUD/USD SWAP_22.5bp_1019 MS OTC</t>
  </si>
  <si>
    <t>CCY_AUD/USD SWAP_22bp_0819_1 DB OTC</t>
  </si>
  <si>
    <t>CCY_AUD/USD SWAP_22bp_0919 BNP OTC</t>
  </si>
  <si>
    <t>CCY_AUD/USD SWAP_22bp_1019 MS OTC</t>
  </si>
  <si>
    <t>CCY_AUD/USD SWAP_23.25bp UBS OTC_0320</t>
  </si>
  <si>
    <t>CCY_AUD/USD SWAP_23.25bp.BNP OTC_1219</t>
  </si>
  <si>
    <t>CCY_AUD/USD SWAP_23.3bp_0919 UBS OTC</t>
  </si>
  <si>
    <t>CCY_AUD/USD SWAP_23.75bp_ UBS OTC</t>
  </si>
  <si>
    <t>CCY_AUD/USD SWAP_23.75bp_1119 UBS OTC</t>
  </si>
  <si>
    <t>CCY_AUD/USD SWAP_23.9bp_0 UBS OTC</t>
  </si>
  <si>
    <t>CCY_AUD/USD SWAP_23bp.MS OTC_1119</t>
  </si>
  <si>
    <t>CCY_AUD/USD SWAP_23bp_0120 MS OTC</t>
  </si>
  <si>
    <t>CCY_AUD/USD SWAP_24.75bp. MS OTC_1019</t>
  </si>
  <si>
    <t>CCY_AUD/USD SWAP_26.1bp BNP OTC</t>
  </si>
  <si>
    <t>CCY_AUD/USD SWAP_26.25bp BNP OTC</t>
  </si>
  <si>
    <t>CCY_AUD/USD SWAP_26.5bp MS OTC</t>
  </si>
  <si>
    <t>CCY_AUD/USD SWAP_26bp BNP OTC</t>
  </si>
  <si>
    <t>CCY_AUD/USD SWAP_27.25bp_0619 BNP OTC</t>
  </si>
  <si>
    <t>CCY_AUD/USD SWAP_28.25bp_0519 BNP OTC</t>
  </si>
  <si>
    <t>CCY_AUD/USD SWAP_30.25bp_1020 BNP OTC</t>
  </si>
  <si>
    <t>CCY_CHF/USD SWAP_-49.5bp MS OTC</t>
  </si>
  <si>
    <t>CCY_CHF/USD SWAP_-49.75 MS OTC</t>
  </si>
  <si>
    <t>CCY_CHF/USD SWAP_-55bp_1221_ BNP OTC</t>
  </si>
  <si>
    <t>CCY_CHF/USD SWAP_-58.75bp. MS OTC</t>
  </si>
  <si>
    <t>CCY_CHF/USD SWAP_-58bp_1021_1 DB OTC</t>
  </si>
  <si>
    <t>CCY_CHF/USD SWAP_-66.25bp_0821 OTC_UBS</t>
  </si>
  <si>
    <t>CCY_CHF/USD SWAP_-67.5 UBS OTC</t>
  </si>
  <si>
    <t>CCY_CHF/USD SWAP_-68bp BNP OTC</t>
  </si>
  <si>
    <t>CCY_CHF/USD SWAP_-79.5b_0922_1 BNP OTC</t>
  </si>
  <si>
    <t>CCY_CHF/USD SWAP_54.75bp MS OTC</t>
  </si>
  <si>
    <t>CCY_CNH/USD SWAP_3.205_0918_1 BNP OTC</t>
  </si>
  <si>
    <t>CCY_CNH/USD SWAP_3.33_1018 BNP OTC</t>
  </si>
  <si>
    <t>CCY_CNH/USD SWAP_3.35_0918 DB OTC</t>
  </si>
  <si>
    <t>CCY_CNH/USD SWAP_3.38_1018 UBS OTC</t>
  </si>
  <si>
    <t>CCY_CNH/USD SWAP_3.415_1018_MS OTC</t>
  </si>
  <si>
    <t>CCY_CNH/USD SWAP_3.415bp_1218_1_ BNP OTC</t>
  </si>
  <si>
    <t>CCY_CNH/USD SWAP_3.45bp.BNP OTC</t>
  </si>
  <si>
    <t>CCY_CNH/USD SWAP_3.465bp_1218_ BNP OTC</t>
  </si>
  <si>
    <t>CCY_CNH/USD SWAP_3.47bp.MS OTC</t>
  </si>
  <si>
    <t>CCY_CNH/USD SWAP_3.49_1118 BNP OTC</t>
  </si>
  <si>
    <t>CCY_CNH/USD SWAP_3.49bp.BNP OTC</t>
  </si>
  <si>
    <t>CCY_CNH/USD SWAP_3.49bp_1218_ DB OTC</t>
  </si>
  <si>
    <t>CCY_CNH/USD SWAP_3.4bp_1218_ BNP OTC</t>
  </si>
  <si>
    <t>CCY_CNH/USD SWAP_3.53_1118 BNP OTC</t>
  </si>
  <si>
    <t>CCY_CNH/USD SWAP_3.91bp.BNP OTC_0118</t>
  </si>
  <si>
    <t>CCY_CNH/USD SWAP_4.09bp_0119_ MS OTC</t>
  </si>
  <si>
    <t>CCY_CNH/USD SWAP_4.09bp_1218_ BNP OTC</t>
  </si>
  <si>
    <t>CCY_CNH/USD SWAP_4.15bp_0119_ BNP OTC</t>
  </si>
  <si>
    <t>CCY_CNH/USD SWAP_4.1bp_0119_ UBS OTC</t>
  </si>
  <si>
    <t>CCY_CNH/USD SWAP_4.25bp_1218_ DB OTC</t>
  </si>
  <si>
    <t>CCY_CNH/USD SWAP_4.555bp_1219_1_ BNP OTC</t>
  </si>
  <si>
    <t>CCY_CNH/USD SWAP_4.82bp_1118_1_ BNP OTC</t>
  </si>
  <si>
    <t>CCY_CNH/USD SWAP_4.88bp_1118_1_ DB OTC</t>
  </si>
  <si>
    <t>CCY_GBP/USD SWAP_-10.4bp_ BNP OTC</t>
  </si>
  <si>
    <t>CCY_GBP/USD SWAP_-10bp_0321_ DB OTC</t>
  </si>
  <si>
    <t>CCY_GBP/USD SWAP_-15.5bp_0319_1_ BNP OTC</t>
  </si>
  <si>
    <t>CCY_GBP/USD SWAP_-16.12bp_1218_1_ MS OTC</t>
  </si>
  <si>
    <t>CCY_GBP/USD SWAP_-16bp_0119_ BNP OTC</t>
  </si>
  <si>
    <t>CCY_GBP/USD SWAP_-2bp MS OTC</t>
  </si>
  <si>
    <t>CCY_GBP/USD SWAP_-3bp MS OTC 0919</t>
  </si>
  <si>
    <t>CCY_GBP/USD SWAP_-4.375bp.MS OTC</t>
  </si>
  <si>
    <t>CCY_GBP/USD SWAP_-5.375bp.MS OTC</t>
  </si>
  <si>
    <t>CCY_GBP/USD SWAP_-5.75bp.MS OTC</t>
  </si>
  <si>
    <t>CCY_GBP/USD SWAP_-5.875bp.MS OTC</t>
  </si>
  <si>
    <t>CCY_GBP/USD SWAP_-5bp.UBS OTC</t>
  </si>
  <si>
    <t>CCY_GBP/USD SWAP_3bp.MS OTC</t>
  </si>
  <si>
    <t>CCY GBP Receive Float -3.625bps End 20 Jul 2019</t>
  </si>
  <si>
    <t>CCY_HKD/USD SWAP_4bp_1018_1 BNP OTC</t>
  </si>
  <si>
    <t>CCY_HKD/USD SWAP_6.3_0919_1 BNP OTC</t>
  </si>
  <si>
    <t>CCY_HKD/USD SWAP_6bp_0120_1 MS OTC</t>
  </si>
  <si>
    <t>CCY_HKD/USD SWAP_7.5bp BNP OTC</t>
  </si>
  <si>
    <t>CCY_HKD/USD SWAP_7.5bp_1119_RC1 BNP OTC</t>
  </si>
  <si>
    <t>CCY_HKD/USD SWAP_7.5bp_1219_1 BNP OTC</t>
  </si>
  <si>
    <t>CCY_HKD/USD SWAP_7_0819_1 BNP OTC</t>
  </si>
  <si>
    <t>CCY_JPY/USD SWAP_-101bp UBS OTC</t>
  </si>
  <si>
    <t>CCY_JPY/USD SWAP_-108bp UBS OTC</t>
  </si>
  <si>
    <t>CCY_JPY/USD SWAP_-69.25bp MS OTC</t>
  </si>
  <si>
    <t>CCY_JPY/USD SWAP_-73.75bp_0119_ BNP OTC</t>
  </si>
  <si>
    <t>CCY_JPY/USD SWAP_-73.87bp.UBS OTC</t>
  </si>
  <si>
    <t>CCY_JPY/USD SWAP_-73bp BNP OTC</t>
  </si>
  <si>
    <t>CCY_JPY/USD SWAP_-74.375bp_1218_ BNP OTC</t>
  </si>
  <si>
    <t>CCY_JPY/USD SWAP_-75.5bp_0219_ BNP OTC</t>
  </si>
  <si>
    <t>CCY_JPY/USD SWAP_-75.5bp_0619 MS OTC</t>
  </si>
  <si>
    <t>CCY_JPY/USD SWAP_-75.6bp_ MS OTC</t>
  </si>
  <si>
    <t>CCY_JPY/USD SWAP_-76.87_0918 BNP OTC</t>
  </si>
  <si>
    <t>CCY_JPY/USD SWAP_-76bp_1218_1_ UBS OTC</t>
  </si>
  <si>
    <t>CCY_JPY/USD SWAP_-77.562bp_1219_ BNP OTC</t>
  </si>
  <si>
    <t>CCY_JPY/USD SWAP_-77.87bp_0419_ DB OTC</t>
  </si>
  <si>
    <t>CCY_JPY/USD SWAP_-77bp_0519 BNP OTC</t>
  </si>
  <si>
    <t>CCY_JPY/USD SWAP_-77bp_0619_ BNP OTC</t>
  </si>
  <si>
    <t>CCY_JPY/USD SWAP_-78.1bp_0519 MS OTC</t>
  </si>
  <si>
    <t>CCY_JPY/USD SWAP_-78.25bp_0319_ BNP OTC</t>
  </si>
  <si>
    <t>CCY_JPY/USD SWAP_-78.4bp_0919_ DB OTC</t>
  </si>
  <si>
    <t>CCY_JPY/USD SWAP_-78.5b_0219_1 DB OTC</t>
  </si>
  <si>
    <t>CCY_JPY/USD SWAP_-78.62bp_0818 BNP OTC</t>
  </si>
  <si>
    <t>CCY_JPY/USD SWAP_-78bp_0419_DB OTC</t>
  </si>
  <si>
    <t>CCY_JPY/USD SWAP_-78bp_1119_ BNP OTC</t>
  </si>
  <si>
    <t>CCY_JPY/USD SWAP_-78bp_1218 UBS OTC</t>
  </si>
  <si>
    <t>CCY_JPY/USD SWAP_-79.2bp MS OTC</t>
  </si>
  <si>
    <t>CCY_JPY/USD SWAP_-79.5b_0419_ DB OTC</t>
  </si>
  <si>
    <t>CCY_JPY/USD SWAP_-79.5bp_1118_1a OTC_UBS</t>
  </si>
  <si>
    <t>CCY_JPY/USD SWAP_-79.5bp_1118_1b OTC_DB</t>
  </si>
  <si>
    <t>CCY_JPY/USD SWAP_-79.62bp BNP OTC</t>
  </si>
  <si>
    <t>CCY_JPY/USD SWAP_-79bp_1019_ DB OTC</t>
  </si>
  <si>
    <t>CCY_JPY/USD SWAP_-80.25_1218_1 DB OTC</t>
  </si>
  <si>
    <t>CCY_JPY/USD SWAP_-80.75bp_0119_1_ MS OTC</t>
  </si>
  <si>
    <t>CCY_JPY/USD SWAP_-81.25_0 DB OTC</t>
  </si>
  <si>
    <t>CCY_JPY/USD SWAP_-81.25bp_0519_ DB OTC</t>
  </si>
  <si>
    <t>CCY_JPY/USD SWAP_-81.5bp_ UBS OTC</t>
  </si>
  <si>
    <t>CCY_JPY/USD SWAP_-81.75_0119_1 MS OTC</t>
  </si>
  <si>
    <t>CCY_JPY/USD SWAP_-81.75bp MS OTC</t>
  </si>
  <si>
    <t>CCY_JPY/USD SWAP_-82.5_1018 DB OTC</t>
  </si>
  <si>
    <t>CCY_JPY/USD SWAP_-82.5bp MS OTC</t>
  </si>
  <si>
    <t>CCY_JPY/USD SWAP_-82.75 BNP OTC</t>
  </si>
  <si>
    <t>CCY_JPY/USD SWAP_-82.75bp_0219_ MS OTC</t>
  </si>
  <si>
    <t>CCY_JPY/USD SWAP_-83.25bp_0119_ BNP OTC</t>
  </si>
  <si>
    <t>CCY_JPY/USD SWAP_-83.25bp_0419_ DB OTC</t>
  </si>
  <si>
    <t>CCY_JPY/USD SWAP_-83bp_0219_1_ DB OTC</t>
  </si>
  <si>
    <t>CCY_JPY/USD SWAP_-83bp_0319_1_ BNP OTC</t>
  </si>
  <si>
    <t>CCY_JPY/USD SWAP_-84.25bp_0319_ BNP OTC</t>
  </si>
  <si>
    <t>CCY_JPY/USD SWAP_-84.5bp_0319_1_ DB OTC</t>
  </si>
  <si>
    <t>CCY_JPY/USD SWAP_-85bp_0519_ DB OTC</t>
  </si>
  <si>
    <t>CCY_JPY/USD SWAP_-85bp_0519_1b_ DB OTC</t>
  </si>
  <si>
    <t>CCY_JPY/USD SWAP_-87.5bp_0219_ DB OTC</t>
  </si>
  <si>
    <t>CCY_JPY/USD SWAP_-87.75 UBS OTC</t>
  </si>
  <si>
    <t>CCY_JPY/USD SWAP_-87.9bp BNP OTC</t>
  </si>
  <si>
    <t>CCY_JPY/USD SWAP_-91.25bp_0319 UBS OTC</t>
  </si>
  <si>
    <t>CCY_JPY/USD SWAP_-92.25bp.  MS OTC</t>
  </si>
  <si>
    <t>CCY_JPY/USD SWAP_-96.25bp_1219 UBS OTC</t>
  </si>
  <si>
    <t>CCY_NZD/USD SWAP_21.25_0818_1 MS OTC</t>
  </si>
  <si>
    <t>CCY_NZD/USD SWAP_22.25bp_0119_ BNP OTC</t>
  </si>
  <si>
    <t>CCY_NZD/USD SWAP_22.75bp_0119_ BNP OTC</t>
  </si>
  <si>
    <t>CCY_NZD/USD SWAP_22bp_0219_ DB OTC</t>
  </si>
  <si>
    <t>CCY_NZD/USD SWAP_22bp_1218_1_ DB OTC</t>
  </si>
  <si>
    <t>CCY_NZD/USD SWAP_23.25bp BNP OTC</t>
  </si>
  <si>
    <t>CCY_NZD/USD SWAP_23.25bp MS OTC</t>
  </si>
  <si>
    <t>CCY_NZD/USD SWAP_25.25bp_0319_ DB OTC</t>
  </si>
  <si>
    <t>CCY_NZD/USD SWAP_26bp MS OTC</t>
  </si>
  <si>
    <t>CCY_NZD/USD SWAP_26bp MS OTC_0720</t>
  </si>
  <si>
    <t>CCY_NZD/USD SWAP_26bp UBS OTC_0720</t>
  </si>
  <si>
    <t>CCY_NZD/USD SWAP_27.65bp BNP OTC</t>
  </si>
  <si>
    <t>CCY_NZD/USD SWAP_28_1120 BNP OTC</t>
  </si>
  <si>
    <t>CCY_NZD/USD SWAP_28bp_1120 MS OTC</t>
  </si>
  <si>
    <t>CCY_NZD/USD SWAP_29 BNP OTC</t>
  </si>
  <si>
    <t>CCY_NZD/USD SWAP_29.25bp_1219_1_ UBS OTC</t>
  </si>
  <si>
    <t>CCY_NZD/USD SWAP_29bp MS OTC</t>
  </si>
  <si>
    <t>CCY_NZD/USD SWAP_30.3 UBS OTC</t>
  </si>
  <si>
    <t>CCY_NZD/USD SWAP_30.5bp_1219_1_ BNP OTC</t>
  </si>
  <si>
    <t>CCY_NZD/USD SWAP_30.75bp BNP OTC</t>
  </si>
  <si>
    <t>CCY_NZD/USD SWAP_30bp UBS OTC</t>
  </si>
  <si>
    <t>CCY_NZD/USD SWAP_31.25bp UBS OTC</t>
  </si>
  <si>
    <t>CCY_NZD/USD SWAP_31.25bp_1019 UBS OTC</t>
  </si>
  <si>
    <t>CCY_NZD/USD SWAP_31.75bp_1119 UBS OTC</t>
  </si>
  <si>
    <t>CCY_NZD/USD SWAP_42bp_1120_1_DB OTC</t>
  </si>
  <si>
    <t>CCY_SGD/USD SWAP_-25bp_0720_ BNP OTC</t>
  </si>
  <si>
    <t>CCY_SGD/USD SWAP_-29bp_0121_ BNP OTC</t>
  </si>
  <si>
    <t>CCY_SGD/USD SWAP_-29bp_0221_ UBS OTC</t>
  </si>
  <si>
    <t>CCY_SGD/USD SWAP_-32.5bp_0421_ BNP OTC</t>
  </si>
  <si>
    <t>CCY_SGD/USD SWAP_-35bp_0820 UBS OTC</t>
  </si>
  <si>
    <t>CCY_SGD/USD SWAP_-37bp_0121 BNP OTC</t>
  </si>
  <si>
    <t>CCY_SGD/USD SWAP_-37bp_1220 BNP OTC</t>
  </si>
  <si>
    <t>CCY_SGD/USD SWAP_-40.6bp_0221_1_BNP OTC</t>
  </si>
  <si>
    <t>CCY_SGD/USD SWAP_-40bp.UBS OTC</t>
  </si>
  <si>
    <t>CCY_SGD/USD SWAP_-42bp_0521 BNP OTC</t>
  </si>
  <si>
    <t>CCY_SGD/USD SWAP_-44.7bp_0621 BNP OTC</t>
  </si>
  <si>
    <t>CCY_SGD/USD SWAP_-46.5bp.BNP OTC</t>
  </si>
  <si>
    <t>CCY_SGD/USD SWAP_-47bp.BNP OTC</t>
  </si>
  <si>
    <t>CCY_SGD/USD SWAP_-48.5bp.BNP OTC</t>
  </si>
  <si>
    <t>CCY_SGD/USD SWAP_-52bp BNP OTC</t>
  </si>
  <si>
    <t>CCY_SGD/USD SWAP_-55bp.BNP OTC</t>
  </si>
  <si>
    <t>CCY_SGD/USD SWAP_-56.75 BNP OTC</t>
  </si>
  <si>
    <t>CCY_SGD/USD SWAP_-58bp. BNP OTC</t>
  </si>
  <si>
    <t>CCY_SGD/USD SWAP_-60.25 BNP OTC</t>
  </si>
  <si>
    <t>CCY_SGD/USD SWAP_-61.5bp BNP OTC</t>
  </si>
  <si>
    <t>CCY_SGD/USD SWAP_-61bp BNP OTC</t>
  </si>
  <si>
    <t>CCY_SGD/USD SWAP_-65bp BNP OTC</t>
  </si>
  <si>
    <t>CCY_SGD/USD SWAP_-65bp BNP OTC_0820</t>
  </si>
  <si>
    <t>CCY_SGD/USD SWAP_-72.8bp BNP OTC</t>
  </si>
  <si>
    <t>McpOmniEvent</t>
  </si>
  <si>
    <t>CCY_RATE</t>
  </si>
  <si>
    <t>Bond (Financial, Subordinated)</t>
  </si>
  <si>
    <t>BAIDU INC-SP ADR</t>
  </si>
  <si>
    <t>BIDU US Equity</t>
  </si>
  <si>
    <t>Baa2</t>
  </si>
  <si>
    <t>BB</t>
  </si>
  <si>
    <t>MERRILL LYNCH IN</t>
  </si>
  <si>
    <t>Brokers</t>
  </si>
  <si>
    <t>1128007Z LN Equity</t>
  </si>
  <si>
    <t>MORGAN STANLEY &amp;</t>
  </si>
  <si>
    <t>56243Z LN Equity</t>
  </si>
  <si>
    <t>CASH: MERRILL LYNCH IN</t>
  </si>
  <si>
    <t>CASH: MORGAN STANLEY &amp;</t>
  </si>
  <si>
    <t>JPY</t>
  </si>
  <si>
    <t>CHINA UNICOM</t>
  </si>
  <si>
    <t>762 HK Equity</t>
  </si>
  <si>
    <t>CHINA UNICOM HONG KONG LTD</t>
  </si>
  <si>
    <t>GALAXY ENTERTAIN</t>
  </si>
  <si>
    <t>27 HK Equity</t>
  </si>
  <si>
    <t>GALAXY ENTERTAINMENT GROUP L</t>
  </si>
  <si>
    <t>CHINA COM CONS-H</t>
  </si>
  <si>
    <t>1800 HK Equity</t>
  </si>
  <si>
    <t>CHINA COMMUNICATIONS CONST-H</t>
  </si>
  <si>
    <t>SANDS CHINA LTD</t>
  </si>
  <si>
    <t>1928 HK Equity</t>
  </si>
  <si>
    <t>CHINA INTERNAT-H</t>
  </si>
  <si>
    <t>3908 HK Equity</t>
  </si>
  <si>
    <t>CASH: CHINA INTERNAT-H</t>
  </si>
  <si>
    <t>XIANGTAN ELEC-A</t>
  </si>
  <si>
    <t>600416 CH Equity</t>
  </si>
  <si>
    <t>CHINA RAIL GR-H</t>
  </si>
  <si>
    <t>390 HK Equity</t>
  </si>
  <si>
    <t>CHINA YUHUA EDUC</t>
  </si>
  <si>
    <t>6169 HK Equity</t>
  </si>
  <si>
    <t>BAIYUNSHAN PH-H</t>
  </si>
  <si>
    <t>874 HK Equity</t>
  </si>
  <si>
    <t>HARBIN ELECTRI-H</t>
  </si>
  <si>
    <t>1133 HK Equity</t>
  </si>
  <si>
    <t>KINGSOFT CORP</t>
  </si>
  <si>
    <t>3888 HK Equity</t>
  </si>
  <si>
    <t>MELCO INTL DEV</t>
  </si>
  <si>
    <t>200 HK Equity</t>
  </si>
  <si>
    <t>MINSHENG EDUCATI</t>
  </si>
  <si>
    <t>1569 HK Equity</t>
  </si>
  <si>
    <t>SHENZ INTL HLDG</t>
  </si>
  <si>
    <t>152 HK Equity</t>
  </si>
  <si>
    <t>NEW ORIENTAL-ADR</t>
  </si>
  <si>
    <t>EDU US Equity</t>
  </si>
  <si>
    <t>1378 HK Equity</t>
  </si>
  <si>
    <t>CHINA HONGQIAO</t>
  </si>
  <si>
    <t>CDS Index BUY</t>
  </si>
  <si>
    <t>CHINA HONGQIAO GROUP LTD</t>
  </si>
  <si>
    <t>BAIDU INC - SPON ADR</t>
  </si>
  <si>
    <t>JPY per HKD @  14.320950 MORGAN01 - 04/28/2017</t>
  </si>
  <si>
    <t>CGN NEW ENERGY H</t>
  </si>
  <si>
    <t>1811 HK Equity</t>
  </si>
  <si>
    <t>CGN MEIYA POWER HOLDINGS CO</t>
  </si>
  <si>
    <t>CGN POWER-H</t>
  </si>
  <si>
    <t>1816 HK Equity</t>
  </si>
  <si>
    <t>CGN POWER CO LTD-H</t>
  </si>
  <si>
    <t>CHINA RAILWAY GROUP LTD-H</t>
  </si>
  <si>
    <t>CHINA YUHUA EDUCATION CORP L</t>
  </si>
  <si>
    <t>GREENTOWN SERVIC</t>
  </si>
  <si>
    <t>2869 HK Equity</t>
  </si>
  <si>
    <t>GREENTOWN SERVICE GROUP CO L</t>
  </si>
  <si>
    <t>GUANGZHOU BAIYUNSHAN PHARM-H</t>
  </si>
  <si>
    <t>HARBIN ELECTRIC CO LTD-H</t>
  </si>
  <si>
    <t>KINGSOFT CORP LTD</t>
  </si>
  <si>
    <t>LIFESTYLE CHINA</t>
  </si>
  <si>
    <t>2136 HK Equity</t>
  </si>
  <si>
    <t>LIFESTYLE CHINA GROUP LTD</t>
  </si>
  <si>
    <t>MELCO INTERNATIONAL DEVELOP.</t>
  </si>
  <si>
    <t>MINSHENG EDUCATION GROUP CO</t>
  </si>
  <si>
    <t>SHENZHEN INTL HOLDINGS</t>
  </si>
  <si>
    <t>NEW ORIENTAL EDUCATIO-SP ADR</t>
  </si>
  <si>
    <t>SHANGHAI ZHENH-B</t>
  </si>
  <si>
    <t>900947 CH Equity</t>
  </si>
  <si>
    <t>SHANGHAI ZHENHUA HEAVY IND-B</t>
  </si>
  <si>
    <t>XIANGTAN ELECTRIC MANUFACT-A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</si>
</sst>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_-* #,##0_-;\-* #,##0_-;_-* &quot;-&quot;_-;_-@_-"/>
    <numFmt numFmtId="177" formatCode="0.0%"/>
    <numFmt numFmtId="178" formatCode="0.000%"/>
  </numFmts>
  <fonts count="3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0"/>
      <color theme="1"/>
      <name val="Arial"/>
      <family val="2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rgb="FF000000"/>
      <name val="Arial"/>
      <family val="2"/>
    </font>
    <font>
      <sz val="11"/>
      <name val="ＭＳ Ｐゴシック"/>
      <family val="3"/>
      <charset val="128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rgb="FFFF0000"/>
      <name val="游ゴシック"/>
      <family val="3"/>
      <charset val="128"/>
      <scheme val="minor"/>
    </font>
    <font>
      <b/>
      <sz val="10"/>
      <color rgb="FF000000"/>
      <name val="ＭＳ Ｐゴシック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755851924192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7558519241921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5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8" fillId="0" borderId="0"/>
    <xf numFmtId="9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0" fontId="9" fillId="0" borderId="0">
      <alignment vertical="center"/>
    </xf>
    <xf numFmtId="38" fontId="9" fillId="0" borderId="0" applyFont="0" applyFill="0" applyBorder="0" applyAlignment="0" applyProtection="0">
      <alignment vertical="center"/>
    </xf>
    <xf numFmtId="0" fontId="10" fillId="0" borderId="0" applyNumberFormat="0" applyBorder="0" applyAlignment="0"/>
    <xf numFmtId="0" fontId="11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8" fillId="6" borderId="8" applyNumberFormat="0" applyAlignment="0" applyProtection="0">
      <alignment vertical="center"/>
    </xf>
    <xf numFmtId="0" fontId="19" fillId="7" borderId="9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2" fillId="8" borderId="1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" fillId="9" borderId="12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176" fontId="28" fillId="0" borderId="0" applyFont="0" applyFill="0" applyBorder="0" applyAlignment="0" applyProtection="0"/>
    <xf numFmtId="0" fontId="28" fillId="0" borderId="0"/>
    <xf numFmtId="9" fontId="28" fillId="0" borderId="0" applyFont="0" applyFill="0" applyBorder="0" applyAlignment="0" applyProtection="0"/>
    <xf numFmtId="0" fontId="28" fillId="0" borderId="0"/>
    <xf numFmtId="9" fontId="1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2" fillId="2" borderId="1" xfId="0" applyFont="1" applyFill="1" applyBorder="1" applyAlignment="1"/>
    <xf numFmtId="0" fontId="5" fillId="2" borderId="2" xfId="0" applyFont="1" applyFill="1" applyBorder="1" applyAlignment="1">
      <alignment horizontal="center"/>
    </xf>
    <xf numFmtId="0" fontId="2" fillId="0" borderId="3" xfId="0" applyFont="1" applyBorder="1" applyAlignment="1"/>
    <xf numFmtId="0" fontId="5" fillId="0" borderId="4" xfId="0" applyFont="1" applyBorder="1" applyAlignment="1">
      <alignment horizontal="center"/>
    </xf>
    <xf numFmtId="0" fontId="2" fillId="2" borderId="3" xfId="0" applyFont="1" applyFill="1" applyBorder="1" applyAlignment="1"/>
    <xf numFmtId="0" fontId="6" fillId="2" borderId="4" xfId="0" applyFont="1" applyFill="1" applyBorder="1" applyAlignment="1">
      <alignment horizontal="center"/>
    </xf>
    <xf numFmtId="38" fontId="6" fillId="0" borderId="4" xfId="1" applyFont="1" applyBorder="1" applyAlignment="1">
      <alignment horizontal="center"/>
    </xf>
    <xf numFmtId="40" fontId="5" fillId="2" borderId="4" xfId="1" applyNumberFormat="1" applyFont="1" applyFill="1" applyBorder="1" applyAlignment="1">
      <alignment horizontal="center"/>
    </xf>
    <xf numFmtId="14" fontId="0" fillId="0" borderId="0" xfId="0" applyNumberFormat="1">
      <alignment vertical="center"/>
    </xf>
    <xf numFmtId="2" fontId="0" fillId="0" borderId="0" xfId="0" applyNumberFormat="1">
      <alignment vertical="center"/>
    </xf>
    <xf numFmtId="38" fontId="0" fillId="0" borderId="0" xfId="1" applyFon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27" fillId="2" borderId="1" xfId="0" applyFont="1" applyFill="1" applyBorder="1" applyAlignment="1"/>
    <xf numFmtId="0" fontId="6" fillId="2" borderId="2" xfId="0" applyFont="1" applyFill="1" applyBorder="1" applyAlignment="1">
      <alignment horizontal="center"/>
    </xf>
    <xf numFmtId="0" fontId="27" fillId="0" borderId="3" xfId="0" applyFont="1" applyBorder="1" applyAlignment="1"/>
    <xf numFmtId="0" fontId="6" fillId="0" borderId="4" xfId="0" applyFont="1" applyBorder="1" applyAlignment="1">
      <alignment horizontal="center"/>
    </xf>
    <xf numFmtId="0" fontId="27" fillId="2" borderId="3" xfId="0" applyFont="1" applyFill="1" applyBorder="1" applyAlignment="1"/>
    <xf numFmtId="40" fontId="6" fillId="2" borderId="4" xfId="1" applyNumberFormat="1" applyFont="1" applyFill="1" applyBorder="1" applyAlignment="1">
      <alignment horizontal="center"/>
    </xf>
    <xf numFmtId="0" fontId="28" fillId="0" borderId="14" xfId="50" applyFont="1" applyFill="1" applyBorder="1" applyAlignment="1">
      <alignment horizontal="center" vertical="center"/>
    </xf>
    <xf numFmtId="9" fontId="28" fillId="0" borderId="0" xfId="51" applyFont="1" applyFill="1" applyBorder="1" applyAlignment="1">
      <alignment vertical="center"/>
    </xf>
    <xf numFmtId="9" fontId="28" fillId="0" borderId="21" xfId="51" applyFont="1" applyFill="1" applyBorder="1" applyAlignment="1">
      <alignment vertical="center"/>
    </xf>
    <xf numFmtId="9" fontId="28" fillId="0" borderId="25" xfId="51" applyFont="1" applyFill="1" applyBorder="1" applyAlignment="1">
      <alignment vertical="center"/>
    </xf>
    <xf numFmtId="9" fontId="28" fillId="0" borderId="22" xfId="51" applyFont="1" applyFill="1" applyBorder="1" applyAlignment="1">
      <alignment vertical="center"/>
    </xf>
    <xf numFmtId="9" fontId="28" fillId="0" borderId="18" xfId="51" applyFont="1" applyFill="1" applyBorder="1" applyAlignment="1">
      <alignment vertical="center"/>
    </xf>
    <xf numFmtId="9" fontId="28" fillId="0" borderId="17" xfId="51" applyFont="1" applyFill="1" applyBorder="1" applyAlignment="1">
      <alignment vertical="center"/>
    </xf>
    <xf numFmtId="0" fontId="0" fillId="0" borderId="0" xfId="0">
      <alignment vertical="center"/>
    </xf>
    <xf numFmtId="0" fontId="0" fillId="0" borderId="14" xfId="0" quotePrefix="1" applyBorder="1" applyAlignment="1"/>
    <xf numFmtId="9" fontId="0" fillId="0" borderId="14" xfId="0" applyNumberFormat="1" applyBorder="1" applyAlignment="1"/>
    <xf numFmtId="10" fontId="0" fillId="0" borderId="14" xfId="0" applyNumberFormat="1" applyBorder="1" applyAlignment="1"/>
    <xf numFmtId="0" fontId="28" fillId="0" borderId="0" xfId="50" applyFont="1" applyFill="1" applyAlignment="1">
      <alignment vertical="center"/>
    </xf>
    <xf numFmtId="0" fontId="29" fillId="0" borderId="0" xfId="50" applyFont="1" applyFill="1" applyAlignment="1">
      <alignment vertical="center"/>
    </xf>
    <xf numFmtId="0" fontId="28" fillId="0" borderId="15" xfId="50" applyFont="1" applyFill="1" applyBorder="1" applyAlignment="1">
      <alignment horizontal="left" vertical="center"/>
    </xf>
    <xf numFmtId="0" fontId="28" fillId="0" borderId="16" xfId="50" applyFont="1" applyFill="1" applyBorder="1" applyAlignment="1">
      <alignment vertical="center"/>
    </xf>
    <xf numFmtId="0" fontId="28" fillId="0" borderId="23" xfId="50" applyFont="1" applyFill="1" applyBorder="1" applyAlignment="1">
      <alignment horizontal="left" vertical="center"/>
    </xf>
    <xf numFmtId="0" fontId="28" fillId="0" borderId="27" xfId="50" applyFont="1" applyFill="1" applyBorder="1" applyAlignment="1">
      <alignment vertical="center"/>
    </xf>
    <xf numFmtId="0" fontId="28" fillId="0" borderId="20" xfId="50" applyFont="1" applyFill="1" applyBorder="1" applyAlignment="1">
      <alignment horizontal="left" vertical="center"/>
    </xf>
    <xf numFmtId="0" fontId="28" fillId="0" borderId="26" xfId="50" applyFont="1" applyFill="1" applyBorder="1" applyAlignment="1">
      <alignment vertical="center"/>
    </xf>
    <xf numFmtId="0" fontId="28" fillId="0" borderId="0" xfId="50" applyFont="1" applyFill="1" applyBorder="1" applyAlignment="1">
      <alignment horizontal="left" vertical="center"/>
    </xf>
    <xf numFmtId="0" fontId="28" fillId="0" borderId="0" xfId="50" applyFont="1" applyFill="1" applyBorder="1" applyAlignment="1">
      <alignment vertical="center"/>
    </xf>
    <xf numFmtId="0" fontId="28" fillId="0" borderId="22" xfId="50" applyFont="1" applyFill="1" applyBorder="1" applyAlignment="1">
      <alignment horizontal="left" vertical="center"/>
    </xf>
    <xf numFmtId="0" fontId="28" fillId="0" borderId="19" xfId="50" applyFont="1" applyFill="1" applyBorder="1" applyAlignment="1">
      <alignment horizontal="left" vertical="center"/>
    </xf>
    <xf numFmtId="0" fontId="28" fillId="0" borderId="18" xfId="50" applyFill="1" applyBorder="1" applyAlignment="1">
      <alignment horizontal="left" vertical="center"/>
    </xf>
    <xf numFmtId="0" fontId="28" fillId="0" borderId="18" xfId="50" applyFont="1" applyFill="1" applyBorder="1" applyAlignment="1">
      <alignment horizontal="left" vertical="center"/>
    </xf>
    <xf numFmtId="0" fontId="28" fillId="0" borderId="25" xfId="50" applyFont="1" applyFill="1" applyBorder="1" applyAlignment="1">
      <alignment horizontal="left" vertical="center"/>
    </xf>
    <xf numFmtId="0" fontId="28" fillId="0" borderId="17" xfId="50" applyFont="1" applyFill="1" applyBorder="1" applyAlignment="1">
      <alignment horizontal="left" vertical="center"/>
    </xf>
    <xf numFmtId="0" fontId="28" fillId="0" borderId="21" xfId="50" applyFont="1" applyFill="1" applyBorder="1" applyAlignment="1">
      <alignment horizontal="left" vertical="center"/>
    </xf>
    <xf numFmtId="0" fontId="28" fillId="0" borderId="19" xfId="50" applyFont="1" applyFill="1" applyBorder="1" applyAlignment="1">
      <alignment horizontal="left" vertical="center" wrapText="1"/>
    </xf>
    <xf numFmtId="0" fontId="28" fillId="0" borderId="22" xfId="50" applyFill="1" applyBorder="1" applyAlignment="1">
      <alignment horizontal="left" vertical="center"/>
    </xf>
    <xf numFmtId="0" fontId="28" fillId="0" borderId="21" xfId="50" applyFill="1" applyBorder="1" applyAlignment="1">
      <alignment horizontal="left" vertical="center"/>
    </xf>
    <xf numFmtId="0" fontId="30" fillId="0" borderId="14" xfId="50" applyFont="1" applyFill="1" applyBorder="1" applyAlignment="1">
      <alignment horizontal="center" vertical="center" wrapText="1"/>
    </xf>
    <xf numFmtId="9" fontId="28" fillId="0" borderId="24" xfId="51" applyFont="1" applyFill="1" applyBorder="1" applyAlignment="1">
      <alignment vertical="center"/>
    </xf>
    <xf numFmtId="9" fontId="28" fillId="0" borderId="24" xfId="51" applyFont="1" applyFill="1" applyBorder="1" applyAlignment="1">
      <alignment vertical="center" wrapText="1"/>
    </xf>
    <xf numFmtId="0" fontId="28" fillId="34" borderId="18" xfId="50" applyFont="1" applyFill="1" applyBorder="1" applyAlignment="1">
      <alignment horizontal="left" vertical="center"/>
    </xf>
    <xf numFmtId="9" fontId="28" fillId="34" borderId="18" xfId="51" applyFont="1" applyFill="1" applyBorder="1" applyAlignment="1">
      <alignment vertical="center"/>
    </xf>
    <xf numFmtId="9" fontId="28" fillId="34" borderId="24" xfId="51" applyFont="1" applyFill="1" applyBorder="1" applyAlignment="1">
      <alignment vertical="center"/>
    </xf>
    <xf numFmtId="0" fontId="0" fillId="0" borderId="14" xfId="0" applyBorder="1">
      <alignment vertical="center"/>
    </xf>
    <xf numFmtId="10" fontId="0" fillId="0" borderId="14" xfId="0" applyNumberFormat="1" applyBorder="1">
      <alignment vertical="center"/>
    </xf>
    <xf numFmtId="9" fontId="0" fillId="0" borderId="14" xfId="0" applyNumberFormat="1" applyBorder="1">
      <alignment vertical="center"/>
    </xf>
    <xf numFmtId="0" fontId="23" fillId="34" borderId="14" xfId="0" applyFont="1" applyFill="1" applyBorder="1">
      <alignment vertical="center"/>
    </xf>
    <xf numFmtId="9" fontId="31" fillId="34" borderId="14" xfId="0" applyNumberFormat="1" applyFont="1" applyFill="1" applyBorder="1">
      <alignment vertical="center"/>
    </xf>
    <xf numFmtId="0" fontId="31" fillId="34" borderId="14" xfId="0" applyFont="1" applyFill="1" applyBorder="1">
      <alignment vertical="center"/>
    </xf>
    <xf numFmtId="9" fontId="0" fillId="0" borderId="0" xfId="53" applyFont="1">
      <alignment vertical="center"/>
    </xf>
    <xf numFmtId="9" fontId="0" fillId="0" borderId="0" xfId="0" applyNumberFormat="1">
      <alignment vertical="center"/>
    </xf>
    <xf numFmtId="10" fontId="0" fillId="0" borderId="0" xfId="53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0" fontId="0" fillId="0" borderId="0" xfId="0" applyNumberFormat="1">
      <alignment vertical="center"/>
    </xf>
    <xf numFmtId="0" fontId="0" fillId="0" borderId="14" xfId="0" quotePrefix="1" applyBorder="1">
      <alignment vertical="center"/>
    </xf>
    <xf numFmtId="38" fontId="0" fillId="0" borderId="0" xfId="1" applyNumberFormat="1" applyFont="1">
      <alignment vertical="center"/>
    </xf>
    <xf numFmtId="38" fontId="0" fillId="0" borderId="0" xfId="0" applyNumberFormat="1">
      <alignment vertical="center"/>
    </xf>
    <xf numFmtId="177" fontId="0" fillId="0" borderId="0" xfId="53" applyNumberFormat="1" applyFont="1">
      <alignment vertical="center"/>
    </xf>
    <xf numFmtId="178" fontId="0" fillId="0" borderId="0" xfId="53" applyNumberFormat="1" applyFont="1">
      <alignment vertical="center"/>
    </xf>
    <xf numFmtId="0" fontId="0" fillId="0" borderId="22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4" xfId="0" applyBorder="1" applyAlignment="1">
      <alignment vertical="center"/>
    </xf>
  </cellXfs>
  <cellStyles count="54">
    <cellStyle name="20% - アクセント 1" xfId="26" builtinId="30" customBuiltin="1"/>
    <cellStyle name="20% - アクセント 2" xfId="30" builtinId="34" customBuiltin="1"/>
    <cellStyle name="20% - アクセント 3" xfId="34" builtinId="38" customBuiltin="1"/>
    <cellStyle name="20% - アクセント 4" xfId="38" builtinId="42" customBuiltin="1"/>
    <cellStyle name="20% - アクセント 5" xfId="42" builtinId="46" customBuiltin="1"/>
    <cellStyle name="20% - アクセント 6" xfId="46" builtinId="50" customBuiltin="1"/>
    <cellStyle name="40% - アクセント 1" xfId="27" builtinId="31" customBuiltin="1"/>
    <cellStyle name="40% - アクセント 2" xfId="31" builtinId="35" customBuiltin="1"/>
    <cellStyle name="40% - アクセント 3" xfId="35" builtinId="39" customBuiltin="1"/>
    <cellStyle name="40% - アクセント 4" xfId="39" builtinId="43" customBuiltin="1"/>
    <cellStyle name="40% - アクセント 5" xfId="43" builtinId="47" customBuiltin="1"/>
    <cellStyle name="40% - アクセント 6" xfId="47" builtinId="51" customBuiltin="1"/>
    <cellStyle name="60% - アクセント 1" xfId="28" builtinId="32" customBuiltin="1"/>
    <cellStyle name="60% - アクセント 2" xfId="32" builtinId="36" customBuiltin="1"/>
    <cellStyle name="60% - アクセント 3" xfId="36" builtinId="40" customBuiltin="1"/>
    <cellStyle name="60% - アクセント 4" xfId="40" builtinId="44" customBuiltin="1"/>
    <cellStyle name="60% - アクセント 5" xfId="44" builtinId="48" customBuiltin="1"/>
    <cellStyle name="60% - アクセント 6" xfId="48" builtinId="52" customBuiltin="1"/>
    <cellStyle name="Normal 2" xfId="52"/>
    <cellStyle name="アクセント 1" xfId="25" builtinId="29" customBuiltin="1"/>
    <cellStyle name="アクセント 2" xfId="29" builtinId="33" customBuiltin="1"/>
    <cellStyle name="アクセント 3" xfId="33" builtinId="37" customBuiltin="1"/>
    <cellStyle name="アクセント 4" xfId="37" builtinId="41" customBuiltin="1"/>
    <cellStyle name="アクセント 5" xfId="41" builtinId="45" customBuiltin="1"/>
    <cellStyle name="アクセント 6" xfId="45" builtinId="49" customBuiltin="1"/>
    <cellStyle name="タイトル" xfId="8" builtinId="15" customBuiltin="1"/>
    <cellStyle name="チェック セル" xfId="20" builtinId="23" customBuiltin="1"/>
    <cellStyle name="どちらでもない" xfId="15" builtinId="28" customBuiltin="1"/>
    <cellStyle name="パーセント" xfId="53" builtinId="5"/>
    <cellStyle name="パーセント 2" xfId="3"/>
    <cellStyle name="パーセント 3" xfId="51"/>
    <cellStyle name="メモ" xfId="22" builtinId="10" customBuiltin="1"/>
    <cellStyle name="リンク セル" xfId="19" builtinId="24" customBuiltin="1"/>
    <cellStyle name="悪い" xfId="14" builtinId="27" customBuiltin="1"/>
    <cellStyle name="計算" xfId="18" builtinId="22" customBuiltin="1"/>
    <cellStyle name="警告文" xfId="21" builtinId="11" customBuiltin="1"/>
    <cellStyle name="桁区切り" xfId="1" builtinId="6"/>
    <cellStyle name="桁区切り 2" xfId="4"/>
    <cellStyle name="桁区切り 3" xfId="6"/>
    <cellStyle name="桁区切り 4" xfId="49"/>
    <cellStyle name="見出し 1" xfId="9" builtinId="16" customBuiltin="1"/>
    <cellStyle name="見出し 2" xfId="10" builtinId="17" customBuiltin="1"/>
    <cellStyle name="見出し 3" xfId="11" builtinId="18" customBuiltin="1"/>
    <cellStyle name="見出し 4" xfId="12" builtinId="19" customBuiltin="1"/>
    <cellStyle name="集計" xfId="24" builtinId="25" customBuiltin="1"/>
    <cellStyle name="出力" xfId="17" builtinId="21" customBuiltin="1"/>
    <cellStyle name="説明文" xfId="23" builtinId="53" customBuiltin="1"/>
    <cellStyle name="入力" xfId="16" builtinId="20" customBuiltin="1"/>
    <cellStyle name="標準" xfId="0" builtinId="0"/>
    <cellStyle name="標準 2" xfId="2"/>
    <cellStyle name="標準 3" xfId="5"/>
    <cellStyle name="標準 4" xfId="50"/>
    <cellStyle name="標準 6" xfId="7"/>
    <cellStyle name="良い" xfId="13" builtinId="26" customBuiltin="1"/>
  </cellStyles>
  <dxfs count="31">
    <dxf>
      <numFmt numFmtId="27" formatCode="yyyy/m/d\ h:mm"/>
    </dxf>
    <dxf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numFmt numFmtId="0" formatCode="General"/>
    </dxf>
    <dxf>
      <numFmt numFmtId="19" formatCode="yyyy/m/d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numFmt numFmtId="19" formatCode="yyyy/m/d"/>
    </dxf>
    <dxf>
      <numFmt numFmtId="19" formatCode="yyyy/m/d"/>
    </dxf>
    <dxf>
      <numFmt numFmtId="19" formatCode="yyyy/m/d"/>
    </dxf>
    <dxf>
      <numFmt numFmtId="27" formatCode="yyyy/m/d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numFmt numFmtId="19" formatCode="yyyy/m/d"/>
    </dxf>
    <dxf>
      <numFmt numFmtId="6" formatCode="#,##0;[Red]\-#,##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externalLink" Target="externalLinks/externalLink3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123825</xdr:rowOff>
        </xdr:from>
        <xdr:to>
          <xdr:col>4</xdr:col>
          <xdr:colOff>504825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466725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0</xdr:row>
          <xdr:rowOff>123825</xdr:rowOff>
        </xdr:from>
        <xdr:to>
          <xdr:col>5</xdr:col>
          <xdr:colOff>1095375</xdr:colOff>
          <xdr:row>1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SCM_CVA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9679;&#25237;&#36039;&#20449;&#35351;&#65381;&#20445;&#38522;&#38283;&#30330;&#12481;&#12540;&#12512;\&#20491;&#20154;&#21029;\&#23567;&#26519;&#65288;&#37057;&#65289;\&#26032;&#12375;&#12356;&#12501;&#12457;&#12523;&#12480;\&#65312;&#65312;&#65312;&#12471;&#12540;&#12489;&#12510;&#12493;&#12540;&#38306;&#36899;\&#65312;&#65312;&#22235;&#21322;&#26399;&#22577;&#21578;&#38306;&#36899;\BIS\0709&#23550;&#24540;\&#21407;&#26412;\&#26032;&#65314;&#65321;&#65331;\QIS3\1106revised&#29256;&#65436;&#65392;&#65400;&#65404;&#65392;&#65412;\&#38306;&#36899;&#20250;&#31038;&#20998;\&#38306;&#20418;&#20250;&#31038;&#21512;&#3533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02_&#12496;&#12540;&#12476;&#12523;&#8545;\01_&#12501;&#12449;&#12531;&#12489;&#25237;&#36039;\&#9670;2007&#24180;&#24230;\200706\05_&#31639;&#20986;&#20316;&#26989;\FundCalc.ver1.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9679;&#25237;&#36039;&#20449;&#35351;&#65381;&#20445;&#38522;&#38283;&#30330;&#12481;&#12540;&#12512;\&#20491;&#20154;&#21029;\&#23567;&#26519;&#65288;&#37057;&#65289;\&#26032;&#12375;&#12356;&#12501;&#12457;&#12523;&#12480;\&#65312;&#65312;&#65312;&#12471;&#12540;&#12489;&#12510;&#12493;&#12540;&#38306;&#36899;\&#65312;&#65312;&#22235;&#21322;&#26399;&#22577;&#21578;&#38306;&#36899;\BIS\0709&#23550;&#24540;\&#21407;&#26412;\01_&#12496;&#12540;&#12476;&#12523;&#8545;\01.&#12501;&#12449;&#12531;&#12489;&#12539;&#25237;&#20449;\04.&#25237;&#36039;&#36939;&#29992;&#37096;\Gmaxcl\common\Users\9011439\DocMan\~DOC2D4\&#24179;&#25104;&#65305;&#24180;&#19979;&#26399;&#20767;&#21364;&#26126;&#32048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rcb1530\c12_proj\&#25345;&#26666;&#20250;&#31038;&#38306;&#36899;\&#12471;&#12473;&#12486;&#12512;&#38283;&#30330;&#65335;&#65319;\&#31532;1&#27425;&#12501;&#12455;&#12540;&#12474;\NewReport&#65288;&#32113;&#21512;&#65289;\&#32113;&#21512;&#38306;&#36899;\&#12487;&#12540;&#12479;&#12505;&#12540;&#12473;&#20316;&#25104;&#36039;&#26009;0323\&#65297;&#27425;&#26283;&#23450;&#12487;&#12540;&#12479;&#12505;&#12540;&#12473;\My%20Documents\default&#29575;&#26908;&#35342;\980723M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a0717908\LOCALS~1\Temp\notes2D17B1\&#21029;&#32025;4&#12288;1103RBA&#30906;&#3546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ME Persistence"/>
      <sheetName val="合計表"/>
      <sheetName val="現行規制・標準的手法"/>
      <sheetName val="内部格付手法"/>
      <sheetName val="Data"/>
      <sheetName val="Capital"/>
      <sheetName val="Current"/>
      <sheetName val="Standardised"/>
      <sheetName val="IRB Retail"/>
      <sheetName val="単体IRB"/>
      <sheetName val="FIRB SME"/>
      <sheetName val="単体FIRB SME"/>
      <sheetName val="AIRB SME"/>
      <sheetName val="単体AIRB SME"/>
      <sheetName val="Checks"/>
      <sheetName val="Summary"/>
      <sheetName val="Related entities"/>
      <sheetName val="FIRB Corporate"/>
      <sheetName val="FIRB Sovereign"/>
      <sheetName val="FIRB Bank"/>
      <sheetName val="FIRB Trading Book"/>
      <sheetName val="AIRB Corporate"/>
      <sheetName val="AIRB Sovereign"/>
      <sheetName val="AIRB Bank"/>
      <sheetName val="AIRB Trading Book"/>
      <sheetName val="IRB Equity"/>
      <sheetName val="IRB Equity (memo)"/>
      <sheetName val="FIRB Specialised lending"/>
      <sheetName val="IRB Receivables"/>
      <sheetName val="Securitisation - Originators"/>
      <sheetName val="Securitisation - Investors"/>
      <sheetName val="Operational risk"/>
      <sheetName val="Notes"/>
    </sheetNames>
    <sheetDataSet>
      <sheetData sheetId="0" refreshError="1"/>
      <sheetData sheetId="1">
        <row r="8">
          <cell r="I8">
            <v>587762</v>
          </cell>
        </row>
        <row r="9">
          <cell r="I9">
            <v>256600</v>
          </cell>
        </row>
        <row r="10">
          <cell r="I10">
            <v>22872</v>
          </cell>
        </row>
        <row r="11">
          <cell r="I11">
            <v>14157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alc"/>
      <sheetName val="Check"/>
      <sheetName val="parameter"/>
      <sheetName val="ver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場償却明細"/>
      <sheetName val="98.3償却明細"/>
      <sheetName val="98.3有税償却明細 "/>
      <sheetName val="無税償却検討資料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80723MA"/>
    </sheetNames>
    <definedNames>
      <definedName name="SaveCsv"/>
    </defined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"/>
      <sheetName val="Sheet1"/>
    </sheetNames>
    <sheetDataSet>
      <sheetData sheetId="0">
        <row r="4">
          <cell r="A4" t="str">
            <v>日本国内</v>
          </cell>
          <cell r="B4" t="str">
            <v>10%未満</v>
          </cell>
          <cell r="C4" t="str">
            <v>公表</v>
          </cell>
          <cell r="E4" t="str">
            <v>リンク</v>
          </cell>
          <cell r="F4" t="str">
            <v>勝手格付</v>
          </cell>
        </row>
        <row r="5">
          <cell r="A5" t="str">
            <v>海外</v>
          </cell>
          <cell r="B5" t="str">
            <v>10%以上</v>
          </cell>
          <cell r="C5" t="str">
            <v>非公表</v>
          </cell>
          <cell r="E5" t="str">
            <v>否</v>
          </cell>
          <cell r="F5" t="str">
            <v>依頼格付</v>
          </cell>
        </row>
      </sheetData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3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sayuki Tomizawa" refreshedDate="42884.622268171297" createdVersion="6" refreshedVersion="6" minRefreshableVersion="3" recordCount="1051">
  <cacheSource type="worksheet">
    <worksheetSource name="テーブル_bis1_からのクエリ2"/>
  </cacheSource>
  <cacheFields count="75">
    <cacheField name="NO" numFmtId="0">
      <sharedItems containsSemiMixedTypes="0" containsString="0" containsNumber="1" containsInteger="1" minValue="1" maxValue="1154"/>
    </cacheField>
    <cacheField name="OBLIGOR_NAME" numFmtId="0">
      <sharedItems containsBlank="1"/>
    </cacheField>
    <cacheField name="SEC_TYPE" numFmtId="0">
      <sharedItems/>
    </cacheField>
    <cacheField name="AVC" numFmtId="0">
      <sharedItems containsBlank="1"/>
    </cacheField>
    <cacheField name="INDUSTRY" numFmtId="0">
      <sharedItems containsBlank="1"/>
    </cacheField>
    <cacheField name="SEC_CODE" numFmtId="0">
      <sharedItems containsString="0" containsBlank="1" containsNumber="1" containsInteger="1" minValue="3391" maxValue="9962"/>
    </cacheField>
    <cacheField name="RTG_SP" numFmtId="0">
      <sharedItems containsBlank="1"/>
    </cacheField>
    <cacheField name="RTG_MOODY" numFmtId="0">
      <sharedItems containsBlank="1"/>
    </cacheField>
    <cacheField name="RTG_FITCH" numFmtId="0">
      <sharedItems containsBlank="1"/>
    </cacheField>
    <cacheField name="SP" numFmtId="0">
      <sharedItems containsMixedTypes="1" containsNumber="1" containsInteger="1" minValue="0" maxValue="0"/>
    </cacheField>
    <cacheField name="MOODYS" numFmtId="0">
      <sharedItems containsMixedTypes="1" containsNumber="1" containsInteger="1" minValue="0" maxValue="0"/>
    </cacheField>
    <cacheField name="FITCH" numFmtId="0">
      <sharedItems containsMixedTypes="1" containsNumber="1" containsInteger="1" minValue="0" maxValue="0"/>
    </cacheField>
    <cacheField name="CVA掛け目_SP" numFmtId="0">
      <sharedItems containsMixedTypes="1" containsNumber="1" minValue="7.0000000000000001E-3" maxValue="0.03"/>
    </cacheField>
    <cacheField name="CVA掛け目_MOODYS" numFmtId="0">
      <sharedItems containsMixedTypes="1" containsNumber="1" minValue="7.0000000000000001E-3" maxValue="0.03"/>
    </cacheField>
    <cacheField name="CVA掛け目_FITCH" numFmtId="0">
      <sharedItems containsMixedTypes="1" containsNumber="1" minValue="7.0000000000000001E-3" maxValue="0.02"/>
    </cacheField>
    <cacheField name="CVA掛け目" numFmtId="0">
      <sharedItems containsMixedTypes="1" containsNumber="1" minValue="8.0000000000000002E-3" maxValue="0.1"/>
    </cacheField>
    <cacheField name="CVA" numFmtId="38">
      <sharedItems containsSemiMixedTypes="0" containsString="0" containsNumber="1" minValue="0" maxValue="66218269.859583326"/>
    </cacheField>
    <cacheField name="ASSET_TYPE_ID" numFmtId="0">
      <sharedItems containsSemiMixedTypes="0" containsString="0" containsNumber="1" containsInteger="1" minValue="10" maxValue="99" count="11">
        <n v="30"/>
        <n v="21"/>
        <n v="20"/>
        <n v="10"/>
        <n v="50"/>
        <n v="51"/>
        <n v="52"/>
        <n v="90"/>
        <n v="54" u="1"/>
        <n v="99" u="1"/>
        <n v="53" u="1"/>
      </sharedItems>
    </cacheField>
    <cacheField name="CAPITAL_TYPE" numFmtId="0">
      <sharedItems containsNonDate="0" containsString="0" containsBlank="1"/>
    </cacheField>
    <cacheField name="HOLDING_TYPE" numFmtId="0">
      <sharedItems containsNonDate="0" containsString="0" containsBlank="1"/>
    </cacheField>
    <cacheField name="MATURITY" numFmtId="14">
      <sharedItems containsNonDate="0" containsDate="1" containsString="0" containsBlank="1" minDate="2017-01-04T00:00:00" maxDate="2022-09-21T00:00:00"/>
    </cacheField>
    <cacheField name="length" numFmtId="0">
      <sharedItems containsMixedTypes="1" containsNumber="1" minValue="1.643835616438356E-2" maxValue="5.7232876712328764"/>
    </cacheField>
    <cacheField name="Type" numFmtId="0">
      <sharedItems containsMixedTypes="1" containsNumber="1" containsInteger="1" minValue="1" maxValue="3"/>
    </cacheField>
    <cacheField name="Type2" numFmtId="0">
      <sharedItems containsNonDate="0" containsString="0" containsBlank="1"/>
    </cacheField>
    <cacheField name="Final_Type" numFmtId="0">
      <sharedItems containsMixedTypes="1" containsNumber="1" containsInteger="1" minValue="1" maxValue="3"/>
    </cacheField>
    <cacheField name="duration" numFmtId="0">
      <sharedItems containsSemiMixedTypes="0" containsString="0" containsNumber="1" containsInteger="1" minValue="1" maxValue="3"/>
    </cacheField>
    <cacheField name="combo" numFmtId="0">
      <sharedItems/>
    </cacheField>
    <cacheField name="SCM_SF" numFmtId="10">
      <sharedItems containsMixedTypes="1" containsNumber="1" minValue="0" maxValue="0.08"/>
    </cacheField>
    <cacheField name="ADDON" numFmtId="38">
      <sharedItems containsSemiMixedTypes="0" containsString="0" containsNumber="1" minValue="0" maxValue="10588922.6456"/>
    </cacheField>
    <cacheField name="PE(before CP)" numFmtId="38">
      <sharedItems containsSemiMixedTypes="0" containsString="0" containsNumber="1" minValue="0" maxValue="78571803.769999996"/>
    </cacheField>
    <cacheField name="PE" numFmtId="38">
      <sharedItems containsSemiMixedTypes="0" containsString="0" containsNumber="1" minValue="0" maxValue="399797950.36531335"/>
    </cacheField>
    <cacheField name="MARKET_VALUE" numFmtId="38">
      <sharedItems containsSemiMixedTypes="0" containsString="0" containsNumber="1" minValue="-9002804.9499999993" maxValue="78571803.769999996"/>
    </cacheField>
    <cacheField name="ACC_INT" numFmtId="0">
      <sharedItems containsNonDate="0" containsString="0" containsBlank="1"/>
    </cacheField>
    <cacheField name="NOTIONAL" numFmtId="38">
      <sharedItems containsString="0" containsBlank="1" containsNumber="1" minValue="-177641130.75" maxValue="195686268.87"/>
    </cacheField>
    <cacheField name="BB_TICKER" numFmtId="0">
      <sharedItems containsBlank="1"/>
    </cacheField>
    <cacheField name="DESCRIPTION" numFmtId="0">
      <sharedItems count="523">
        <s v="CASH: MORGAN STANLEY &amp;"/>
        <s v="CASH: MERRILL LYNCH IN"/>
        <s v="CASH: BNP PARIBAS"/>
        <s v="CASH: UBS AG-REG"/>
        <s v="CASH: DEUTSCHE BANK-RG"/>
        <s v="CASH: SHINHAN INVESTME"/>
        <s v="CASH: JPMORGAN CHASE"/>
        <s v="CASH: BANK OF NEW YORK"/>
        <s v="Axis Bank Ltd/Dubai  5.125 05/09/2017"/>
        <s v="ICICI Bank Ltd/Dubai  4.7 21/02/2018"/>
        <s v="Industrial &amp; Commercial Bank of China Ltd/New York  3.231 11/13/19"/>
        <s v="Korea National Oil Corp  3.125 04/03/17"/>
        <s v="Korea Gas Corp  2.875 07/29/18"/>
        <s v="Korea Western Power Co Ltd  2.875 10/10/18"/>
        <s v="Woori Bank  2.875 10/02/18"/>
        <s v="Industrial &amp; Commercial Bank of China Ltd/Singapore  2.75 09/12/17"/>
        <s v="Agile Property Holdings Ltd  9.875 20/03/2017"/>
        <s v="Korea Expressway Corp  1.875 10/22/17"/>
        <s v="Export-Import Bank of India  4 08/07/17"/>
        <s v="Franshion Investment Ltd  4.7 26/10/2017"/>
        <s v="Bestgain Real Estate Ltd  2.625 03/13/18"/>
        <s v="Poly Real Estate Finance Ltd  4.5 08/06/18"/>
        <s v="Industrial &amp; Commercial Bank of China Ltd/Singapore  1.875 08/11/19"/>
        <s v="Bank of China Ltd/London  1.875 11/09/19"/>
        <s v="Bank of China Ltd/Hong Kong  1.875 03/01/19"/>
        <s v="Agricultural Bank of China Ltd/Hong Kong  2.875 12/10/18"/>
        <s v="Wanda Properties Overseas Ltd  4.875 11/21/18"/>
        <s v="ICICI Bank Ltd/Dubai  4.8 05/22/19"/>
        <s v="Trillion Chance Ltd  8.5 01/10/19"/>
        <s v="Indian Railway Finance Corp Ltd  3.917 02/26/19"/>
        <s v="Bank of China Ltd/Hong Kong  3.125 01/23/19"/>
        <s v="Bank of China Ltd/Hong Kong  2.125 01/23/17"/>
        <s v="Gemdale Asia Investment Ltd  6.5 03/04/17"/>
        <s v="Oil India Ltd  3.875 04/17/19"/>
        <s v="Country Garden Holdings Co Ltd  7.875 05/27/19"/>
        <s v="Longfor Properties Co Ltd  6.75 05/28/18"/>
        <s v="China Construction Bank Asia Corp Ltd  3.25 07/02/19"/>
        <s v="ONGC Videsh Ltd  3.25 07/15/19"/>
        <s v="KWG Property Holding Ltd  8.25 08/05/19"/>
        <s v="Advance Wisdom Investments Ltd  2.1 10/16/17"/>
        <s v="Industrial &amp; Commercial Bank of China Ltd/Hong Kong  1.875 05/23/19"/>
        <s v="Industrial &amp; Commercial Bank of China Ltd/Singapore  2 05/10/19"/>
        <s v="NongHyup Bank  2.25 19/09/2017"/>
        <s v="State Bank of India/London  4.125 01/08/2017"/>
        <s v="Bank of Baroda/London  4.875 07/23/19"/>
        <s v="KEB Hana Bank  1.75 10/18/19"/>
        <s v="Korea Hydro &amp; Nuclear Power Co Ltd  2.875 10/02/18"/>
        <s v="State Bank of India/London  3.622 04/17/19"/>
        <s v="HDFC Bank Ltd/Bahrain  3 03/06/18"/>
        <s v="Agile Property Holdings Ltd  8.375 02/18/19"/>
        <s v="Industrial &amp; Commercial Bank of China Ltd/Singapore  2 05/27/18"/>
        <s v="Industrial &amp; Commercial Bank of China Ltd/Sydney  2.125 12/07/18"/>
        <s v="China Government Bond  2.48 12/01/20"/>
        <s v="Korea Housing Finance Corp  1.625 09/15/18"/>
        <s v="Korea Treasury Bond 10/09/2021"/>
        <s v="Export-Import Bank of India  3.875 10/02/19"/>
        <s v="China Government Bond  3.8 05/22/21"/>
        <s v="Korea Treasury Bond 10/06/2017 Flat Trading"/>
        <s v="Korea Treasury Bond 10/12/2017 Flat Trading"/>
        <s v="China Government Bond  3.25 07/04/21"/>
        <s v="Korea Treasury Bond 10/06/2019 Flat Trading"/>
        <s v="Agricultural Bank of China Ltd/New York  1.24335 05/21/18"/>
        <s v="Konica Minolta Inc"/>
        <s v="Lion Corp"/>
        <s v="MISUMI Group Inc"/>
        <s v="Seiko Epson Corp"/>
        <s v="Nissan Chemical Industries Ltd"/>
        <s v="Tsuruha Holdings Inc"/>
        <s v="Otsuka Holdings Co Ltd"/>
        <s v="AUD FORWARD RATE/USD FORWARD RATE"/>
        <s v="CNH FORWARD RATE/USD FORWARD RATE"/>
        <s v="CNY FORWARD RATE/USD FORWARD RATE"/>
        <s v="HKD FORWARD RATE/USD FORWARD RATE"/>
        <s v="IDR FORWARD RATE/USD FORWARD RATE"/>
        <s v="INR FORWARD RATE/USD FORWARD RATE"/>
        <s v="JPY FORWARD RATE/USD FORWARD RATE"/>
        <s v="KRW FORWARD RATE/USD FORWARD RATE"/>
        <s v="NZD FORWARD RATE/USD FORWARD RATE"/>
        <s v="TWD FORWARD RATE/USD FORWARD RATE"/>
        <s v="USD FORWARD RATE/AUD FORWARD RATE"/>
        <s v="USD FORWARD RATE/CNH FORWARD RATE"/>
        <s v="USD FORWARD RATE/CNY FORWARD RATE"/>
        <s v="USD FORWARD RATE/EUR FORWARD RATE"/>
        <s v="USD FORWARD RATE/HKD FORWARD RATE"/>
        <s v="USD FORWARD RATE/IDR FORWARD RATE"/>
        <s v="USD FORWARD RATE/INR FORWARD RATE"/>
        <s v="USD FORWARD RATE/JPY FORWARD RATE"/>
        <s v="USD FORWARD RATE/KRW FORWARD RATE"/>
        <s v="USD FORWARD RATE/NZD FORWARD RATE"/>
        <s v="USD FORWARD RATE/TWD FORWARD RATE"/>
        <s v="SX5E Dividend Fut Dec17"/>
        <s v="HSCEI Dividend FU Dec17"/>
        <s v="S&amp;P500 EMINI FUT  Mar17"/>
        <s v="SGX Nifty 50      Jan17"/>
        <s v="KOSPI2 INX FUT    Mar17"/>
        <s v="NIKKEI DIVIDEND   Dec16"/>
        <s v="NIKKEI 225  (SGX) Mar17"/>
        <s v="NIKKEI 225  (OSE) Mar17"/>
        <s v="NIKKEI DIVIDEND   Dec17"/>
        <s v="OTC_EQUITY_OPTION - N225 CALL 16750 08 DEC 2017 RC1"/>
        <s v="OTC_EQUITY_OPTION - N225 CALL 18000 08 DEC 2017 RC1"/>
        <s v="OTC_EQUITY_OPTION - N225 CALL 18500 08 DEC 2017 RC1"/>
        <s v="OTC_EQUITY_OPTION - N225 PUT 16750 08 DEC 2017 RC1"/>
        <s v="OTC_EQUITY_OPTION - N225 PUT 18000 08 DEC 2017 RC1"/>
        <s v="OTC_EQUITY_OPTION - N225 PUT 18500 08 DEC 2017 RC1"/>
        <s v="OTC_EQUITY_OPTION - NSEI PUT 7400 25 JAN 2017 RC1"/>
        <s v="OTC_EQUITY_OPTION - NSEI PUT 7400 23 FEB 2017 RC1"/>
        <s v="OTC_EQUITY_OPTION - NSEI PUT 7500 23 FEB 2017 RC1"/>
        <s v="OTC_EQUITY_OPTION - NSEI PUT 7600 23 FEB 2017 RC1"/>
        <s v="OTC_EQUITY_OPTION - NSEI PUT 7900 25 JAN 2017 RC1"/>
        <s v="OTC_EQUITY_OPTION - NSEI PUT 7900 23 FEB 2017 RC1"/>
        <s v="OTC_EQUITY_OPTION - NSEI PUT 8000 23 FEB 2017 RC1"/>
        <s v="OTC_EQUITY_OPTION - NSEI PUT 8100 25 JAN 2017 RC1"/>
        <s v="OTC_EQUITY_OPTION - NSEI PUT 8100 23 FEB 2017 RC1"/>
        <s v="OTC_EQUITY_OPTION - NSEI PUT 8600 25 JAN 2017 RC1"/>
        <s v="OTC_EQUITY_OPTION - SPX CALL 2204 17 MAR 2017 RC1"/>
        <s v="OTC_EQUITY_OPTION - SPX PUT 1900 17 MAR 2017 RC1"/>
        <s v="OTC_EQUITY_OPTION - SPX PUT 1975 17 MAR 2017 RC1"/>
        <s v="OTC_EQUITY_OPTION - SPX PUT 1975 17 MAR 2017 RC1 MS"/>
        <s v="OTC_EQUITY_OPTION - SPX PUT 2000 17 MAR 2017 RC1"/>
        <s v="OTC_EQUITY_OPTION - SPX PUT 2100 17 MAR 2017 RC1"/>
        <s v="OTC_EQUITY_OPTION - SPX PUT 2100 17 MAR 2017 RC1 DB"/>
        <s v="OTC_EQUITY_OPTION - SPX PUT 2125 17 MAR 2017 RC1"/>
        <s v="OTC_EQUITY_OPTION - SPX PUT 2204 17 MAR 2017 RC1"/>
        <s v="JPYUSD Call 119.5 15 Mar 2017 RC1"/>
        <s v="JPYUSD Call 120.15 15 Mar 2017 RC1"/>
        <s v="JPYUSD Put 110 15 Mar 2017 RC1"/>
        <s v="JPYUSD Put 113 15 Mar 2017 RC1"/>
        <s v="March 17 Puts on KOSPI2 Put 230 09/03/2017"/>
        <s v="March 17 Puts on KOSPI2 Put 245 09/03/2017"/>
        <s v="January 17 Puts on NKY Put 17750 13/01/2017"/>
        <s v="January 17 Puts on NKY Put 18250 13/01/2017"/>
        <s v="January 17 Puts on NKY Put 18500 13/01/2017"/>
        <s v="January 17 Puts on NKY Put 19000 13/01/2017"/>
        <s v="NKY 20211210 3mJPY4bp RC1"/>
        <s v="NKY 20211211 3mJPY3bp RC1"/>
        <s v="SX5E 20170104 3mEUR57bp"/>
        <s v="SX5E 20170106 3mEUR58bp"/>
        <s v="SX5E 20170202 3mEUR52bp"/>
        <s v="SX5E 20170303 3mEUR47bp"/>
        <s v="SX5E 20170403 3mEUR54bpTRSEUR"/>
        <s v="SX5E 20170418 3mEUR44"/>
        <s v="SX5E 20170504 3mEUR59bp"/>
        <s v="SX5E 20170525 3mEUR45"/>
        <s v="SX5E 20170529 3mEUR62bp"/>
        <s v="SX5E 20170606 3mEUR43 RC"/>
        <s v="SX5E 20170612 3mEUR67bp"/>
        <s v="SX5E 20170614 3mEUR45"/>
        <s v="SX5E 20170619 3mEUR67bp"/>
        <s v="SX5E 20170626 3mEUR66.5bp"/>
        <s v="SX5E 20170627 3mEUR42_1b"/>
        <s v="SX5E 20170627 3mEUR42_3"/>
        <s v="SX5E 20170628 3mEUR44_1"/>
        <s v="SX5E 20170803 3mEUR65.5bp"/>
        <s v="SX5E 20170829 3mEUR38.5bp"/>
        <s v="SX5E 20170907 3mEUR65bp"/>
        <s v="SX5E 20171003 3mEUR40_1"/>
        <s v="SX5E 20171005 EUR41bp_1"/>
        <s v="SX5E 20171016 3mEUR42 RC1"/>
        <s v="SX5E 20171102 3mEUR60bp"/>
        <s v="SX5E 20171130 3mEUR68bp"/>
        <s v="SX5E 20171212 3mEUR41 RC1"/>
        <s v="SX5E 20171219 3mEUR41 RC1"/>
        <s v="SX5E 20180104 3mEUR40bp RC1"/>
        <s v="SX5E 20180108 3mEUR40bp RC1"/>
        <s v="SX5E 20181221 3mEUR47.5 RC1"/>
        <s v="SX5E 20181221 3mEUR56bp RC1"/>
        <s v="SX5E 20190401 3mEUR67bpTRSEUR"/>
        <s v="SX5E 20190506 3mEUR74bp"/>
        <s v="SX5E 20190528 3mEUR76.5"/>
        <s v="SX5E 20190626 3mEUR80bp"/>
        <s v="SX5E 20190801 3mEUR79bp"/>
        <s v="SX5E 20190909 3mEUR81bp"/>
        <s v="SX5E 20191104 3mEUR75.5bp"/>
        <s v="SX5E 20191202 3mEUR87bp"/>
        <s v="SX5E 20191212 3mEUR83bp"/>
        <s v="SX5E 20191217 3mEUR77bp"/>
        <s v="SX5E 20191220 3mEUR57.5 RC1"/>
        <s v="SX5E 20200106 3mEUR76bp"/>
        <s v="SX5E 20200106 3mEUR77bp"/>
        <s v="SX5E 20200203 3mEUR76.5bp"/>
        <s v="SX5E 20200303 3mEUR79.5bp"/>
        <s v="SX5E 20200612 3mEUR87.5"/>
        <s v="SX5E 20200619 3mEUR87.5bp"/>
        <s v="SX5E 20210419 3mEUR83"/>
        <s v="SX5E 20210607 3mEUR81 RC"/>
        <s v="SX5E 20210614 3mEUR82"/>
        <s v="SX5E 20210628 3mEUR83_1"/>
        <s v="SX5E 20210628 3mEUR85_1b"/>
        <s v="SX5E 20210628 3mEUR85_3"/>
        <s v="SX5E 20210830 3mEUR77bp"/>
        <s v="SX5E 20211004 3mEUR63.5_1"/>
        <s v="SX5E 20211005 EUR63.5_1"/>
        <s v="SX5E 20211014 3mEUR69.5 RC1"/>
        <s v="SX5E20170913 3mEUR39bp RC1"/>
        <s v="SX5E20190523 3mEUR73.5b"/>
        <s v="SX5E20190523 3mEUR73b"/>
        <s v="SX5E20200914 3mEUR67bp RC1"/>
        <s v="SX5E 20171012 3mEUR43bp RC1"/>
        <s v="SX5E 20181221 3mEUR58.5bp RC1"/>
        <s v="SX5E 20191014 3mEUR57.5bp RC1"/>
        <s v="CCY_AUD/USD SWAP_15.75bp MS OTC"/>
        <s v="CCY_AUD/USD SWAP_16.25bp_ MS OTC"/>
        <s v="CCY_AUD/USD SWAP_16.25bp_0618_ MS OTC"/>
        <s v="CCY_AUD/USD SWAP_16.4bp_1118_ BNP OTC"/>
        <s v="CCY_AUD/USD SWAP_16.5bp_1118_ BNP OTC"/>
        <s v="CCY_AUD/USD SWAP_17.25_0119_2 UBS OTC"/>
        <s v="CCY_AUD/USD SWAP_17.25_11 MS OTC"/>
        <s v="CCY_AUD/USD SWAP_17.5bp_1218_1_ BNP OTC"/>
        <s v="CCY_AUD/USD SWAP_17.75bp BNP OTC"/>
        <s v="CCY_AUD/USD SWAP_17bp_0119_ MS OTC"/>
        <s v="CCY_AUD/USD SWAP_17bp_0918_1 MS OTC"/>
        <s v="CCY_AUD/USD SWAP_17bp_1218_1_ MS OTC"/>
        <s v="CCY_AUD/USD SWAP_18.25bp_0219_BNP OTC"/>
        <s v="CCY_AUD/USD SWAP_18.5_1218 MS OTC"/>
        <s v="CCY_AUD/USD SWAP_18.5bp_0219_ BNP OTC"/>
        <s v="CCY_AUD/USD SWAP_18.75bp_ UBS OTC"/>
        <s v="CCY_AUD/USD SWAP_18.75bp_0219_ DB OTC"/>
        <s v="CCY_AUD/USD SWAP_18.75bp_0319 DB OTC"/>
        <s v="CCY_AUD/USD SWAP_18bp_0119_ UBS OTC"/>
        <s v="CCY_AUD/USD SWAP_18bp_0219_1_ UBS OTC"/>
        <s v="CCY_AUD/USD SWAP_18bp_0718 UBS OTC"/>
        <s v="CCY_AUD/USD SWAP_19.5bp_0419_ MS OTC"/>
        <s v="CCY_AUD/USD SWAP_19.75bp_ MS OTC"/>
        <s v="CCY_AUD/USD SWAP_19.75bp_0419 UBS OTC"/>
        <s v="CCY_AUD/USD SWAP_19.75bp_0818_ MS OTC"/>
        <s v="CCY_AUD/USD SWAP_19.8bp_0419_ MS OTC"/>
        <s v="CCY_AUD/USD SWAP_19bp_0319_ MS OTC"/>
        <s v="CCY_AUD/USD SWAP_19bp_0319_BNP_ BNP OTC"/>
        <s v="CCY_AUD/USD SWAP_20.25bp UBS OTC"/>
        <s v="CCY_AUD/USD SWAP_20.2bp_0519 DB OTC"/>
        <s v="CCY_AUD/USD SWAP_20.6bp_0519_1 BNP OTC"/>
        <s v="CCY_AUD/USD SWAP_21.5bp_0719 MS OTC"/>
        <s v="CCY_AUD/USD SWAP_21bp_0619 UBS OTC"/>
        <s v="CCY_AUD/USD SWAP_22.25bp BNP OTC"/>
        <s v="CCY_AUD/USD SWAP_22.5bp_1019 MS OTC"/>
        <s v="CCY_AUD/USD SWAP_22bp_0819_1 DB OTC"/>
        <s v="CCY_AUD/USD SWAP_22bp_0919 BNP OTC"/>
        <s v="CCY_AUD/USD SWAP_22bp_1019 MS OTC"/>
        <s v="CCY_AUD/USD SWAP_23.25bp UBS OTC_0320"/>
        <s v="CCY_AUD/USD SWAP_23.25bp.BNP OTC_1219"/>
        <s v="CCY_AUD/USD SWAP_23.3bp_0919 UBS OTC"/>
        <s v="CCY_AUD/USD SWAP_23.75bp_ UBS OTC"/>
        <s v="CCY_AUD/USD SWAP_23.75bp_1119 UBS OTC"/>
        <s v="CCY_AUD/USD SWAP_23.9bp_0 UBS OTC"/>
        <s v="CCY_AUD/USD SWAP_23bp.MS OTC_1119"/>
        <s v="CCY_AUD/USD SWAP_23bp_0120 MS OTC"/>
        <s v="CCY_AUD/USD SWAP_24.75bp. MS OTC_1019"/>
        <s v="CCY_AUD/USD SWAP_26.1bp BNP OTC"/>
        <s v="CCY_AUD/USD SWAP_26.25bp BNP OTC"/>
        <s v="CCY_AUD/USD SWAP_26.5bp MS OTC"/>
        <s v="CCY_AUD/USD SWAP_26bp BNP OTC"/>
        <s v="CCY_AUD/USD SWAP_27.25bp_0619 BNP OTC"/>
        <s v="CCY_AUD/USD SWAP_28.25bp_0519 BNP OTC"/>
        <s v="CCY_AUD/USD SWAP_30.25bp_1020 BNP OTC"/>
        <s v="CCY_CHF/USD SWAP_-49.5bp MS OTC"/>
        <s v="CCY_CHF/USD SWAP_-49.75 MS OTC"/>
        <s v="CCY_CHF/USD SWAP_-55bp_1221_ BNP OTC"/>
        <s v="CCY_CHF/USD SWAP_-58.75bp. MS OTC"/>
        <s v="CCY_CHF/USD SWAP_-58bp_1021_1 DB OTC"/>
        <s v="CCY_CHF/USD SWAP_-66.25bp_0821 OTC_UBS"/>
        <s v="CCY_CHF/USD SWAP_-67.5 UBS OTC"/>
        <s v="CCY_CHF/USD SWAP_-68bp BNP OTC"/>
        <s v="CCY_CHF/USD SWAP_-79.5b_0922_1 BNP OTC"/>
        <s v="CCY_CHF/USD SWAP_54.75bp MS OTC"/>
        <s v="CCY_CNH/USD SWAP_3.205_0918_1 BNP OTC"/>
        <s v="CCY_CNH/USD SWAP_3.33_1018 BNP OTC"/>
        <s v="CCY_CNH/USD SWAP_3.35_0918 DB OTC"/>
        <s v="CCY_CNH/USD SWAP_3.38_1018 UBS OTC"/>
        <s v="CCY_CNH/USD SWAP_3.415_1018_MS OTC"/>
        <s v="CCY_CNH/USD SWAP_3.415bp_1218_1_ BNP OTC"/>
        <s v="CCY_CNH/USD SWAP_3.45bp.BNP OTC"/>
        <s v="CCY_CNH/USD SWAP_3.465bp_1218_ BNP OTC"/>
        <s v="CCY_CNH/USD SWAP_3.47bp.MS OTC"/>
        <s v="CCY_CNH/USD SWAP_3.49_1118 BNP OTC"/>
        <s v="CCY_CNH/USD SWAP_3.49bp.BNP OTC"/>
        <s v="CCY_CNH/USD SWAP_3.49bp_1218_ DB OTC"/>
        <s v="CCY_CNH/USD SWAP_3.4bp_1218_ BNP OTC"/>
        <s v="CCY_CNH/USD SWAP_3.53_1118 BNP OTC"/>
        <s v="CCY_CNH/USD SWAP_3.91bp.BNP OTC_0118"/>
        <s v="CCY_CNH/USD SWAP_4.09bp_0119_ MS OTC"/>
        <s v="CCY_CNH/USD SWAP_4.09bp_1218_ BNP OTC"/>
        <s v="CCY_CNH/USD SWAP_4.15bp_0119_ BNP OTC"/>
        <s v="CCY_CNH/USD SWAP_4.1bp_0119_ UBS OTC"/>
        <s v="CCY_CNH/USD SWAP_4.25bp_1218_ DB OTC"/>
        <s v="CCY_CNH/USD SWAP_4.555bp_1219_1_ BNP OTC"/>
        <s v="CCY_CNH/USD SWAP_4.82bp_1118_1_ BNP OTC"/>
        <s v="CCY_CNH/USD SWAP_4.88bp_1118_1_ DB OTC"/>
        <s v="CCY_GBP/USD SWAP_-10.4bp_ BNP OTC"/>
        <s v="CCY_GBP/USD SWAP_-10bp_0321_ DB OTC"/>
        <s v="CCY_GBP/USD SWAP_-15.5bp_0319_1_ BNP OTC"/>
        <s v="CCY_GBP/USD SWAP_-16.12bp_1218_1_ MS OTC"/>
        <s v="CCY_GBP/USD SWAP_-16bp_0119_ BNP OTC"/>
        <s v="CCY_GBP/USD SWAP_-2bp MS OTC"/>
        <s v="CCY_GBP/USD SWAP_-3bp MS OTC 0919"/>
        <s v="CCY_GBP/USD SWAP_-4.375bp.MS OTC"/>
        <s v="CCY_GBP/USD SWAP_-5.375bp.MS OTC"/>
        <s v="CCY_GBP/USD SWAP_-5.75bp.MS OTC"/>
        <s v="CCY_GBP/USD SWAP_-5.875bp.MS OTC"/>
        <s v="CCY_GBP/USD SWAP_-5bp.UBS OTC"/>
        <s v="CCY_GBP/USD SWAP_3bp.MS OTC"/>
        <s v="CCY GBP Receive Float -3.625bps End 20 Jul 2019"/>
        <s v="CCY_HKD/USD SWAP_4bp_1018_1 BNP OTC"/>
        <s v="CCY_HKD/USD SWAP_6.3_0919_1 BNP OTC"/>
        <s v="CCY_HKD/USD SWAP_6bp_0120_1 MS OTC"/>
        <s v="CCY_HKD/USD SWAP_7.5bp BNP OTC"/>
        <s v="CCY_HKD/USD SWAP_7.5bp_1119_RC1 BNP OTC"/>
        <s v="CCY_HKD/USD SWAP_7.5bp_1219_1 BNP OTC"/>
        <s v="CCY_HKD/USD SWAP_7_0819_1 BNP OTC"/>
        <s v="CCY_JPY/USD SWAP_-101bp UBS OTC"/>
        <s v="CCY_JPY/USD SWAP_-108bp UBS OTC"/>
        <s v="CCY_JPY/USD SWAP_-69.25bp MS OTC"/>
        <s v="CCY_JPY/USD SWAP_-73.75bp_0119_ BNP OTC"/>
        <s v="CCY_JPY/USD SWAP_-73.87bp.UBS OTC"/>
        <s v="CCY_JPY/USD SWAP_-73bp BNP OTC"/>
        <s v="CCY_JPY/USD SWAP_-74.375bp_1218_ BNP OTC"/>
        <s v="CCY_JPY/USD SWAP_-75.5bp_0219_ BNP OTC"/>
        <s v="CCY_JPY/USD SWAP_-75.5bp_0619 MS OTC"/>
        <s v="CCY_JPY/USD SWAP_-75.6bp_ MS OTC"/>
        <s v="CCY_JPY/USD SWAP_-76.87_0918 BNP OTC"/>
        <s v="CCY_JPY/USD SWAP_-76bp_1218_1_ UBS OTC"/>
        <s v="CCY_JPY/USD SWAP_-77.562bp_1219_ BNP OTC"/>
        <s v="CCY_JPY/USD SWAP_-77.87bp_0419_ DB OTC"/>
        <s v="CCY_JPY/USD SWAP_-77bp_0519 BNP OTC"/>
        <s v="CCY_JPY/USD SWAP_-77bp_0619_ BNP OTC"/>
        <s v="CCY_JPY/USD SWAP_-78.1bp_0519 MS OTC"/>
        <s v="CCY_JPY/USD SWAP_-78.25bp_0319_ BNP OTC"/>
        <s v="CCY_JPY/USD SWAP_-78.4bp_0919_ DB OTC"/>
        <s v="CCY_JPY/USD SWAP_-78.5b_0219_1 DB OTC"/>
        <s v="CCY_JPY/USD SWAP_-78.62bp_0818 BNP OTC"/>
        <s v="CCY_JPY/USD SWAP_-78bp_0419_DB OTC"/>
        <s v="CCY_JPY/USD SWAP_-78bp_1119_ BNP OTC"/>
        <s v="CCY_JPY/USD SWAP_-78bp_1218 UBS OTC"/>
        <s v="CCY_JPY/USD SWAP_-79.2bp MS OTC"/>
        <s v="CCY_JPY/USD SWAP_-79.5b_0419_ DB OTC"/>
        <s v="CCY_JPY/USD SWAP_-79.5bp_1118_1a OTC_UBS"/>
        <s v="CCY_JPY/USD SWAP_-79.5bp_1118_1b OTC_DB"/>
        <s v="CCY_JPY/USD SWAP_-79.62bp BNP OTC"/>
        <s v="CCY_JPY/USD SWAP_-79bp_1019_ DB OTC"/>
        <s v="CCY_JPY/USD SWAP_-80.25_1218_1 DB OTC"/>
        <s v="CCY_JPY/USD SWAP_-80.75bp_0119_1_ MS OTC"/>
        <s v="CCY_JPY/USD SWAP_-81.25_0 DB OTC"/>
        <s v="CCY_JPY/USD SWAP_-81.25bp_0519_ DB OTC"/>
        <s v="CCY_JPY/USD SWAP_-81.5bp_ UBS OTC"/>
        <s v="CCY_JPY/USD SWAP_-81.75_0119_1 MS OTC"/>
        <s v="CCY_JPY/USD SWAP_-81.75bp MS OTC"/>
        <s v="CCY_JPY/USD SWAP_-82.5_1018 DB OTC"/>
        <s v="CCY_JPY/USD SWAP_-82.5bp MS OTC"/>
        <s v="CCY_JPY/USD SWAP_-82.75 BNP OTC"/>
        <s v="CCY_JPY/USD SWAP_-82.75bp_0219_ MS OTC"/>
        <s v="CCY_JPY/USD SWAP_-83.25bp_0119_ BNP OTC"/>
        <s v="CCY_JPY/USD SWAP_-83.25bp_0419_ DB OTC"/>
        <s v="CCY_JPY/USD SWAP_-83bp_0219_1_ DB OTC"/>
        <s v="CCY_JPY/USD SWAP_-83bp_0319_1_ BNP OTC"/>
        <s v="CCY_JPY/USD SWAP_-84.25bp_0319_ BNP OTC"/>
        <s v="CCY_JPY/USD SWAP_-84.5bp_0319_1_ DB OTC"/>
        <s v="CCY_JPY/USD SWAP_-85bp_0519_ DB OTC"/>
        <s v="CCY_JPY/USD SWAP_-85bp_0519_1b_ DB OTC"/>
        <s v="CCY_JPY/USD SWAP_-87.5bp_0219_ DB OTC"/>
        <s v="CCY_JPY/USD SWAP_-87.75 UBS OTC"/>
        <s v="CCY_JPY/USD SWAP_-87.9bp BNP OTC"/>
        <s v="CCY_JPY/USD SWAP_-91.25bp_0319 UBS OTC"/>
        <s v="CCY_JPY/USD SWAP_-92.25bp.  MS OTC"/>
        <s v="CCY_JPY/USD SWAP_-96.25bp_1219 UBS OTC"/>
        <s v="CCY_NZD/USD SWAP_21.25_0818_1 MS OTC"/>
        <s v="CCY_NZD/USD SWAP_22.25bp_0119_ BNP OTC"/>
        <s v="CCY_NZD/USD SWAP_22.75bp_0119_ BNP OTC"/>
        <s v="CCY_NZD/USD SWAP_22bp_0219_ DB OTC"/>
        <s v="CCY_NZD/USD SWAP_22bp_1218_1_ DB OTC"/>
        <s v="CCY_NZD/USD SWAP_23.25bp BNP OTC"/>
        <s v="CCY_NZD/USD SWAP_23.25bp MS OTC"/>
        <s v="CCY_NZD/USD SWAP_25.25bp_0319_ DB OTC"/>
        <s v="CCY_NZD/USD SWAP_26bp MS OTC"/>
        <s v="CCY_NZD/USD SWAP_26bp MS OTC_0720"/>
        <s v="CCY_NZD/USD SWAP_26bp UBS OTC_0720"/>
        <s v="CCY_NZD/USD SWAP_27.65bp BNP OTC"/>
        <s v="CCY_NZD/USD SWAP_28_1120 BNP OTC"/>
        <s v="CCY_NZD/USD SWAP_28bp_1120 MS OTC"/>
        <s v="CCY_NZD/USD SWAP_29 BNP OTC"/>
        <s v="CCY_NZD/USD SWAP_29.25bp_1219_1_ UBS OTC"/>
        <s v="CCY_NZD/USD SWAP_29bp MS OTC"/>
        <s v="CCY_NZD/USD SWAP_30.3 UBS OTC"/>
        <s v="CCY_NZD/USD SWAP_30.5bp_1219_1_ BNP OTC"/>
        <s v="CCY_NZD/USD SWAP_30.75bp BNP OTC"/>
        <s v="CCY_NZD/USD SWAP_30bp UBS OTC"/>
        <s v="CCY_NZD/USD SWAP_31.25bp UBS OTC"/>
        <s v="CCY_NZD/USD SWAP_31.25bp_1019 UBS OTC"/>
        <s v="CCY_NZD/USD SWAP_31.75bp_1119 UBS OTC"/>
        <s v="CCY_NZD/USD SWAP_42bp_1120_1_DB OTC"/>
        <s v="CCY_SGD/USD SWAP_-25bp_0720_ BNP OTC"/>
        <s v="CCY_SGD/USD SWAP_-29bp_0121_ BNP OTC"/>
        <s v="CCY_SGD/USD SWAP_-29bp_0221_ UBS OTC"/>
        <s v="CCY_SGD/USD SWAP_-32.5bp_0421_ BNP OTC"/>
        <s v="CCY_SGD/USD SWAP_-35bp_0820 UBS OTC"/>
        <s v="CCY_SGD/USD SWAP_-37bp_0121 BNP OTC"/>
        <s v="CCY_SGD/USD SWAP_-37bp_1220 BNP OTC"/>
        <s v="CCY_SGD/USD SWAP_-40.6bp_0221_1_BNP OTC"/>
        <s v="CCY_SGD/USD SWAP_-40bp.UBS OTC"/>
        <s v="CCY_SGD/USD SWAP_-42bp_0521 BNP OTC"/>
        <s v="CCY_SGD/USD SWAP_-44.7bp_0621 BNP OTC"/>
        <s v="CCY_SGD/USD SWAP_-46.5bp.BNP OTC"/>
        <s v="CCY_SGD/USD SWAP_-47bp.BNP OTC"/>
        <s v="CCY_SGD/USD SWAP_-48.5bp.BNP OTC"/>
        <s v="CCY_SGD/USD SWAP_-52bp BNP OTC"/>
        <s v="CCY_SGD/USD SWAP_-55bp.BNP OTC"/>
        <s v="CCY_SGD/USD SWAP_-56.75 BNP OTC"/>
        <s v="CCY_SGD/USD SWAP_-58bp. BNP OTC"/>
        <s v="CCY_SGD/USD SWAP_-60.25 BNP OTC"/>
        <s v="CCY_SGD/USD SWAP_-61.5bp BNP OTC"/>
        <s v="CCY_SGD/USD SWAP_-61bp BNP OTC"/>
        <s v="CCY_SGD/USD SWAP_-65bp BNP OTC"/>
        <s v="CCY_SGD/USD SWAP_-65bp BNP OTC_0820"/>
        <s v="CCY_SGD/USD SWAP_-72.8bp BNP OTC"/>
        <s v="IRS_CNY_P_2.28_0117"/>
        <s v="IRS CNY Pay Fixed 2.28 End 20 Jul 2017"/>
        <s v="IRS CNY Pay Fixed 2.2 End 22 Feb 2017"/>
        <s v="IRS CNY Pay Fixed 2.36 End 20 Jun 2017"/>
        <s v="IRS CNY Pay Fixed 2.475 End 20 May 2017"/>
        <s v="IRS CNY Pay Fixed 2.955 End 20 Apr 2017"/>
        <s v="IRS CNY Receive Fixed 2.655 End 25 Apr 2019 RC DB"/>
        <s v="IRS CNY Receive Fixed 2.14 End 20 Feb 2018"/>
        <s v="IRS_CNY_R_2.22_0118"/>
        <s v="IRS CNY Receive Fixed 2.655 End 20 Apr 2019 RC"/>
        <s v="IRS CNY Receive Fixed 2.68 End 20 May 2019 RC"/>
        <s v="IRS CNY Receive Fixed 2.75 End 20 Apr 2019"/>
        <s v="IRS CNY Receive Fixed 2.77 End 20 Apr 2019"/>
        <s v="IRS CNY Receive Fixed 2.8 End 20 Apr 2019"/>
        <s v="IRS CNY Receive Fixed 2.915 End 20 Jul 2020 RC1"/>
        <s v="IRS CNY Receive Fixed 2.925 End 20 Aug 2020"/>
        <s v="IRS CNY Receive Fixed 2.95 End 20 Sep 2020 RC1"/>
        <s v="IRS CNY Receive Fixed 2.96 End 20 Sep 2020 RC1"/>
        <s v="IRS CNY Receive Fixed 2.975 End 20 Oct 2020 RC1"/>
        <s v="IRS CNY Receive Fixed 2.98 End 20 Oct 2020 RC1"/>
        <s v="IRS CNY Receive Fixed 3.04 End 20 Aug 2020 RC1"/>
        <s v="IRS CNY Receive Fixed 3.04 End 20 Oct 2020 RC1"/>
        <s v="IRS CNY Receive Fixed 3.165 End 20 Dec 2017 RC1"/>
        <s v="IRS_CNY_R_3.18_0117"/>
        <s v="IRS_CNY_R_3.1_0217"/>
        <s v="IRS_CNY_R_3.24_0418"/>
        <s v="IRS CNY Receive Fixed 3.24 End 20 Dec 2017 RC1"/>
        <s v="IRS CNY Receive Fixed 3.25 End 20 Dec 2017 RC1"/>
        <s v="IRS CNY Receive Fixed 3.2625 End 20 Dec 2017 RC1"/>
        <s v="IRS CNY Receive Fixed 3.26 End 20 Dec 2017 RC1"/>
        <s v="IRS CNY Receive Fixed 3.285 End 20 Dec 2017 RC1"/>
        <s v="IRS_CNY_R_3.29bp_1217_1_MLOTC"/>
        <s v="IRS_CNY_R_3.2bp_1217_1_MLOTC"/>
        <s v="IRS_CNY_R_3.305bp_1217_1_DB"/>
        <s v="IRS_CNY_R_3.30bp_1217_1_MLOTC"/>
        <s v="IRS_CNY_R_3.33_0417"/>
        <s v="IRS CNY Receive Fixed 3 End 20 Oct 2020 RC1"/>
        <s v="Other Liabilities"/>
        <s v="JAPANESE YEN CME" u="1"/>
        <s v="EURO STOXX50 VSTOXX" u="1"/>
        <s v="SOUTH AFRICAN RAND CME" u="1"/>
        <s v="COFFEE NY" u="1"/>
        <s v="DAX INDEX" u="1"/>
        <s v="ALUMINIUM LME 03/15/2017" u="1"/>
        <s v="Other Assets" u="1"/>
        <s v="LEAD LME 03/15/2017" u="1"/>
        <s v="MILLING WHEAT" u="1"/>
        <s v="GASOLINE BLENDSTOCK" u="1"/>
        <s v="FEEDER CATTLE" u="1"/>
        <s v="US 10 YR NOTES" u="1"/>
        <s v="GAS OIL LDN" u="1"/>
        <s v="CAC INDEX" u="1"/>
        <s v="EURO BTP FUTURES" u="1"/>
        <s v="BEANOIL" u="1"/>
        <s v="NOK/USD CME" u="1"/>
        <s v="EMINI MSCI EM" u="1"/>
        <s v="CASH: SG AMERICAS SECU" u="1"/>
        <s v="CANADIAN DOLLAR CME" u="1"/>
        <s v="COTTON" u="1"/>
        <s v="EMINI S&amp;P" u="1"/>
        <s v="HI GR. COPPER" u="1"/>
        <s v="2 YR T-NOTE" u="1"/>
        <s v="NEW ZEALAND DOLLAR CME" u="1"/>
        <s v="PALLADIUM NMX" u="1"/>
        <s v="PLATINUM NMX" u="1"/>
        <s v="LIF ROBUSTA" u="1"/>
        <s v="NATURAL GAS" u="1"/>
        <s v="SILVER CMX" u="1"/>
        <s v="MINI DOW" u="1"/>
        <s v="LIVE CATTLE" u="1"/>
        <s v="BEANMEAL" u="1"/>
        <s v="MEXICAN PESO CME" u="1"/>
        <s v="EURX STOX 600" u="1"/>
        <s v="SOYBEANS" u="1"/>
        <s v="CRUDE OIL" u="1"/>
        <s v="GILTS" u="1"/>
        <s v="CASH: US BANK NA" u="1"/>
        <s v="KCBT RED WHEAT" u="1"/>
        <s v="CFE VIX" u="1"/>
        <s v="HEATING OIL" u="1"/>
        <s v="AUSTRALIAN DOLLAR CME" u="1"/>
        <s v="BRITISH POUND CME" u="1"/>
        <s v="ERX BOBL" u="1"/>
        <s v="5 YR T-NOTE" u="1"/>
        <s v="EURO OAT FUTURES" u="1"/>
        <s v="US T.BOND" u="1"/>
        <s v="EMINI NASDAQ" u="1"/>
        <s v="BRAZILIAN REAL CME" u="1"/>
        <s v="SUGAR NY" u="1"/>
        <s v="COCOA NY" u="1"/>
        <s v="EUR/USD CME" u="1"/>
        <s v="FTSE INDEX" u="1"/>
        <s v="CASH: RBC CAPITAL MARK" u="1"/>
        <s v="RAPESEED" u="1"/>
        <s v="BRENT OIL" u="1"/>
        <s v="MNWHEAT" u="1"/>
        <s v="GOLD CMX" u="1"/>
        <s v="COPPER LME 03/15/2017" u="1"/>
        <s v="LEAN HOGS" u="1"/>
        <s v="SWISS FRANC CME" u="1"/>
        <s v="WHEAT" u="1"/>
        <s v="ZINC LME 03/15/2017" u="1"/>
        <s v="CORN" u="1"/>
        <s v="NICKEL LME 03/15/2017" u="1"/>
        <s v="EURX EURO-BUXL" u="1"/>
        <s v="SUGAR LDN" u="1"/>
        <s v="EURO BUND" u="1"/>
        <s v="EURO_STOXX50" u="1"/>
        <s v="COCOA LDN" u="1"/>
        <s v="E MINI RUSSELL" u="1"/>
      </sharedItems>
    </cacheField>
    <cacheField name="PER_NAV" numFmtId="0">
      <sharedItems containsSemiMixedTypes="0" containsString="0" containsNumber="1" minValue="-2.2507012375E-2" maxValue="0.19642950942499998"/>
    </cacheField>
    <cacheField name="RISK_WEIGHT" numFmtId="0">
      <sharedItems containsString="0" containsBlank="1" containsNumber="1" minValue="9.2059733829699994E-2" maxValue="4"/>
    </cacheField>
    <cacheField name="MTIME" numFmtId="22">
      <sharedItems containsSemiMixedTypes="0" containsNonDate="0" containsDate="1" containsString="0" minDate="2017-05-29T10:12:30" maxDate="2017-05-29T10:12:30"/>
    </cacheField>
    <cacheField name="UNDL_NO" numFmtId="0">
      <sharedItems containsString="0" containsBlank="1" containsNumber="1" containsInteger="1" minValue="694" maxValue="904"/>
    </cacheField>
    <cacheField name="undl_risk_weight" numFmtId="0">
      <sharedItems containsString="0" containsBlank="1" containsNumber="1" containsInteger="1" minValue="3" maxValue="3"/>
    </cacheField>
    <cacheField name="UNDL_OBLIGOR" numFmtId="0">
      <sharedItems containsBlank="1"/>
    </cacheField>
    <cacheField name="UNDL_SEC_TYPE" numFmtId="0">
      <sharedItems containsBlank="1"/>
    </cacheField>
    <cacheField name="UNDL_AVC" numFmtId="0">
      <sharedItems containsNonDate="0" containsString="0" containsBlank="1"/>
    </cacheField>
    <cacheField name="UNDL_INDUSTRY" numFmtId="0">
      <sharedItems containsBlank="1"/>
    </cacheField>
    <cacheField name="UNDL_SEC_CODE" numFmtId="0">
      <sharedItems containsNonDate="0" containsString="0" containsBlank="1"/>
    </cacheField>
    <cacheField name="UNDL_SP" numFmtId="0">
      <sharedItems containsNonDate="0" containsString="0" containsBlank="1"/>
    </cacheField>
    <cacheField name="UNDL_MOODY" numFmtId="0">
      <sharedItems containsNonDate="0" containsString="0" containsBlank="1"/>
    </cacheField>
    <cacheField name="UNDL_FITCH" numFmtId="0">
      <sharedItems containsNonDate="0" containsString="0" containsBlank="1"/>
    </cacheField>
    <cacheField name="UNDL_SENIORITY" numFmtId="0">
      <sharedItems containsBlank="1"/>
    </cacheField>
    <cacheField name="UNDL_MV" numFmtId="0">
      <sharedItems containsString="0" containsBlank="1" containsNumber="1" minValue="-132361533.06999999" maxValue="115271247.08"/>
    </cacheField>
    <cacheField name="UNDL_MATURITY" numFmtId="14">
      <sharedItems containsNonDate="0" containsString="0" containsBlank="1"/>
    </cacheField>
    <cacheField name="UNDL_FIN_WEIGHT" numFmtId="0">
      <sharedItems containsString="0" containsBlank="1" containsNumber="1" minValue="0" maxValue="0.25490000000000002"/>
    </cacheField>
    <cacheField name="UNDL_DESCRIPTION" numFmtId="0">
      <sharedItems containsBlank="1"/>
    </cacheField>
    <cacheField name="UNDL_BB_TICKER" numFmtId="0">
      <sharedItems containsBlank="1"/>
    </cacheField>
    <cacheField name="REPO_DIFF" numFmtId="0">
      <sharedItems containsNonDate="0" containsString="0" containsBlank="1"/>
    </cacheField>
    <cacheField name="REPO_DAYS" numFmtId="0">
      <sharedItems containsNonDate="0" containsString="0" containsBlank="1"/>
    </cacheField>
    <cacheField name="REPO_MV" numFmtId="0">
      <sharedItems containsNonDate="0" containsString="0" containsBlank="1"/>
    </cacheField>
    <cacheField name="REPO_COST" numFmtId="0">
      <sharedItems containsNonDate="0" containsString="0" containsBlank="1"/>
    </cacheField>
    <cacheField name="REPO_ACC_INT" numFmtId="0">
      <sharedItems containsNonDate="0" containsString="0" containsBlank="1"/>
    </cacheField>
    <cacheField name="REPO_AMOUNT" numFmtId="0">
      <sharedItems containsNonDate="0" containsString="0" containsBlank="1"/>
    </cacheField>
    <cacheField name="QUANTITY" numFmtId="0">
      <sharedItems containsString="0" containsBlank="1" containsNumber="1" minValue="-20800000000" maxValue="208000000000"/>
    </cacheField>
    <cacheField name="PRICE" numFmtId="0">
      <sharedItems containsString="0" containsBlank="1" containsNumber="1" minValue="116.2" maxValue="19114.37"/>
    </cacheField>
    <cacheField name="CURRENCY" numFmtId="0">
      <sharedItems containsBlank="1"/>
    </cacheField>
    <cacheField name="EXCH_RATE" numFmtId="0">
      <sharedItems containsString="0" containsBlank="1" containsNumber="1" minValue="0.69449899999999998" maxValue="13473"/>
    </cacheField>
    <cacheField name="FACTOR" numFmtId="0">
      <sharedItems containsString="0" containsBlank="1" containsNumber="1" containsInteger="1" minValue="1" maxValue="500000"/>
    </cacheField>
    <cacheField name="DELTA" numFmtId="0">
      <sharedItems containsString="0" containsBlank="1" containsNumber="1" minValue="-0.91220000000000001" maxValue="0.72060000000000002"/>
    </cacheField>
    <cacheField name="UNDL_PRICE" numFmtId="0">
      <sharedItems containsString="0" containsBlank="1" containsNumber="1" minValue="260.01" maxValue="19114.37"/>
    </cacheField>
    <cacheField name="START_DATE" numFmtId="14">
      <sharedItems containsNonDate="0" containsString="0" containsBlank="1"/>
    </cacheField>
    <cacheField name="commodity_addon1" numFmtId="38">
      <sharedItems containsSemiMixedTypes="0" containsString="0" containsNumber="1" containsInteger="1" minValue="0" maxValue="0"/>
    </cacheField>
    <cacheField name="commodity_addon2" numFmtId="38">
      <sharedItems containsSemiMixedTypes="0" containsString="0" containsNumber="1" containsInteger="1" minValue="0" maxValue="0"/>
    </cacheField>
    <cacheField name="commodity_addon3" numFmtId="38">
      <sharedItems containsSemiMixedTypes="0" containsString="0" containsNumber="1" containsInteger="1" minValue="0" maxValue="0"/>
    </cacheField>
    <cacheField name="commodity_addon4" numFmtId="38">
      <sharedItems containsSemiMixedTypes="0" containsString="0" containsNumber="1" containsInteger="1" minValue="0" maxValue="0"/>
    </cacheField>
    <cacheField name="Currency_addon" numFmtId="0">
      <sharedItems containsSemiMixedTypes="0" containsString="0" containsNumber="1" containsInteger="1" minValue="0" maxValue="0"/>
    </cacheField>
    <cacheField name="test" numFmtId="0">
      <sharedItems containsSemiMixedTypes="0" containsString="0" containsNumber="1" minValue="0" maxValue="0.999494875913283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sayuki Tomizawa" refreshedDate="42895.471595833333" createdVersion="6" refreshedVersion="6" minRefreshableVersion="3" recordCount="41">
  <cacheSource type="worksheet">
    <worksheetSource name="テーブル_bis1_からのクエリ2"/>
  </cacheSource>
  <cacheFields count="75">
    <cacheField name="NO" numFmtId="0">
      <sharedItems containsSemiMixedTypes="0" containsString="0" containsNumber="1" containsInteger="1" minValue="1" maxValue="47"/>
    </cacheField>
    <cacheField name="OBLIGOR_NAME" numFmtId="0">
      <sharedItems containsBlank="1"/>
    </cacheField>
    <cacheField name="SEC_TYPE" numFmtId="0">
      <sharedItems containsBlank="1" count="73">
        <s v="Bond"/>
        <s v="Govt"/>
        <s v="Bond (Financial, Subordinated)"/>
        <s v="Bond (Financial)"/>
        <s v="CDS BUY"/>
        <s v="CDS Index BUY"/>
        <s v="FX Forward"/>
        <s v="Bond Future"/>
        <s v="Equity Option"/>
        <s v="Cash and Equivalents"/>
        <s v="Other Assets"/>
        <s v="Other Liabilities"/>
        <s v="Term Deposit" u="1"/>
        <m u="1"/>
        <s v="Commodity Future Option" u="1"/>
        <s v="Reverse Repo" u="1"/>
        <s v="Currency Future" u="1"/>
        <s v="Equity (Preferred, Perpetual)" u="1"/>
        <s v="Repo" u="1"/>
        <s v="IR Swap" u="1"/>
        <s v="CLO" u="1"/>
        <s v="FRA" u="1"/>
        <s v="TRS on Bond" u="1"/>
        <s v="FX Option" u="1"/>
        <s v="Commodity Future (Gold)" u="1"/>
        <s v="IR Cap" u="1"/>
        <s v="Bond (Perpetual)" u="1"/>
        <s v="Commodity Future Option (Silver)" u="1"/>
        <s v="TRS on Equity Index" u="1"/>
        <s v="IR Future" u="1"/>
        <s v="Equity (Preferred)" u="1"/>
        <s v="Equity (ETF, Financial)" u="1"/>
        <s v="Bond (Agency)" u="1"/>
        <s v="Equity" u="1"/>
        <s v="CDS SELL" u="1"/>
        <s v="Fund" u="1"/>
        <s v="Loan" u="1"/>
        <s v="Equity (Private)" u="1"/>
        <s v="Loan (Financial)" u="1"/>
        <s v="Bond (Subordinated)" u="1"/>
        <s v="Equity (REIT)" u="1"/>
        <s v="IR Floor" u="1"/>
        <s v="Commodity Future" u="1"/>
        <s v="TRS on Bond Index" u="1"/>
        <s v="Bond (Financial, Perpetual, Subordinated)" u="1"/>
        <s v="Currency Future Option" u="1"/>
        <s v="Swaption" u="1"/>
        <s v="Volatility Index Future" u="1"/>
        <s v="Bond (Perpetual, Subordinated)" u="1"/>
        <s v="Equity (Right)" u="1"/>
        <s v="MMF" u="1"/>
        <s v="Bond (Covered)" u="1"/>
        <s v="Equity (Financial)" u="1"/>
        <s v="Equity Index Future" u="1"/>
        <s v="TRS on Equity Index Future" u="1"/>
        <s v="Equity Future" u="1"/>
        <s v="CFD" u="1"/>
        <s v="Dividend Future" u="1"/>
        <s v="Equity (Financial, Private)" u="1"/>
        <s v="CC Swap" u="1"/>
        <s v="Commodity Future (Silver)" u="1"/>
        <s v="Equity (ETF)" u="1"/>
        <s v="Equity (Warrant)" u="1"/>
        <s v="Loan (2nd Lien)" u="1"/>
        <s v="IR Future Option" u="1"/>
        <s v="CDS Index Option" u="1"/>
        <s v="Loan (Financial, 2nd Lien)" u="1"/>
        <s v="Equity (Financial, Preferred)" u="1"/>
        <s v="Bond (Municipal)" u="1"/>
        <s v="Bond Future Option" u="1"/>
        <s v="Equity Index Option" u="1"/>
        <s v="Currency Index Future" u="1"/>
        <s v="Commodity Future Option (Gold)" u="1"/>
      </sharedItems>
    </cacheField>
    <cacheField name="AVC" numFmtId="0">
      <sharedItems containsBlank="1"/>
    </cacheField>
    <cacheField name="INDUSTRY" numFmtId="0">
      <sharedItems containsBlank="1"/>
    </cacheField>
    <cacheField name="SEC_CODE" numFmtId="0">
      <sharedItems containsNonDate="0" containsString="0" containsBlank="1"/>
    </cacheField>
    <cacheField name="RTG_SP" numFmtId="0">
      <sharedItems containsBlank="1"/>
    </cacheField>
    <cacheField name="RTG_MOODY" numFmtId="0">
      <sharedItems containsBlank="1"/>
    </cacheField>
    <cacheField name="RTG_FITCH" numFmtId="0">
      <sharedItems containsBlank="1"/>
    </cacheField>
    <cacheField name="SP" numFmtId="0">
      <sharedItems containsMixedTypes="1" containsNumber="1" containsInteger="1" minValue="0" maxValue="0"/>
    </cacheField>
    <cacheField name="MOODYS" numFmtId="0">
      <sharedItems containsMixedTypes="1" containsNumber="1" containsInteger="1" minValue="0" maxValue="0"/>
    </cacheField>
    <cacheField name="FITCH" numFmtId="0">
      <sharedItems containsMixedTypes="1" containsNumber="1" containsInteger="1" minValue="0" maxValue="0"/>
    </cacheField>
    <cacheField name="CVA掛け目_SP" numFmtId="0">
      <sharedItems containsMixedTypes="1" containsNumber="1" minValue="7.0000000000000001E-3" maxValue="0.1"/>
    </cacheField>
    <cacheField name="CVA掛け目_MOODYS" numFmtId="0">
      <sharedItems containsMixedTypes="1" containsNumber="1" minValue="7.0000000000000001E-3" maxValue="0.1"/>
    </cacheField>
    <cacheField name="CVA掛け目_FITCH" numFmtId="0">
      <sharedItems containsMixedTypes="1" containsNumber="1" minValue="7.0000000000000001E-3" maxValue="0.2"/>
    </cacheField>
    <cacheField name="CVA掛け目" numFmtId="0">
      <sharedItems containsMixedTypes="1" containsNumber="1" minValue="7.0000000000000001E-3" maxValue="8.0000000000000002E-3"/>
    </cacheField>
    <cacheField name="CVA" numFmtId="38">
      <sharedItems containsSemiMixedTypes="0" containsString="0" containsNumber="1" minValue="0" maxValue="11381463.651909247"/>
    </cacheField>
    <cacheField name="ASSET_TYPE_ID" numFmtId="0">
      <sharedItems containsSemiMixedTypes="0" containsString="0" containsNumber="1" containsInteger="1" minValue="20" maxValue="99"/>
    </cacheField>
    <cacheField name="CAPITAL_TYPE" numFmtId="0">
      <sharedItems containsString="0" containsBlank="1" containsNumber="1" containsInteger="1" minValue="3" maxValue="3"/>
    </cacheField>
    <cacheField name="HOLDING_TYPE" numFmtId="0">
      <sharedItems containsString="0" containsBlank="1" containsNumber="1" containsInteger="1" minValue="3" maxValue="3"/>
    </cacheField>
    <cacheField name="MATURITY" numFmtId="14">
      <sharedItems containsNonDate="0" containsDate="1" containsString="0" containsBlank="1" minDate="2017-01-05T00:00:00" maxDate="2046-11-16T00:00:00"/>
    </cacheField>
    <cacheField name="length" numFmtId="0">
      <sharedItems containsMixedTypes="1" containsNumber="1" minValue="5.4794520547945202E-2" maxValue="4.9726027397260273"/>
    </cacheField>
    <cacheField name="Type" numFmtId="0">
      <sharedItems containsMixedTypes="1" containsNumber="1" containsInteger="1" minValue="1" maxValue="6"/>
    </cacheField>
    <cacheField name="Type2" numFmtId="0">
      <sharedItems containsNonDate="0" containsString="0" containsBlank="1"/>
    </cacheField>
    <cacheField name="Final_Type" numFmtId="0">
      <sharedItems containsMixedTypes="1" containsNumber="1" containsInteger="1" minValue="1" maxValue="6"/>
    </cacheField>
    <cacheField name="duration" numFmtId="0">
      <sharedItems containsSemiMixedTypes="0" containsString="0" containsNumber="1" containsInteger="1" minValue="1" maxValue="3"/>
    </cacheField>
    <cacheField name="combo" numFmtId="0">
      <sharedItems/>
    </cacheField>
    <cacheField name="SCM_SF" numFmtId="10">
      <sharedItems containsMixedTypes="1" containsNumber="1" minValue="0" maxValue="0.1"/>
    </cacheField>
    <cacheField name="ADDON" numFmtId="38">
      <sharedItems containsSemiMixedTypes="0" containsString="0" containsNumber="1" minValue="0" maxValue="2222000"/>
    </cacheField>
    <cacheField name="PE(before CP)" numFmtId="38">
      <sharedItems containsSemiMixedTypes="0" containsString="0" containsNumber="1" minValue="0" maxValue="29202418.02"/>
    </cacheField>
    <cacheField name="PE" numFmtId="38">
      <sharedItems containsSemiMixedTypes="0" containsString="0" containsNumber="1" minValue="0" maxValue="28057120"/>
    </cacheField>
    <cacheField name="MARKET_VALUE" numFmtId="38">
      <sharedItems containsSemiMixedTypes="0" containsString="0" containsNumber="1" minValue="-7816445" maxValue="29202418.02"/>
    </cacheField>
    <cacheField name="ACC_INT" numFmtId="0">
      <sharedItems containsString="0" containsBlank="1" containsNumber="1" minValue="-14101.23" maxValue="82999.72"/>
    </cacheField>
    <cacheField name="NOTIONAL" numFmtId="38">
      <sharedItems containsString="0" containsBlank="1" containsNumber="1" minValue="-22220000" maxValue="89979894.049999997"/>
    </cacheField>
    <cacheField name="BB_TICKER" numFmtId="0">
      <sharedItems containsBlank="1"/>
    </cacheField>
    <cacheField name="DESCRIPTION" numFmtId="0">
      <sharedItems/>
    </cacheField>
    <cacheField name="PER_NAV" numFmtId="0">
      <sharedItems containsSemiMixedTypes="0" containsString="0" containsNumber="1" minValue="-8.6773497145858081E-2" maxValue="0.32394081789540108"/>
    </cacheField>
    <cacheField name="RISK_WEIGHT" numFmtId="0">
      <sharedItems containsString="0" containsBlank="1" containsNumber="1" minValue="0.12514643162799999" maxValue="12.5"/>
    </cacheField>
    <cacheField name="MTIME" numFmtId="22">
      <sharedItems containsSemiMixedTypes="0" containsNonDate="0" containsDate="1" containsString="0" minDate="2017-02-02T09:30:32" maxDate="2017-02-02T10:29:37"/>
    </cacheField>
    <cacheField name="UNDL_NO" numFmtId="0">
      <sharedItems containsString="0" containsBlank="1" containsNumber="1" containsInteger="1" minValue="25" maxValue="43"/>
    </cacheField>
    <cacheField name="undl_risk_weight" numFmtId="0">
      <sharedItems containsString="0" containsBlank="1" containsNumber="1" containsInteger="1" minValue="3" maxValue="4"/>
    </cacheField>
    <cacheField name="UNDL_OBLIGOR" numFmtId="0">
      <sharedItems containsBlank="1"/>
    </cacheField>
    <cacheField name="UNDL_SEC_TYPE" numFmtId="0">
      <sharedItems containsBlank="1"/>
    </cacheField>
    <cacheField name="UNDL_AVC" numFmtId="0">
      <sharedItems containsNonDate="0" containsString="0" containsBlank="1"/>
    </cacheField>
    <cacheField name="UNDL_INDUSTRY" numFmtId="0">
      <sharedItems containsBlank="1"/>
    </cacheField>
    <cacheField name="UNDL_SEC_CODE" numFmtId="0">
      <sharedItems containsNonDate="0" containsString="0" containsBlank="1"/>
    </cacheField>
    <cacheField name="UNDL_SP" numFmtId="0">
      <sharedItems containsBlank="1"/>
    </cacheField>
    <cacheField name="UNDL_MOODY" numFmtId="0">
      <sharedItems containsBlank="1"/>
    </cacheField>
    <cacheField name="UNDL_FITCH" numFmtId="0">
      <sharedItems containsBlank="1"/>
    </cacheField>
    <cacheField name="UNDL_SENIORITY" numFmtId="0">
      <sharedItems containsBlank="1"/>
    </cacheField>
    <cacheField name="UNDL_MV" numFmtId="0">
      <sharedItems containsString="0" containsBlank="1" containsNumber="1" minValue="0" maxValue="141214.04999999999"/>
    </cacheField>
    <cacheField name="UNDL_MATURITY" numFmtId="14">
      <sharedItems containsNonDate="0" containsDate="1" containsString="0" containsBlank="1" minDate="2021-12-20T00:00:00" maxDate="2021-12-21T00:00:00"/>
    </cacheField>
    <cacheField name="UNDL_FIN_WEIGHT" numFmtId="0">
      <sharedItems containsString="0" containsBlank="1" containsNumber="1" minValue="0" maxValue="0.35699999999999998"/>
    </cacheField>
    <cacheField name="UNDL_DESCRIPTION" numFmtId="0">
      <sharedItems containsBlank="1"/>
    </cacheField>
    <cacheField name="UNDL_BB_TICKER" numFmtId="0">
      <sharedItems containsBlank="1"/>
    </cacheField>
    <cacheField name="REPO_DIFF" numFmtId="0">
      <sharedItems containsNonDate="0" containsString="0" containsBlank="1"/>
    </cacheField>
    <cacheField name="REPO_DAYS" numFmtId="0">
      <sharedItems containsNonDate="0" containsString="0" containsBlank="1"/>
    </cacheField>
    <cacheField name="REPO_MV" numFmtId="0">
      <sharedItems containsNonDate="0" containsString="0" containsBlank="1"/>
    </cacheField>
    <cacheField name="REPO_COST" numFmtId="0">
      <sharedItems containsNonDate="0" containsString="0" containsBlank="1"/>
    </cacheField>
    <cacheField name="REPO_ACC_INT" numFmtId="0">
      <sharedItems containsNonDate="0" containsString="0" containsBlank="1"/>
    </cacheField>
    <cacheField name="REPO_AMOUNT" numFmtId="0">
      <sharedItems containsNonDate="0" containsString="0" containsBlank="1"/>
    </cacheField>
    <cacheField name="QUANTITY" numFmtId="0">
      <sharedItems containsString="0" containsBlank="1" containsNumber="1" minValue="-30026709.649999999" maxValue="10491682640"/>
    </cacheField>
    <cacheField name="PRICE" numFmtId="0">
      <sharedItems containsString="0" containsBlank="1" containsNumber="1" minValue="-6.2777000000000003" maxValue="124.28125"/>
    </cacheField>
    <cacheField name="CURRENCY" numFmtId="0">
      <sharedItems containsBlank="1"/>
    </cacheField>
    <cacheField name="CCY_RATE" numFmtId="14">
      <sharedItems containsNonDate="0" containsDate="1" containsString="0" containsBlank="1" minDate="1899-12-30T16:35:18" maxDate="1900-04-25T14:24:26"/>
    </cacheField>
    <cacheField name="FACTOR" numFmtId="0">
      <sharedItems containsString="0" containsBlank="1" containsNumber="1" containsInteger="1" minValue="100" maxValue="1000"/>
    </cacheField>
    <cacheField name="DELTA" numFmtId="0">
      <sharedItems containsString="0" containsBlank="1" containsNumber="1" minValue="-0.25900000000000001" maxValue="-0.104"/>
    </cacheField>
    <cacheField name="UNDL_PRICE" numFmtId="0">
      <sharedItems containsString="0" containsBlank="1" containsNumber="1" minValue="33.340000000000003" maxValue="43.97"/>
    </cacheField>
    <cacheField name="START_DATE" numFmtId="14">
      <sharedItems containsNonDate="0" containsString="0" containsBlank="1"/>
    </cacheField>
    <cacheField name="commodity_addon1" numFmtId="38">
      <sharedItems containsSemiMixedTypes="0" containsString="0" containsNumber="1" containsInteger="1" minValue="0" maxValue="0"/>
    </cacheField>
    <cacheField name="commodity_addon2" numFmtId="38">
      <sharedItems containsSemiMixedTypes="0" containsString="0" containsNumber="1" containsInteger="1" minValue="0" maxValue="0"/>
    </cacheField>
    <cacheField name="commodity_addon3" numFmtId="38">
      <sharedItems containsSemiMixedTypes="0" containsString="0" containsNumber="1" containsInteger="1" minValue="0" maxValue="0"/>
    </cacheField>
    <cacheField name="commodity_addon4" numFmtId="38">
      <sharedItems containsSemiMixedTypes="0" containsString="0" containsNumber="1" containsInteger="1" minValue="0" maxValue="0"/>
    </cacheField>
    <cacheField name="Currency_addon" numFmtId="0">
      <sharedItems containsSemiMixedTypes="0" containsString="0" containsNumber="1" containsInteger="1" minValue="0" maxValue="0"/>
    </cacheField>
    <cacheField name="test" numFmtId="0">
      <sharedItems containsSemiMixedTypes="0" containsString="0" containsNumber="1" minValue="0" maxValue="0.311236089914358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51">
  <r>
    <n v="1"/>
    <s v="MORGAN STANLEY &amp;"/>
    <s v="Cash and Equivalents"/>
    <s v="1"/>
    <s v="Brokers"/>
    <m/>
    <s v="A+"/>
    <s v="A1"/>
    <m/>
    <s v="A"/>
    <s v="A"/>
    <n v="0"/>
    <n v="8.0000000000000002E-3"/>
    <n v="8.0000000000000002E-3"/>
    <s v=""/>
    <s v=""/>
    <n v="0"/>
    <x v="0"/>
    <m/>
    <m/>
    <m/>
    <s v=""/>
    <s v=""/>
    <m/>
    <s v=""/>
    <n v="3"/>
    <s v=""/>
    <s v=""/>
    <n v="0"/>
    <n v="14234995.779999999"/>
    <n v="2208854.7476980062"/>
    <n v="14234995.779999999"/>
    <m/>
    <m/>
    <s v="56243Z LN Equity"/>
    <x v="0"/>
    <n v="3.5587489449999996E-2"/>
    <n v="0.15517073428299999"/>
    <d v="2017-05-29T10:12:30"/>
    <m/>
    <m/>
    <m/>
    <m/>
    <m/>
    <m/>
    <m/>
    <m/>
    <m/>
    <m/>
    <m/>
    <m/>
    <m/>
    <m/>
    <m/>
    <m/>
    <m/>
    <m/>
    <m/>
    <m/>
    <m/>
    <m/>
    <m/>
    <m/>
    <s v="AUD"/>
    <m/>
    <m/>
    <m/>
    <m/>
    <m/>
    <n v="0"/>
    <n v="0"/>
    <n v="0"/>
    <n v="0"/>
    <n v="0"/>
    <n v="5.5221368692450158E-3"/>
  </r>
  <r>
    <n v="2"/>
    <s v="MERRILL LYNCH IN"/>
    <s v="Cash and Equivalents"/>
    <s v="1"/>
    <s v="Brokers"/>
    <m/>
    <s v="A+"/>
    <m/>
    <s v="A"/>
    <s v="A"/>
    <n v="0"/>
    <s v="A"/>
    <n v="8.0000000000000002E-3"/>
    <s v=""/>
    <n v="8.0000000000000002E-3"/>
    <s v=""/>
    <n v="0"/>
    <x v="0"/>
    <m/>
    <m/>
    <m/>
    <s v=""/>
    <s v=""/>
    <m/>
    <s v=""/>
    <n v="3"/>
    <s v=""/>
    <s v=""/>
    <n v="0"/>
    <n v="2819081.55"/>
    <n v="437438.95411715773"/>
    <n v="2819081.55"/>
    <m/>
    <m/>
    <s v="1128007Z LN Equity"/>
    <x v="1"/>
    <n v="7.0477038749999993E-3"/>
    <n v="0.15517073428299999"/>
    <d v="2017-05-29T10:12:30"/>
    <m/>
    <m/>
    <m/>
    <m/>
    <m/>
    <m/>
    <m/>
    <m/>
    <m/>
    <m/>
    <m/>
    <m/>
    <m/>
    <m/>
    <m/>
    <m/>
    <m/>
    <m/>
    <m/>
    <m/>
    <m/>
    <m/>
    <m/>
    <m/>
    <s v="AUD"/>
    <m/>
    <m/>
    <m/>
    <m/>
    <m/>
    <n v="0"/>
    <n v="0"/>
    <n v="0"/>
    <n v="0"/>
    <n v="0"/>
    <n v="1.0935973852928943E-3"/>
  </r>
  <r>
    <n v="3"/>
    <s v="BNP PARIBAS"/>
    <s v="Cash and Equivalents"/>
    <s v="1"/>
    <s v="Banks"/>
    <m/>
    <s v="A"/>
    <s v="A1"/>
    <s v="A+"/>
    <s v="A"/>
    <s v="A"/>
    <s v="A"/>
    <n v="8.0000000000000002E-3"/>
    <n v="8.0000000000000002E-3"/>
    <n v="8.0000000000000002E-3"/>
    <s v=""/>
    <n v="0"/>
    <x v="0"/>
    <m/>
    <m/>
    <m/>
    <s v=""/>
    <s v=""/>
    <m/>
    <s v=""/>
    <n v="3"/>
    <s v=""/>
    <s v=""/>
    <n v="0"/>
    <n v="78571803.769999996"/>
    <n v="12192044.484930687"/>
    <n v="78571803.769999996"/>
    <m/>
    <m/>
    <s v="BNP FP Equity"/>
    <x v="2"/>
    <n v="0.19642950942499998"/>
    <n v="0.15517073428299999"/>
    <d v="2017-05-29T10:12:30"/>
    <m/>
    <m/>
    <m/>
    <m/>
    <m/>
    <m/>
    <m/>
    <m/>
    <m/>
    <m/>
    <m/>
    <m/>
    <m/>
    <m/>
    <m/>
    <m/>
    <m/>
    <m/>
    <m/>
    <m/>
    <m/>
    <m/>
    <m/>
    <m/>
    <s v="CNY"/>
    <m/>
    <m/>
    <m/>
    <m/>
    <m/>
    <n v="0"/>
    <n v="0"/>
    <n v="0"/>
    <n v="0"/>
    <n v="0"/>
    <n v="3.0480111212326716E-2"/>
  </r>
  <r>
    <n v="4"/>
    <s v="UBS AG-REG"/>
    <s v="Cash and Equivalents"/>
    <s v="1"/>
    <s v="Banks"/>
    <m/>
    <s v="A+"/>
    <s v="A1"/>
    <s v="A+"/>
    <s v="A"/>
    <s v="A"/>
    <s v="A"/>
    <n v="8.0000000000000002E-3"/>
    <n v="8.0000000000000002E-3"/>
    <n v="8.0000000000000002E-3"/>
    <s v=""/>
    <n v="0"/>
    <x v="0"/>
    <m/>
    <m/>
    <m/>
    <s v=""/>
    <s v=""/>
    <m/>
    <s v=""/>
    <n v="3"/>
    <s v=""/>
    <s v=""/>
    <n v="0"/>
    <n v="46673415.579999998"/>
    <n v="7242348.1670442112"/>
    <n v="46673415.579999998"/>
    <m/>
    <m/>
    <s v="UBSN SW Equity"/>
    <x v="3"/>
    <n v="0.11668353895"/>
    <n v="0.15517073428299999"/>
    <d v="2017-05-29T10:12:30"/>
    <m/>
    <m/>
    <m/>
    <m/>
    <m/>
    <m/>
    <m/>
    <m/>
    <m/>
    <m/>
    <m/>
    <m/>
    <m/>
    <m/>
    <m/>
    <m/>
    <m/>
    <m/>
    <m/>
    <m/>
    <m/>
    <m/>
    <m/>
    <m/>
    <s v="CNY"/>
    <m/>
    <m/>
    <m/>
    <m/>
    <m/>
    <n v="0"/>
    <n v="0"/>
    <n v="0"/>
    <n v="0"/>
    <n v="0"/>
    <n v="1.8105870417610529E-2"/>
  </r>
  <r>
    <n v="5"/>
    <s v="DEUTSCHE BANK-RG"/>
    <s v="Cash and Equivalents"/>
    <s v="1"/>
    <s v="Banks"/>
    <m/>
    <s v="A-"/>
    <s v="Baa2"/>
    <s v="A-"/>
    <s v="A"/>
    <s v="Baa"/>
    <s v="A"/>
    <n v="8.0000000000000002E-3"/>
    <n v="0.01"/>
    <n v="8.0000000000000002E-3"/>
    <s v=""/>
    <n v="0"/>
    <x v="0"/>
    <m/>
    <m/>
    <m/>
    <s v=""/>
    <s v=""/>
    <m/>
    <s v=""/>
    <n v="3"/>
    <s v=""/>
    <s v=""/>
    <n v="0"/>
    <n v="40130019.049999997"/>
    <n v="6227004.5227792775"/>
    <n v="40130019.049999997"/>
    <m/>
    <m/>
    <s v="DBK GR Equity"/>
    <x v="4"/>
    <n v="0.100325047625"/>
    <n v="0.15517073428299999"/>
    <d v="2017-05-29T10:12:30"/>
    <m/>
    <m/>
    <m/>
    <m/>
    <m/>
    <m/>
    <m/>
    <m/>
    <m/>
    <m/>
    <m/>
    <m/>
    <m/>
    <m/>
    <m/>
    <m/>
    <m/>
    <m/>
    <m/>
    <m/>
    <m/>
    <m/>
    <m/>
    <m/>
    <s v="CNY"/>
    <m/>
    <m/>
    <m/>
    <m/>
    <m/>
    <n v="0"/>
    <n v="0"/>
    <n v="0"/>
    <n v="0"/>
    <n v="0"/>
    <n v="1.5567511306948193E-2"/>
  </r>
  <r>
    <n v="6"/>
    <s v="SHINHAN INVESTME"/>
    <s v="Cash and Equivalents"/>
    <s v="1"/>
    <s v="Banks"/>
    <m/>
    <m/>
    <m/>
    <m/>
    <n v="0"/>
    <n v="0"/>
    <n v="0"/>
    <s v=""/>
    <s v=""/>
    <s v=""/>
    <s v=""/>
    <n v="0"/>
    <x v="0"/>
    <m/>
    <m/>
    <m/>
    <s v=""/>
    <s v=""/>
    <m/>
    <s v=""/>
    <n v="3"/>
    <s v=""/>
    <s v=""/>
    <n v="0"/>
    <n v="2337990.3199999998"/>
    <n v="9351961.2799999993"/>
    <n v="2337990.3199999998"/>
    <m/>
    <m/>
    <s v="008670 KS Equity"/>
    <x v="5"/>
    <n v="5.8449757999999999E-3"/>
    <n v="4"/>
    <d v="2017-05-29T10:12:30"/>
    <m/>
    <m/>
    <m/>
    <m/>
    <m/>
    <m/>
    <m/>
    <m/>
    <m/>
    <m/>
    <m/>
    <m/>
    <m/>
    <m/>
    <m/>
    <m/>
    <m/>
    <m/>
    <m/>
    <m/>
    <m/>
    <m/>
    <m/>
    <m/>
    <s v="KRW"/>
    <m/>
    <m/>
    <m/>
    <m/>
    <m/>
    <n v="0"/>
    <n v="0"/>
    <n v="0"/>
    <n v="0"/>
    <n v="0"/>
    <n v="2.33799032E-2"/>
  </r>
  <r>
    <n v="7"/>
    <s v="JPMORGAN CHASE"/>
    <s v="Cash and Equivalents"/>
    <s v="1"/>
    <s v="Banks"/>
    <m/>
    <s v="A+"/>
    <s v="Aa3"/>
    <s v="AA-"/>
    <s v="A"/>
    <s v="Aa"/>
    <s v="AA"/>
    <n v="8.0000000000000002E-3"/>
    <n v="7.0000000000000001E-3"/>
    <n v="7.0000000000000001E-3"/>
    <s v=""/>
    <n v="0"/>
    <x v="0"/>
    <m/>
    <m/>
    <m/>
    <s v=""/>
    <s v=""/>
    <m/>
    <s v=""/>
    <n v="3"/>
    <s v=""/>
    <s v=""/>
    <n v="0"/>
    <n v="170.18"/>
    <n v="21.29741973445304"/>
    <n v="170.18"/>
    <m/>
    <m/>
    <s v="8147Z US Equity"/>
    <x v="6"/>
    <n v="4.2545000000000004E-7"/>
    <n v="0.12514643162799999"/>
    <d v="2017-05-29T10:12:30"/>
    <m/>
    <m/>
    <m/>
    <m/>
    <m/>
    <m/>
    <m/>
    <m/>
    <m/>
    <m/>
    <m/>
    <m/>
    <m/>
    <m/>
    <m/>
    <m/>
    <m/>
    <m/>
    <m/>
    <m/>
    <m/>
    <m/>
    <m/>
    <m/>
    <s v="USD"/>
    <m/>
    <m/>
    <m/>
    <m/>
    <m/>
    <n v="0"/>
    <n v="0"/>
    <n v="0"/>
    <n v="0"/>
    <n v="0"/>
    <n v="5.32435493361326E-8"/>
  </r>
  <r>
    <n v="8"/>
    <s v="BANK OF NEW YORK"/>
    <s v="Cash and Equivalents"/>
    <s v="1"/>
    <s v="Banks"/>
    <m/>
    <s v="AA-"/>
    <m/>
    <s v="AA-"/>
    <s v="AA"/>
    <n v="0"/>
    <s v="AA"/>
    <n v="7.0000000000000001E-3"/>
    <s v=""/>
    <n v="7.0000000000000001E-3"/>
    <s v=""/>
    <n v="0"/>
    <x v="0"/>
    <m/>
    <m/>
    <m/>
    <s v=""/>
    <s v=""/>
    <m/>
    <s v=""/>
    <n v="3"/>
    <s v=""/>
    <s v=""/>
    <n v="0"/>
    <n v="0"/>
    <n v="0"/>
    <n v="-295086.68"/>
    <m/>
    <m/>
    <s v="0390655D LN Equity"/>
    <x v="7"/>
    <n v="-7.3771669999999994E-4"/>
    <n v="0.12514643162799999"/>
    <d v="2017-05-29T10:12:30"/>
    <m/>
    <m/>
    <m/>
    <m/>
    <m/>
    <m/>
    <m/>
    <m/>
    <m/>
    <m/>
    <m/>
    <m/>
    <m/>
    <m/>
    <m/>
    <m/>
    <m/>
    <m/>
    <m/>
    <m/>
    <m/>
    <m/>
    <m/>
    <m/>
    <s v="USD"/>
    <m/>
    <m/>
    <m/>
    <m/>
    <m/>
    <n v="0"/>
    <n v="0"/>
    <n v="0"/>
    <n v="0"/>
    <n v="0"/>
    <n v="0"/>
  </r>
  <r>
    <n v="9"/>
    <s v="AXIS BANK"/>
    <s v="Bond (Financial)"/>
    <m/>
    <s v="Banks"/>
    <m/>
    <s v="BBB-"/>
    <s v="Baa3"/>
    <s v="BBB-"/>
    <s v="BBB"/>
    <s v="Baa"/>
    <s v="BBB"/>
    <n v="0.01"/>
    <n v="0.01"/>
    <n v="0.01"/>
    <s v=""/>
    <n v="0"/>
    <x v="1"/>
    <m/>
    <m/>
    <d v="2017-09-05T00:00:00"/>
    <s v=""/>
    <s v=""/>
    <m/>
    <s v=""/>
    <n v="3"/>
    <s v=""/>
    <s v=""/>
    <n v="0"/>
    <n v="1018320"/>
    <n v="244034.13293885041"/>
    <n v="1018320"/>
    <m/>
    <m/>
    <s v="US05463EAB48 Corp"/>
    <x v="8"/>
    <n v="2.5458E-3"/>
    <n v="0.23964385747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6.1008533234712607E-4"/>
  </r>
  <r>
    <n v="10"/>
    <s v="ICICI BANK/DUBAI"/>
    <s v="Bond (Financial)"/>
    <s v="1"/>
    <s v="Banks"/>
    <m/>
    <s v="BBB-"/>
    <s v="Baa3"/>
    <s v="BBB-"/>
    <s v="BBB"/>
    <s v="Baa"/>
    <s v="BBB"/>
    <n v="0.01"/>
    <n v="0.01"/>
    <n v="0.01"/>
    <s v=""/>
    <n v="0"/>
    <x v="1"/>
    <m/>
    <m/>
    <d v="2018-02-21T00:00:00"/>
    <s v=""/>
    <s v=""/>
    <m/>
    <s v=""/>
    <n v="3"/>
    <s v=""/>
    <s v=""/>
    <n v="0"/>
    <n v="5123975"/>
    <n v="1723372.5086624525"/>
    <n v="5123975"/>
    <m/>
    <m/>
    <s v="US45112FAC05 Corp"/>
    <x v="9"/>
    <n v="1.28099375E-2"/>
    <n v="0.33633507358300002"/>
    <d v="2017-05-29T10:12:30"/>
    <m/>
    <m/>
    <m/>
    <m/>
    <m/>
    <m/>
    <m/>
    <m/>
    <m/>
    <m/>
    <m/>
    <m/>
    <m/>
    <m/>
    <m/>
    <m/>
    <m/>
    <m/>
    <m/>
    <m/>
    <m/>
    <m/>
    <n v="5000000"/>
    <m/>
    <s v="USD"/>
    <m/>
    <m/>
    <m/>
    <m/>
    <m/>
    <n v="0"/>
    <n v="0"/>
    <n v="0"/>
    <n v="0"/>
    <n v="0"/>
    <n v="4.3084312716561313E-3"/>
  </r>
  <r>
    <n v="11"/>
    <s v="ICBC/NEW YORK"/>
    <s v="Bond (Financial)"/>
    <s v="1"/>
    <s v="Banks"/>
    <m/>
    <s v="A"/>
    <s v="A1"/>
    <m/>
    <s v="A"/>
    <s v="A"/>
    <n v="0"/>
    <n v="8.0000000000000002E-3"/>
    <n v="8.0000000000000002E-3"/>
    <s v=""/>
    <s v=""/>
    <n v="0"/>
    <x v="1"/>
    <m/>
    <m/>
    <d v="2019-11-13T00:00:00"/>
    <s v=""/>
    <s v=""/>
    <m/>
    <s v=""/>
    <n v="3"/>
    <s v=""/>
    <s v=""/>
    <n v="0"/>
    <n v="793454.49"/>
    <n v="231158.14213524584"/>
    <n v="793454.49"/>
    <m/>
    <m/>
    <s v="US45580KAC27 Corp"/>
    <x v="10"/>
    <n v="1.983636225E-3"/>
    <n v="0.29133131773600002"/>
    <d v="2017-05-29T10:12:30"/>
    <m/>
    <m/>
    <m/>
    <m/>
    <m/>
    <m/>
    <m/>
    <m/>
    <m/>
    <m/>
    <m/>
    <m/>
    <m/>
    <m/>
    <m/>
    <m/>
    <m/>
    <m/>
    <m/>
    <m/>
    <m/>
    <m/>
    <n v="774000"/>
    <m/>
    <s v="USD"/>
    <m/>
    <m/>
    <m/>
    <m/>
    <m/>
    <n v="0"/>
    <n v="0"/>
    <n v="0"/>
    <n v="0"/>
    <n v="0"/>
    <n v="5.7789535533811465E-4"/>
  </r>
  <r>
    <n v="12"/>
    <s v="KOREA NATL OIL"/>
    <s v="Bond"/>
    <m/>
    <s v="Non-Financials"/>
    <m/>
    <s v="AA"/>
    <s v="Aa2"/>
    <s v="AA-"/>
    <s v="AA"/>
    <s v="Aa"/>
    <s v="AA"/>
    <n v="7.0000000000000001E-3"/>
    <n v="7.0000000000000001E-3"/>
    <n v="7.0000000000000001E-3"/>
    <s v=""/>
    <n v="0"/>
    <x v="1"/>
    <m/>
    <m/>
    <d v="2017-04-03T00:00:00"/>
    <s v=""/>
    <s v=""/>
    <m/>
    <s v=""/>
    <n v="3"/>
    <s v=""/>
    <s v=""/>
    <n v="0"/>
    <n v="240808.8"/>
    <n v="22168.794031849458"/>
    <n v="240808.8"/>
    <m/>
    <m/>
    <s v="US50065XAC83 Corp"/>
    <x v="11"/>
    <n v="6.0202200000000002E-4"/>
    <n v="9.2059733829699994E-2"/>
    <d v="2017-05-29T10:12:30"/>
    <m/>
    <m/>
    <m/>
    <m/>
    <m/>
    <m/>
    <m/>
    <m/>
    <m/>
    <m/>
    <m/>
    <m/>
    <m/>
    <m/>
    <m/>
    <m/>
    <m/>
    <m/>
    <m/>
    <m/>
    <m/>
    <m/>
    <n v="240000"/>
    <m/>
    <s v="USD"/>
    <m/>
    <m/>
    <m/>
    <m/>
    <m/>
    <n v="0"/>
    <n v="0"/>
    <n v="0"/>
    <n v="0"/>
    <n v="0"/>
    <n v="5.5421985079623643E-5"/>
  </r>
  <r>
    <n v="13"/>
    <s v="KOREA GAS CORP"/>
    <s v="Bond"/>
    <m/>
    <s v="Non-Financials"/>
    <m/>
    <s v="AA-"/>
    <s v="Aa2"/>
    <s v="AA-"/>
    <s v="AA"/>
    <s v="Aa"/>
    <s v="AA"/>
    <n v="7.0000000000000001E-3"/>
    <n v="7.0000000000000001E-3"/>
    <n v="7.0000000000000001E-3"/>
    <s v=""/>
    <n v="0"/>
    <x v="1"/>
    <m/>
    <m/>
    <d v="2018-07-29T00:00:00"/>
    <s v=""/>
    <s v=""/>
    <m/>
    <s v=""/>
    <n v="3"/>
    <s v=""/>
    <s v=""/>
    <n v="0"/>
    <n v="928464.23"/>
    <n v="111075.51119780586"/>
    <n v="928464.23"/>
    <m/>
    <m/>
    <s v="US50066CAF68 Corp"/>
    <x v="12"/>
    <n v="2.3211605749999999E-3"/>
    <n v="0.11963359234400001"/>
    <d v="2017-05-29T10:12:30"/>
    <m/>
    <m/>
    <m/>
    <m/>
    <m/>
    <m/>
    <m/>
    <m/>
    <m/>
    <m/>
    <m/>
    <m/>
    <m/>
    <m/>
    <m/>
    <m/>
    <m/>
    <m/>
    <m/>
    <m/>
    <m/>
    <m/>
    <n v="915000"/>
    <m/>
    <s v="USD"/>
    <m/>
    <m/>
    <m/>
    <m/>
    <m/>
    <n v="0"/>
    <n v="0"/>
    <n v="0"/>
    <n v="0"/>
    <n v="0"/>
    <n v="2.7768877799451462E-4"/>
  </r>
  <r>
    <n v="14"/>
    <s v="KOREA WESTERN PW"/>
    <s v="Bond"/>
    <m/>
    <s v="Non-Financials"/>
    <m/>
    <m/>
    <s v="Aa2"/>
    <s v="AA-"/>
    <n v="0"/>
    <s v="Aa"/>
    <s v="AA"/>
    <s v=""/>
    <n v="7.0000000000000001E-3"/>
    <n v="7.0000000000000001E-3"/>
    <s v=""/>
    <n v="0"/>
    <x v="1"/>
    <m/>
    <m/>
    <d v="2018-10-10T00:00:00"/>
    <s v=""/>
    <s v=""/>
    <m/>
    <s v=""/>
    <n v="3"/>
    <s v=""/>
    <s v=""/>
    <n v="0"/>
    <n v="507425"/>
    <n v="65568.844911541499"/>
    <n v="507425"/>
    <m/>
    <m/>
    <s v="US50066EAB11 Corp"/>
    <x v="13"/>
    <n v="1.2685624999999999E-3"/>
    <n v="0.12921879078000001"/>
    <d v="2017-05-29T10:12:30"/>
    <m/>
    <m/>
    <m/>
    <m/>
    <m/>
    <m/>
    <m/>
    <m/>
    <m/>
    <m/>
    <m/>
    <m/>
    <m/>
    <m/>
    <m/>
    <m/>
    <m/>
    <m/>
    <m/>
    <m/>
    <m/>
    <m/>
    <n v="500000"/>
    <m/>
    <s v="USD"/>
    <m/>
    <m/>
    <m/>
    <m/>
    <m/>
    <n v="0"/>
    <n v="0"/>
    <n v="0"/>
    <n v="0"/>
    <n v="0"/>
    <n v="1.6392211227885374E-4"/>
  </r>
  <r>
    <n v="15"/>
    <s v="WOORI BANK"/>
    <s v="Bond (Financial)"/>
    <s v="1"/>
    <s v="Banks"/>
    <m/>
    <s v="A"/>
    <s v="A2"/>
    <s v="A-"/>
    <s v="A"/>
    <s v="A"/>
    <s v="A"/>
    <n v="8.0000000000000002E-3"/>
    <n v="8.0000000000000002E-3"/>
    <n v="8.0000000000000002E-3"/>
    <s v=""/>
    <n v="0"/>
    <x v="1"/>
    <m/>
    <m/>
    <d v="2018-10-02T00:00:00"/>
    <s v=""/>
    <s v=""/>
    <m/>
    <s v=""/>
    <n v="3"/>
    <s v=""/>
    <s v=""/>
    <n v="0"/>
    <n v="2029100"/>
    <n v="426261.54979077232"/>
    <n v="2029100"/>
    <m/>
    <m/>
    <s v="US98105GAH56 Corp"/>
    <x v="14"/>
    <n v="5.07275E-3"/>
    <n v="0.21007419535300001"/>
    <d v="2017-05-29T10:12:30"/>
    <m/>
    <m/>
    <m/>
    <m/>
    <m/>
    <m/>
    <m/>
    <m/>
    <m/>
    <m/>
    <m/>
    <m/>
    <m/>
    <m/>
    <m/>
    <m/>
    <m/>
    <m/>
    <m/>
    <m/>
    <m/>
    <m/>
    <n v="2000000"/>
    <m/>
    <s v="USD"/>
    <m/>
    <m/>
    <m/>
    <m/>
    <m/>
    <n v="0"/>
    <n v="0"/>
    <n v="0"/>
    <n v="0"/>
    <n v="0"/>
    <n v="1.0656538744769307E-3"/>
  </r>
  <r>
    <n v="16"/>
    <s v="IND &amp; COMM BK/SG"/>
    <s v="Bond (Financial)"/>
    <s v="1"/>
    <s v="Banks"/>
    <m/>
    <s v="A"/>
    <s v="A1"/>
    <m/>
    <s v="A"/>
    <s v="A"/>
    <n v="0"/>
    <n v="8.0000000000000002E-3"/>
    <n v="8.0000000000000002E-3"/>
    <s v=""/>
    <s v=""/>
    <n v="0"/>
    <x v="1"/>
    <m/>
    <m/>
    <d v="2017-09-12T00:00:00"/>
    <s v=""/>
    <s v=""/>
    <m/>
    <s v=""/>
    <n v="3"/>
    <s v=""/>
    <s v=""/>
    <n v="0"/>
    <n v="1004595"/>
    <n v="155883.74380703038"/>
    <n v="1004595"/>
    <m/>
    <m/>
    <s v="XS0754769577 Corp"/>
    <x v="15"/>
    <n v="2.5114874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3.8970935951757594E-4"/>
  </r>
  <r>
    <n v="17"/>
    <s v="AGILE GROUP"/>
    <s v="Bond"/>
    <m/>
    <s v="Non-Financials"/>
    <m/>
    <s v="BB-"/>
    <s v="Ba3"/>
    <m/>
    <s v="BB"/>
    <s v="Ba"/>
    <n v="0"/>
    <n v="0.02"/>
    <n v="0.02"/>
    <s v=""/>
    <s v=""/>
    <n v="0"/>
    <x v="1"/>
    <m/>
    <m/>
    <d v="2017-03-20T00:00:00"/>
    <s v=""/>
    <s v=""/>
    <m/>
    <s v=""/>
    <n v="3"/>
    <s v=""/>
    <s v=""/>
    <n v="0"/>
    <n v="3446750"/>
    <n v="13787000"/>
    <n v="3446750"/>
    <m/>
    <m/>
    <s v="XS0756437132 Corp"/>
    <x v="16"/>
    <n v="8.6168749999999995E-3"/>
    <n v="4"/>
    <d v="2017-05-29T10:12:30"/>
    <m/>
    <m/>
    <m/>
    <m/>
    <m/>
    <m/>
    <m/>
    <m/>
    <m/>
    <m/>
    <m/>
    <m/>
    <m/>
    <m/>
    <m/>
    <m/>
    <m/>
    <m/>
    <m/>
    <m/>
    <m/>
    <m/>
    <n v="3400000"/>
    <m/>
    <s v="USD"/>
    <m/>
    <m/>
    <m/>
    <m/>
    <m/>
    <n v="0"/>
    <n v="0"/>
    <n v="0"/>
    <n v="0"/>
    <n v="0"/>
    <n v="3.4467499999999998E-2"/>
  </r>
  <r>
    <n v="18"/>
    <s v="AGILE GROUP"/>
    <s v="Bond"/>
    <m/>
    <s v="Non-Financials"/>
    <m/>
    <s v="BB-"/>
    <s v="Ba3"/>
    <m/>
    <s v="BB"/>
    <s v="Ba"/>
    <n v="0"/>
    <n v="0.02"/>
    <n v="0.02"/>
    <s v=""/>
    <s v=""/>
    <n v="0"/>
    <x v="1"/>
    <m/>
    <m/>
    <d v="2017-03-20T00:00:00"/>
    <s v=""/>
    <s v=""/>
    <m/>
    <s v=""/>
    <n v="3"/>
    <s v=""/>
    <s v=""/>
    <n v="0"/>
    <n v="2027500"/>
    <n v="8110000"/>
    <n v="2027500"/>
    <m/>
    <m/>
    <s v="XS0756437132 Corp"/>
    <x v="16"/>
    <n v="5.0687500000000003E-3"/>
    <n v="4"/>
    <d v="2017-05-29T10:12:30"/>
    <m/>
    <m/>
    <m/>
    <m/>
    <m/>
    <m/>
    <m/>
    <m/>
    <m/>
    <m/>
    <m/>
    <m/>
    <m/>
    <m/>
    <m/>
    <m/>
    <m/>
    <m/>
    <m/>
    <m/>
    <m/>
    <m/>
    <n v="2000000"/>
    <m/>
    <s v="USD"/>
    <m/>
    <m/>
    <m/>
    <m/>
    <m/>
    <n v="0"/>
    <n v="0"/>
    <n v="0"/>
    <n v="0"/>
    <n v="0"/>
    <n v="2.0275000000000001E-2"/>
  </r>
  <r>
    <n v="19"/>
    <s v="KOREA EXPRESSWAY"/>
    <s v="Bond"/>
    <m/>
    <s v="Non-Financials"/>
    <m/>
    <s v="AA"/>
    <s v="Aa2"/>
    <m/>
    <s v="AA"/>
    <s v="Aa"/>
    <n v="0"/>
    <n v="7.0000000000000001E-3"/>
    <n v="7.0000000000000001E-3"/>
    <s v=""/>
    <s v=""/>
    <n v="0"/>
    <x v="1"/>
    <m/>
    <m/>
    <d v="2017-10-22T00:00:00"/>
    <s v=""/>
    <s v=""/>
    <m/>
    <s v=""/>
    <n v="3"/>
    <s v=""/>
    <s v=""/>
    <n v="0"/>
    <n v="1000175"/>
    <n v="92075.844283120197"/>
    <n v="1000175"/>
    <m/>
    <m/>
    <s v="USY4872AAX55 Corp"/>
    <x v="17"/>
    <n v="2.5004375000000001E-3"/>
    <n v="9.2059733829699994E-2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2.3018961070780049E-4"/>
  </r>
  <r>
    <n v="20"/>
    <s v="EX-IM BK OF IN"/>
    <s v="Bond (Financial)"/>
    <m/>
    <s v="Banks"/>
    <m/>
    <s v="BBB-"/>
    <s v="Baa3"/>
    <s v="BBB-"/>
    <s v="BBB"/>
    <s v="Baa"/>
    <s v="BBB"/>
    <n v="0.01"/>
    <n v="0.01"/>
    <n v="0.01"/>
    <s v=""/>
    <n v="0"/>
    <x v="1"/>
    <m/>
    <m/>
    <d v="2017-08-07T00:00:00"/>
    <s v=""/>
    <s v=""/>
    <m/>
    <s v=""/>
    <n v="3"/>
    <s v=""/>
    <s v=""/>
    <n v="0"/>
    <n v="1011190"/>
    <n v="242325.47223508931"/>
    <n v="1011190"/>
    <m/>
    <m/>
    <s v="XS0813393849 Corp"/>
    <x v="18"/>
    <n v="2.527975E-3"/>
    <n v="0.23964385747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6.058136805877233E-4"/>
  </r>
  <r>
    <n v="21"/>
    <s v="EX-IM BK OF IN"/>
    <s v="Bond (Financial)"/>
    <m/>
    <s v="Banks"/>
    <m/>
    <s v="BBB-"/>
    <s v="Baa3"/>
    <s v="BBB-"/>
    <s v="BBB"/>
    <s v="Baa"/>
    <s v="BBB"/>
    <n v="0.01"/>
    <n v="0.01"/>
    <n v="0.01"/>
    <s v=""/>
    <n v="0"/>
    <x v="1"/>
    <m/>
    <m/>
    <d v="2017-08-07T00:00:00"/>
    <s v=""/>
    <s v=""/>
    <m/>
    <s v=""/>
    <n v="3"/>
    <s v=""/>
    <s v=""/>
    <n v="0"/>
    <n v="1011190"/>
    <n v="242325.47223508931"/>
    <n v="1011190"/>
    <m/>
    <m/>
    <s v="XS0813393849 Corp"/>
    <x v="18"/>
    <n v="2.527975E-3"/>
    <n v="0.23964385747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6.058136805877233E-4"/>
  </r>
  <r>
    <n v="22"/>
    <s v="FRANSHION INVEST"/>
    <s v="Bond"/>
    <m/>
    <s v="Non-Financials"/>
    <m/>
    <s v="BBB-"/>
    <s v="Baa3"/>
    <s v="BBB-"/>
    <s v="BBB"/>
    <s v="Baa"/>
    <s v="BBB"/>
    <n v="0.01"/>
    <n v="0.01"/>
    <n v="0.01"/>
    <s v=""/>
    <n v="0"/>
    <x v="1"/>
    <m/>
    <m/>
    <d v="2017-10-26T00:00:00"/>
    <s v=""/>
    <s v=""/>
    <m/>
    <s v=""/>
    <n v="3"/>
    <s v=""/>
    <s v=""/>
    <n v="0"/>
    <n v="1013825"/>
    <n v="242956.93379952275"/>
    <n v="1013825"/>
    <m/>
    <m/>
    <s v="XS0847609434 Corp"/>
    <x v="19"/>
    <n v="2.5345624999999999E-3"/>
    <n v="0.23964385747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6.0739233449880691E-4"/>
  </r>
  <r>
    <n v="23"/>
    <s v="FRANSHION INVEST"/>
    <s v="Bond"/>
    <m/>
    <s v="Non-Financials"/>
    <m/>
    <s v="BBB-"/>
    <s v="Baa3"/>
    <s v="BBB-"/>
    <s v="BBB"/>
    <s v="Baa"/>
    <s v="BBB"/>
    <n v="0.01"/>
    <n v="0.01"/>
    <n v="0.01"/>
    <s v=""/>
    <n v="0"/>
    <x v="1"/>
    <m/>
    <m/>
    <d v="2017-10-26T00:00:00"/>
    <s v=""/>
    <s v=""/>
    <m/>
    <s v=""/>
    <n v="3"/>
    <s v=""/>
    <s v=""/>
    <n v="0"/>
    <n v="1115207.5"/>
    <n v="267252.62717947504"/>
    <n v="1115207.5"/>
    <m/>
    <m/>
    <s v="XS0847609434 Corp"/>
    <x v="19"/>
    <n v="2.7880187499999998E-3"/>
    <n v="0.23964385747"/>
    <d v="2017-05-29T10:12:30"/>
    <m/>
    <m/>
    <m/>
    <m/>
    <m/>
    <m/>
    <m/>
    <m/>
    <m/>
    <m/>
    <m/>
    <m/>
    <m/>
    <m/>
    <m/>
    <m/>
    <m/>
    <m/>
    <m/>
    <m/>
    <m/>
    <m/>
    <n v="1100000"/>
    <m/>
    <s v="USD"/>
    <m/>
    <m/>
    <m/>
    <m/>
    <m/>
    <n v="0"/>
    <n v="0"/>
    <n v="0"/>
    <n v="0"/>
    <n v="0"/>
    <n v="6.6813156794868762E-4"/>
  </r>
  <r>
    <n v="24"/>
    <s v="BESTGAIN REAL E"/>
    <s v="Bond"/>
    <m/>
    <s v="Non-Financials"/>
    <m/>
    <s v="BBB"/>
    <s v="Baa2"/>
    <s v="BBB+"/>
    <s v="BBB"/>
    <s v="Baa"/>
    <s v="BBB"/>
    <n v="0.01"/>
    <n v="0.01"/>
    <n v="0.01"/>
    <s v=""/>
    <n v="0"/>
    <x v="1"/>
    <m/>
    <m/>
    <d v="2018-03-13T00:00:00"/>
    <s v=""/>
    <s v=""/>
    <m/>
    <s v=""/>
    <n v="3"/>
    <s v=""/>
    <s v=""/>
    <n v="0"/>
    <n v="1242981.25"/>
    <n v="237226.15402830046"/>
    <n v="1242981.25"/>
    <m/>
    <m/>
    <s v="XS0898415004 Corp"/>
    <x v="20"/>
    <n v="3.107453125E-3"/>
    <n v="0.190852560349"/>
    <d v="2017-05-29T10:12:30"/>
    <m/>
    <m/>
    <m/>
    <m/>
    <m/>
    <m/>
    <m/>
    <m/>
    <m/>
    <m/>
    <m/>
    <m/>
    <m/>
    <m/>
    <m/>
    <m/>
    <m/>
    <m/>
    <m/>
    <m/>
    <m/>
    <m/>
    <n v="1250000"/>
    <m/>
    <s v="USD"/>
    <m/>
    <m/>
    <m/>
    <m/>
    <m/>
    <n v="0"/>
    <n v="0"/>
    <n v="0"/>
    <n v="0"/>
    <n v="0"/>
    <n v="5.9306538507075115E-4"/>
  </r>
  <r>
    <n v="25"/>
    <s v="POLY REAL ESTATE"/>
    <s v="Bond"/>
    <m/>
    <s v="Non-Financials"/>
    <m/>
    <s v="BBB-"/>
    <s v="Baa3"/>
    <s v="BBB+"/>
    <s v="BBB"/>
    <s v="Baa"/>
    <s v="BBB"/>
    <n v="0.01"/>
    <n v="0.01"/>
    <n v="0.01"/>
    <s v=""/>
    <n v="0"/>
    <x v="1"/>
    <m/>
    <m/>
    <d v="2018-08-06T00:00:00"/>
    <s v=""/>
    <s v=""/>
    <m/>
    <s v=""/>
    <n v="3"/>
    <s v=""/>
    <s v=""/>
    <n v="0"/>
    <n v="2050980"/>
    <n v="587173.62967690569"/>
    <n v="2050980"/>
    <m/>
    <m/>
    <s v="XS0946643490 Corp"/>
    <x v="21"/>
    <n v="5.1274500000000004E-3"/>
    <n v="0.28628930056700003"/>
    <d v="2017-05-29T10:12:30"/>
    <m/>
    <m/>
    <m/>
    <m/>
    <m/>
    <m/>
    <m/>
    <m/>
    <m/>
    <m/>
    <m/>
    <m/>
    <m/>
    <m/>
    <m/>
    <m/>
    <m/>
    <m/>
    <m/>
    <m/>
    <m/>
    <m/>
    <n v="2000000"/>
    <m/>
    <s v="USD"/>
    <m/>
    <m/>
    <m/>
    <m/>
    <m/>
    <n v="0"/>
    <n v="0"/>
    <n v="0"/>
    <n v="0"/>
    <n v="0"/>
    <n v="1.4679340741922643E-3"/>
  </r>
  <r>
    <n v="26"/>
    <s v="ICBC/SINGAPORE"/>
    <s v="Bond (Financial)"/>
    <s v="1"/>
    <s v="Banks"/>
    <m/>
    <m/>
    <s v="A1"/>
    <m/>
    <n v="0"/>
    <s v="A"/>
    <n v="0"/>
    <s v=""/>
    <n v="8.0000000000000002E-3"/>
    <s v=""/>
    <s v=""/>
    <n v="0"/>
    <x v="1"/>
    <m/>
    <m/>
    <d v="2019-08-11T00:00:00"/>
    <s v=""/>
    <s v=""/>
    <m/>
    <s v=""/>
    <n v="3"/>
    <s v=""/>
    <s v=""/>
    <n v="0"/>
    <n v="1731843.75"/>
    <n v="472038.8079983514"/>
    <n v="1731843.75"/>
    <m/>
    <m/>
    <s v="XS1465096573 Corp"/>
    <x v="22"/>
    <n v="4.3296093749999997E-3"/>
    <n v="0.27256431649700003"/>
    <d v="2017-05-29T10:12:30"/>
    <m/>
    <m/>
    <m/>
    <m/>
    <m/>
    <m/>
    <m/>
    <m/>
    <m/>
    <m/>
    <m/>
    <m/>
    <m/>
    <m/>
    <m/>
    <m/>
    <m/>
    <m/>
    <m/>
    <m/>
    <m/>
    <m/>
    <n v="1750000"/>
    <m/>
    <s v="USD"/>
    <m/>
    <m/>
    <m/>
    <m/>
    <m/>
    <n v="0"/>
    <n v="0"/>
    <n v="0"/>
    <n v="0"/>
    <n v="0"/>
    <n v="1.1800970199958786E-3"/>
  </r>
  <r>
    <n v="27"/>
    <s v="BK OF CHN/LONDON"/>
    <s v="Bond (Financial)"/>
    <s v="1"/>
    <s v="Banks"/>
    <m/>
    <m/>
    <s v="Aa3"/>
    <m/>
    <n v="0"/>
    <s v="Aa"/>
    <n v="0"/>
    <s v=""/>
    <n v="7.0000000000000001E-3"/>
    <s v=""/>
    <s v=""/>
    <n v="0"/>
    <x v="1"/>
    <m/>
    <m/>
    <d v="2019-11-09T00:00:00"/>
    <s v=""/>
    <s v=""/>
    <m/>
    <s v=""/>
    <n v="3"/>
    <s v=""/>
    <s v=""/>
    <n v="0"/>
    <n v="2645040"/>
    <n v="651119.72611746145"/>
    <n v="2645040"/>
    <m/>
    <m/>
    <s v="XS1512929842 Corp"/>
    <x v="23"/>
    <n v="6.6125999999999997E-3"/>
    <n v="0.24616630603600001"/>
    <d v="2017-05-29T10:12:30"/>
    <m/>
    <m/>
    <m/>
    <m/>
    <m/>
    <m/>
    <m/>
    <m/>
    <m/>
    <m/>
    <m/>
    <m/>
    <m/>
    <m/>
    <m/>
    <m/>
    <m/>
    <m/>
    <m/>
    <m/>
    <m/>
    <m/>
    <n v="2675000"/>
    <m/>
    <s v="USD"/>
    <m/>
    <m/>
    <m/>
    <m/>
    <m/>
    <n v="0"/>
    <n v="0"/>
    <n v="0"/>
    <n v="0"/>
    <n v="0"/>
    <n v="1.6277993152936537E-3"/>
  </r>
  <r>
    <n v="28"/>
    <s v="BANK OF CHINA/HK"/>
    <s v="Bond (Financial)"/>
    <s v="1"/>
    <s v="Banks"/>
    <m/>
    <m/>
    <s v="A1"/>
    <s v="A"/>
    <n v="0"/>
    <s v="A"/>
    <s v="A"/>
    <s v=""/>
    <n v="8.0000000000000002E-3"/>
    <n v="8.0000000000000002E-3"/>
    <s v=""/>
    <n v="0"/>
    <x v="1"/>
    <m/>
    <m/>
    <d v="2019-03-01T00:00:00"/>
    <s v=""/>
    <s v=""/>
    <m/>
    <s v=""/>
    <n v="3"/>
    <s v=""/>
    <s v=""/>
    <n v="0"/>
    <n v="2182983"/>
    <n v="523962.93655084021"/>
    <n v="2182983"/>
    <m/>
    <m/>
    <s v="XS1371532117 Corp"/>
    <x v="24"/>
    <n v="5.4574575000000004E-3"/>
    <n v="0.24002153775400001"/>
    <d v="2017-05-29T10:12:30"/>
    <m/>
    <m/>
    <m/>
    <m/>
    <m/>
    <m/>
    <m/>
    <m/>
    <m/>
    <m/>
    <m/>
    <m/>
    <m/>
    <m/>
    <m/>
    <m/>
    <m/>
    <m/>
    <m/>
    <m/>
    <m/>
    <m/>
    <n v="2200000"/>
    <m/>
    <s v="USD"/>
    <m/>
    <m/>
    <m/>
    <m/>
    <m/>
    <n v="0"/>
    <n v="0"/>
    <n v="0"/>
    <n v="0"/>
    <n v="0"/>
    <n v="1.3099073413771005E-3"/>
  </r>
  <r>
    <n v="29"/>
    <s v="AGRI BK CHINA/HK"/>
    <s v="Bond (Financial)"/>
    <s v="1"/>
    <s v="Banks"/>
    <m/>
    <s v="A"/>
    <s v="A1"/>
    <m/>
    <s v="A"/>
    <s v="A"/>
    <n v="0"/>
    <n v="8.0000000000000002E-3"/>
    <n v="8.0000000000000002E-3"/>
    <s v=""/>
    <s v=""/>
    <n v="0"/>
    <x v="1"/>
    <m/>
    <m/>
    <d v="2018-12-10T00:00:00"/>
    <s v=""/>
    <s v=""/>
    <m/>
    <s v=""/>
    <n v="3"/>
    <s v=""/>
    <s v=""/>
    <n v="0"/>
    <n v="1367536.5"/>
    <n v="306123.00840595679"/>
    <n v="1367536.5"/>
    <m/>
    <m/>
    <s v="XS1001656781 Corp"/>
    <x v="25"/>
    <n v="3.41884125E-3"/>
    <n v="0.22384997285700001"/>
    <d v="2017-05-29T10:12:30"/>
    <m/>
    <m/>
    <m/>
    <m/>
    <m/>
    <m/>
    <m/>
    <m/>
    <m/>
    <m/>
    <m/>
    <m/>
    <m/>
    <m/>
    <m/>
    <m/>
    <m/>
    <m/>
    <m/>
    <m/>
    <m/>
    <m/>
    <n v="1350000"/>
    <m/>
    <s v="USD"/>
    <m/>
    <m/>
    <m/>
    <m/>
    <m/>
    <n v="0"/>
    <n v="0"/>
    <n v="0"/>
    <n v="0"/>
    <n v="0"/>
    <n v="7.6530752101489194E-4"/>
  </r>
  <r>
    <n v="30"/>
    <s v="WANDA PROPERTIES"/>
    <s v="Bond"/>
    <m/>
    <s v="Non-Financials"/>
    <m/>
    <s v="BB"/>
    <s v="Ba1"/>
    <s v="BBB"/>
    <s v="BB"/>
    <s v="Ba"/>
    <s v="BBB"/>
    <n v="0.02"/>
    <n v="0.02"/>
    <n v="0.01"/>
    <s v=""/>
    <n v="0"/>
    <x v="1"/>
    <m/>
    <m/>
    <d v="2018-11-21T00:00:00"/>
    <s v=""/>
    <s v=""/>
    <m/>
    <s v=""/>
    <n v="3"/>
    <s v=""/>
    <s v=""/>
    <n v="0"/>
    <n v="2053750"/>
    <n v="8215000"/>
    <n v="2053750"/>
    <m/>
    <m/>
    <s v="XS0989286850 Corp"/>
    <x v="26"/>
    <n v="5.134375E-3"/>
    <n v="4"/>
    <d v="2017-05-29T10:12:30"/>
    <m/>
    <m/>
    <m/>
    <m/>
    <m/>
    <m/>
    <m/>
    <m/>
    <m/>
    <m/>
    <m/>
    <m/>
    <m/>
    <m/>
    <m/>
    <m/>
    <m/>
    <m/>
    <m/>
    <m/>
    <m/>
    <m/>
    <n v="2000000"/>
    <m/>
    <s v="USD"/>
    <m/>
    <m/>
    <m/>
    <m/>
    <m/>
    <n v="0"/>
    <n v="0"/>
    <n v="0"/>
    <n v="0"/>
    <n v="0"/>
    <n v="2.05375E-2"/>
  </r>
  <r>
    <n v="31"/>
    <s v="ICICI BANK/DUBAI"/>
    <s v="Bond (Financial)"/>
    <s v="1"/>
    <s v="Banks"/>
    <m/>
    <s v="BBB-"/>
    <s v="Baa3"/>
    <s v="BBB-"/>
    <s v="BBB"/>
    <s v="Baa"/>
    <s v="BBB"/>
    <n v="0.01"/>
    <n v="0.01"/>
    <n v="0.01"/>
    <s v=""/>
    <n v="0"/>
    <x v="1"/>
    <m/>
    <m/>
    <d v="2019-05-22T00:00:00"/>
    <s v=""/>
    <s v=""/>
    <m/>
    <s v=""/>
    <n v="3"/>
    <s v=""/>
    <s v=""/>
    <n v="0"/>
    <n v="7074101.7999999998"/>
    <n v="3302969.7363955011"/>
    <n v="7074101.7999999998"/>
    <m/>
    <m/>
    <s v="US45112FAE60 Corp"/>
    <x v="27"/>
    <n v="1.7685254500000001E-2"/>
    <n v="0.46691012227099998"/>
    <d v="2017-05-29T10:12:30"/>
    <m/>
    <m/>
    <m/>
    <m/>
    <m/>
    <m/>
    <m/>
    <m/>
    <m/>
    <m/>
    <m/>
    <m/>
    <m/>
    <m/>
    <m/>
    <m/>
    <m/>
    <m/>
    <m/>
    <m/>
    <m/>
    <m/>
    <n v="6740000"/>
    <m/>
    <s v="USD"/>
    <m/>
    <m/>
    <m/>
    <m/>
    <m/>
    <n v="0"/>
    <n v="0"/>
    <n v="0"/>
    <n v="0"/>
    <n v="0"/>
    <n v="8.2574243409887522E-3"/>
  </r>
  <r>
    <n v="32"/>
    <s v="TRILLION CHANCE"/>
    <s v="Bond"/>
    <m/>
    <s v="Non-Financials"/>
    <m/>
    <m/>
    <m/>
    <s v="BB"/>
    <n v="0"/>
    <n v="0"/>
    <s v="BB"/>
    <s v=""/>
    <s v=""/>
    <n v="0.02"/>
    <s v=""/>
    <n v="0"/>
    <x v="1"/>
    <m/>
    <m/>
    <d v="2019-01-10T00:00:00"/>
    <s v=""/>
    <s v=""/>
    <m/>
    <s v=""/>
    <n v="3"/>
    <s v=""/>
    <s v=""/>
    <n v="0"/>
    <n v="6360226"/>
    <n v="25440904"/>
    <n v="6360226"/>
    <m/>
    <m/>
    <s v="XS1009853141 Corp"/>
    <x v="28"/>
    <n v="1.5900564999999998E-2"/>
    <n v="4"/>
    <d v="2017-05-29T10:12:30"/>
    <m/>
    <m/>
    <m/>
    <m/>
    <m/>
    <m/>
    <m/>
    <m/>
    <m/>
    <m/>
    <m/>
    <m/>
    <m/>
    <m/>
    <m/>
    <m/>
    <m/>
    <m/>
    <m/>
    <m/>
    <m/>
    <m/>
    <n v="6100000"/>
    <m/>
    <s v="USD"/>
    <m/>
    <m/>
    <m/>
    <m/>
    <m/>
    <n v="0"/>
    <n v="0"/>
    <n v="0"/>
    <n v="0"/>
    <n v="0"/>
    <n v="6.3602259999999994E-2"/>
  </r>
  <r>
    <n v="33"/>
    <s v="TRILLION CHANCE"/>
    <s v="Bond"/>
    <m/>
    <s v="Non-Financials"/>
    <m/>
    <m/>
    <m/>
    <s v="BB"/>
    <n v="0"/>
    <n v="0"/>
    <s v="BB"/>
    <s v=""/>
    <s v=""/>
    <n v="0.02"/>
    <s v=""/>
    <n v="0"/>
    <x v="1"/>
    <m/>
    <m/>
    <d v="2019-01-10T00:00:00"/>
    <s v=""/>
    <s v=""/>
    <m/>
    <s v=""/>
    <n v="3"/>
    <s v=""/>
    <s v=""/>
    <n v="0"/>
    <n v="1042660"/>
    <n v="4170640"/>
    <n v="1042660"/>
    <m/>
    <m/>
    <s v="XS1009853141 Corp"/>
    <x v="28"/>
    <n v="2.6066499999999999E-3"/>
    <n v="4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1.0426599999999999E-2"/>
  </r>
  <r>
    <n v="34"/>
    <s v="INDIAN RAIL FIN"/>
    <s v="Bond (Financial)"/>
    <s v="1"/>
    <s v="Financials"/>
    <m/>
    <s v="BBB-"/>
    <s v="Baa3"/>
    <s v="BBB-"/>
    <s v="BBB"/>
    <s v="Baa"/>
    <s v="BBB"/>
    <n v="0.01"/>
    <n v="0.01"/>
    <n v="0.01"/>
    <s v=""/>
    <n v="0"/>
    <x v="1"/>
    <m/>
    <m/>
    <d v="2019-02-26T00:00:00"/>
    <s v=""/>
    <s v=""/>
    <m/>
    <s v=""/>
    <n v="3"/>
    <s v=""/>
    <s v=""/>
    <n v="0"/>
    <n v="412768"/>
    <n v="182656.84934054053"/>
    <n v="412768"/>
    <m/>
    <m/>
    <s v="XS1016035476 Corp"/>
    <x v="29"/>
    <n v="1.03192E-3"/>
    <n v="0.44251698130799999"/>
    <d v="2017-05-29T10:12:30"/>
    <m/>
    <m/>
    <m/>
    <m/>
    <m/>
    <m/>
    <m/>
    <m/>
    <m/>
    <m/>
    <m/>
    <m/>
    <m/>
    <m/>
    <m/>
    <m/>
    <m/>
    <m/>
    <m/>
    <m/>
    <m/>
    <m/>
    <n v="400000"/>
    <m/>
    <s v="USD"/>
    <m/>
    <m/>
    <m/>
    <m/>
    <m/>
    <n v="0"/>
    <n v="0"/>
    <n v="0"/>
    <n v="0"/>
    <n v="0"/>
    <n v="4.5664212335135132E-4"/>
  </r>
  <r>
    <n v="35"/>
    <s v="BK OF CHINA/HK"/>
    <s v="Bond (Financial)"/>
    <s v="1"/>
    <s v="Banks"/>
    <m/>
    <m/>
    <s v="A1"/>
    <s v="A"/>
    <n v="0"/>
    <s v="A"/>
    <s v="A"/>
    <s v=""/>
    <n v="8.0000000000000002E-3"/>
    <n v="8.0000000000000002E-3"/>
    <s v=""/>
    <n v="0"/>
    <x v="1"/>
    <m/>
    <m/>
    <d v="2019-01-23T00:00:00"/>
    <s v=""/>
    <s v=""/>
    <m/>
    <s v=""/>
    <n v="3"/>
    <s v=""/>
    <s v=""/>
    <n v="0"/>
    <n v="2625562.7999999998"/>
    <n v="610796.55911271181"/>
    <n v="2625562.7999999998"/>
    <m/>
    <m/>
    <s v="XS1016655349 Corp"/>
    <x v="30"/>
    <n v="6.5639069999999999E-3"/>
    <n v="0.232634526629"/>
    <d v="2017-05-29T10:12:30"/>
    <m/>
    <m/>
    <m/>
    <m/>
    <m/>
    <m/>
    <m/>
    <m/>
    <m/>
    <m/>
    <m/>
    <m/>
    <m/>
    <m/>
    <m/>
    <m/>
    <m/>
    <m/>
    <m/>
    <m/>
    <m/>
    <m/>
    <n v="2580000"/>
    <m/>
    <s v="USD"/>
    <m/>
    <m/>
    <m/>
    <m/>
    <m/>
    <n v="0"/>
    <n v="0"/>
    <n v="0"/>
    <n v="0"/>
    <n v="0"/>
    <n v="1.5269913977817794E-3"/>
  </r>
  <r>
    <n v="36"/>
    <s v="BK OF CHINA/HK"/>
    <s v="Bond (Financial)"/>
    <s v="1"/>
    <s v="Banks"/>
    <m/>
    <m/>
    <s v="A1"/>
    <m/>
    <n v="0"/>
    <s v="A"/>
    <n v="0"/>
    <s v=""/>
    <n v="8.0000000000000002E-3"/>
    <s v=""/>
    <s v=""/>
    <n v="0"/>
    <x v="1"/>
    <m/>
    <m/>
    <d v="2017-01-23T00:00:00"/>
    <s v=""/>
    <s v=""/>
    <m/>
    <s v=""/>
    <n v="3"/>
    <s v=""/>
    <s v=""/>
    <n v="0"/>
    <n v="2000360"/>
    <n v="310397.33003034187"/>
    <n v="2000360"/>
    <m/>
    <m/>
    <s v="XS1016655265 Corp"/>
    <x v="31"/>
    <n v="5.000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"/>
    <m/>
    <s v="USD"/>
    <m/>
    <m/>
    <m/>
    <m/>
    <m/>
    <n v="0"/>
    <n v="0"/>
    <n v="0"/>
    <n v="0"/>
    <n v="0"/>
    <n v="7.7599332507585468E-4"/>
  </r>
  <r>
    <n v="37"/>
    <s v="GEMDALE ASIA INV"/>
    <s v="Bond"/>
    <m/>
    <s v="Non-Financials"/>
    <m/>
    <s v="B+"/>
    <s v="Ba3"/>
    <m/>
    <s v="B"/>
    <s v="Ba"/>
    <n v="0"/>
    <n v="0.03"/>
    <n v="0.02"/>
    <s v=""/>
    <s v=""/>
    <n v="0"/>
    <x v="1"/>
    <m/>
    <m/>
    <d v="2017-03-04T00:00:00"/>
    <s v=""/>
    <s v=""/>
    <m/>
    <s v=""/>
    <n v="3"/>
    <s v=""/>
    <s v=""/>
    <n v="0"/>
    <n v="574108.98"/>
    <n v="2296435.92"/>
    <n v="574108.98"/>
    <m/>
    <m/>
    <s v="XS1018614732 Corp"/>
    <x v="32"/>
    <n v="1.43527245E-3"/>
    <n v="4"/>
    <d v="2017-05-29T10:12:30"/>
    <m/>
    <m/>
    <m/>
    <m/>
    <m/>
    <m/>
    <m/>
    <m/>
    <m/>
    <m/>
    <m/>
    <m/>
    <m/>
    <m/>
    <m/>
    <m/>
    <m/>
    <m/>
    <m/>
    <m/>
    <m/>
    <m/>
    <n v="4000000"/>
    <m/>
    <s v="CNY"/>
    <m/>
    <m/>
    <m/>
    <m/>
    <m/>
    <n v="0"/>
    <n v="0"/>
    <n v="0"/>
    <n v="0"/>
    <n v="0"/>
    <n v="5.7410897999999998E-3"/>
  </r>
  <r>
    <n v="38"/>
    <s v="OIL INDIA LTD"/>
    <s v="Bond"/>
    <m/>
    <s v="Non-Financials"/>
    <m/>
    <m/>
    <s v="Baa2"/>
    <s v="BBB-"/>
    <n v="0"/>
    <s v="Baa"/>
    <s v="BBB"/>
    <s v=""/>
    <n v="0.01"/>
    <n v="0.01"/>
    <s v=""/>
    <n v="0"/>
    <x v="1"/>
    <m/>
    <m/>
    <d v="2019-04-17T00:00:00"/>
    <s v=""/>
    <s v=""/>
    <m/>
    <s v=""/>
    <n v="3"/>
    <s v=""/>
    <s v=""/>
    <n v="0"/>
    <n v="308115"/>
    <n v="104955.57287957627"/>
    <n v="308115"/>
    <m/>
    <m/>
    <s v="XS1057074871 Corp"/>
    <x v="33"/>
    <n v="7.7028749999999999E-4"/>
    <n v="0.34063766087199998"/>
    <d v="2017-05-29T10:12:30"/>
    <m/>
    <m/>
    <m/>
    <m/>
    <m/>
    <m/>
    <m/>
    <m/>
    <m/>
    <m/>
    <m/>
    <m/>
    <m/>
    <m/>
    <m/>
    <m/>
    <m/>
    <m/>
    <m/>
    <m/>
    <m/>
    <m/>
    <n v="300000"/>
    <m/>
    <s v="USD"/>
    <m/>
    <m/>
    <m/>
    <m/>
    <m/>
    <n v="0"/>
    <n v="0"/>
    <n v="0"/>
    <n v="0"/>
    <n v="0"/>
    <n v="2.6238893219894066E-4"/>
  </r>
  <r>
    <n v="39"/>
    <s v="COUNTRY GARDEN"/>
    <s v="Bond"/>
    <m/>
    <s v="Non-Financials"/>
    <m/>
    <s v="BB"/>
    <s v="Ba1"/>
    <s v="BB+"/>
    <s v="BB"/>
    <s v="Ba"/>
    <s v="BB"/>
    <n v="0.02"/>
    <n v="0.02"/>
    <n v="0.02"/>
    <s v=""/>
    <n v="0"/>
    <x v="1"/>
    <m/>
    <m/>
    <d v="2019-05-27T00:00:00"/>
    <s v=""/>
    <s v=""/>
    <m/>
    <s v=""/>
    <n v="3"/>
    <s v=""/>
    <s v=""/>
    <n v="0"/>
    <n v="2105000"/>
    <n v="8420000"/>
    <n v="2105000"/>
    <m/>
    <m/>
    <s v="USG24524AJ24 Corp"/>
    <x v="34"/>
    <n v="5.2624999999999998E-3"/>
    <n v="4"/>
    <d v="2017-05-29T10:12:30"/>
    <m/>
    <m/>
    <m/>
    <m/>
    <m/>
    <m/>
    <m/>
    <m/>
    <m/>
    <m/>
    <m/>
    <m/>
    <m/>
    <m/>
    <m/>
    <m/>
    <m/>
    <m/>
    <m/>
    <m/>
    <m/>
    <m/>
    <n v="2000000"/>
    <m/>
    <s v="USD"/>
    <m/>
    <m/>
    <m/>
    <m/>
    <m/>
    <n v="0"/>
    <n v="0"/>
    <n v="0"/>
    <n v="0"/>
    <n v="0"/>
    <n v="2.1049999999999999E-2"/>
  </r>
  <r>
    <n v="40"/>
    <s v="COUNTRY GARDEN"/>
    <s v="Bond"/>
    <m/>
    <s v="Non-Financials"/>
    <m/>
    <s v="BB"/>
    <s v="Ba1"/>
    <s v="BB+"/>
    <s v="BB"/>
    <s v="Ba"/>
    <s v="BB"/>
    <n v="0.02"/>
    <n v="0.02"/>
    <n v="0.02"/>
    <s v=""/>
    <n v="0"/>
    <x v="1"/>
    <m/>
    <m/>
    <d v="2019-05-27T00:00:00"/>
    <s v=""/>
    <s v=""/>
    <m/>
    <s v=""/>
    <n v="3"/>
    <s v=""/>
    <s v=""/>
    <n v="0"/>
    <n v="5262500"/>
    <n v="21050000"/>
    <n v="5262500"/>
    <m/>
    <m/>
    <s v="USG24524AJ24 Corp"/>
    <x v="34"/>
    <n v="1.315625E-2"/>
    <n v="4"/>
    <d v="2017-05-29T10:12:30"/>
    <m/>
    <m/>
    <m/>
    <m/>
    <m/>
    <m/>
    <m/>
    <m/>
    <m/>
    <m/>
    <m/>
    <m/>
    <m/>
    <m/>
    <m/>
    <m/>
    <m/>
    <m/>
    <m/>
    <m/>
    <m/>
    <m/>
    <n v="5000000"/>
    <m/>
    <s v="USD"/>
    <m/>
    <m/>
    <m/>
    <m/>
    <m/>
    <n v="0"/>
    <n v="0"/>
    <n v="0"/>
    <n v="0"/>
    <n v="0"/>
    <n v="5.2624999999999998E-2"/>
  </r>
  <r>
    <n v="41"/>
    <s v="LONGFOR PROPERTI"/>
    <s v="Bond"/>
    <m/>
    <s v="Non-Financials"/>
    <m/>
    <s v="BB+"/>
    <s v="Ba2"/>
    <s v="BBB-"/>
    <s v="BB"/>
    <s v="Ba"/>
    <s v="BBB"/>
    <n v="0.02"/>
    <n v="0.02"/>
    <n v="0.01"/>
    <s v=""/>
    <n v="0"/>
    <x v="1"/>
    <m/>
    <m/>
    <d v="2018-05-28T00:00:00"/>
    <s v=""/>
    <s v=""/>
    <m/>
    <s v=""/>
    <n v="3"/>
    <s v=""/>
    <s v=""/>
    <n v="0"/>
    <n v="1726643.55"/>
    <n v="6906574.2000000002"/>
    <n v="1726643.55"/>
    <m/>
    <m/>
    <s v="XS1068221230 Corp"/>
    <x v="35"/>
    <n v="4.316608875E-3"/>
    <n v="4"/>
    <d v="2017-05-29T10:12:30"/>
    <m/>
    <m/>
    <m/>
    <m/>
    <m/>
    <m/>
    <m/>
    <m/>
    <m/>
    <m/>
    <m/>
    <m/>
    <m/>
    <m/>
    <m/>
    <m/>
    <m/>
    <m/>
    <m/>
    <m/>
    <m/>
    <m/>
    <n v="12000000"/>
    <m/>
    <s v="CNY"/>
    <m/>
    <m/>
    <m/>
    <m/>
    <m/>
    <n v="0"/>
    <n v="0"/>
    <n v="0"/>
    <n v="0"/>
    <n v="0"/>
    <n v="1.72664355E-2"/>
  </r>
  <r>
    <n v="42"/>
    <s v="CHINA CONST ASIA"/>
    <s v="Bond (Financial)"/>
    <s v="1"/>
    <s v="Banks"/>
    <m/>
    <m/>
    <s v="A2"/>
    <s v="A"/>
    <n v="0"/>
    <s v="A"/>
    <s v="A"/>
    <s v=""/>
    <n v="8.0000000000000002E-3"/>
    <n v="8.0000000000000002E-3"/>
    <s v=""/>
    <n v="0"/>
    <x v="1"/>
    <m/>
    <m/>
    <d v="2019-07-02T00:00:00"/>
    <s v=""/>
    <s v=""/>
    <m/>
    <s v=""/>
    <n v="3"/>
    <s v=""/>
    <s v=""/>
    <n v="0"/>
    <n v="143390.79999999999"/>
    <n v="37938.102491443176"/>
    <n v="143390.79999999999"/>
    <m/>
    <m/>
    <s v="XS1082890317 Corp"/>
    <x v="36"/>
    <n v="3.5847699999999995E-4"/>
    <n v="0.26457835852400002"/>
    <d v="2017-05-29T10:12:30"/>
    <m/>
    <m/>
    <m/>
    <m/>
    <m/>
    <m/>
    <m/>
    <m/>
    <m/>
    <m/>
    <m/>
    <m/>
    <m/>
    <m/>
    <m/>
    <m/>
    <m/>
    <m/>
    <m/>
    <m/>
    <m/>
    <m/>
    <n v="140000"/>
    <m/>
    <s v="USD"/>
    <m/>
    <m/>
    <m/>
    <m/>
    <m/>
    <n v="0"/>
    <n v="0"/>
    <n v="0"/>
    <n v="0"/>
    <n v="0"/>
    <n v="9.4845256228607942E-5"/>
  </r>
  <r>
    <n v="43"/>
    <s v="ONGC VIDESH LTD"/>
    <s v="Bond"/>
    <m/>
    <s v="Non-Financials"/>
    <m/>
    <s v="BBB-"/>
    <s v="Baa2"/>
    <m/>
    <s v="BBB"/>
    <s v="Baa"/>
    <n v="0"/>
    <n v="0.01"/>
    <n v="0.01"/>
    <s v=""/>
    <s v=""/>
    <n v="0"/>
    <x v="1"/>
    <m/>
    <m/>
    <d v="2019-07-15T00:00:00"/>
    <s v=""/>
    <s v=""/>
    <m/>
    <s v=""/>
    <n v="3"/>
    <s v=""/>
    <s v=""/>
    <n v="0"/>
    <n v="10756590.82"/>
    <n v="3868941.1703110258"/>
    <n v="10756590.82"/>
    <m/>
    <m/>
    <s v="XS1084957155 Corp"/>
    <x v="37"/>
    <n v="2.6891477050000001E-2"/>
    <n v="0.35968098397100001"/>
    <d v="2017-05-29T10:12:30"/>
    <m/>
    <m/>
    <m/>
    <m/>
    <m/>
    <m/>
    <m/>
    <m/>
    <m/>
    <m/>
    <m/>
    <m/>
    <m/>
    <m/>
    <m/>
    <m/>
    <m/>
    <m/>
    <m/>
    <m/>
    <m/>
    <m/>
    <n v="10597000"/>
    <m/>
    <s v="USD"/>
    <m/>
    <m/>
    <m/>
    <m/>
    <m/>
    <n v="0"/>
    <n v="0"/>
    <n v="0"/>
    <n v="0"/>
    <n v="0"/>
    <n v="9.6723529257775644E-3"/>
  </r>
  <r>
    <n v="44"/>
    <s v="KWG PROPERTY"/>
    <s v="Bond"/>
    <m/>
    <s v="Non-Financials"/>
    <m/>
    <s v="B+"/>
    <s v="B2"/>
    <s v="BB-"/>
    <s v="B"/>
    <s v="B"/>
    <s v="BB"/>
    <n v="0.03"/>
    <n v="0.03"/>
    <n v="0.02"/>
    <s v=""/>
    <n v="0"/>
    <x v="1"/>
    <m/>
    <m/>
    <d v="2019-08-05T00:00:00"/>
    <s v=""/>
    <s v=""/>
    <m/>
    <s v=""/>
    <n v="3"/>
    <s v=""/>
    <s v=""/>
    <n v="0"/>
    <n v="1064375"/>
    <n v="4257500"/>
    <n v="1064375"/>
    <m/>
    <m/>
    <s v="XS1076700175 Corp"/>
    <x v="38"/>
    <n v="2.6609375000000001E-3"/>
    <n v="4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1.064375E-2"/>
  </r>
  <r>
    <n v="45"/>
    <s v="ADVANCE WISDOM I"/>
    <s v="Bond (Financial)"/>
    <s v="1"/>
    <s v="Banks"/>
    <m/>
    <s v="A"/>
    <m/>
    <m/>
    <s v="A"/>
    <n v="0"/>
    <n v="0"/>
    <n v="8.0000000000000002E-3"/>
    <s v=""/>
    <s v=""/>
    <s v=""/>
    <n v="0"/>
    <x v="1"/>
    <m/>
    <m/>
    <d v="2017-10-16T00:00:00"/>
    <s v=""/>
    <s v=""/>
    <m/>
    <s v=""/>
    <n v="3"/>
    <s v=""/>
    <s v=""/>
    <n v="0"/>
    <n v="570216.6"/>
    <n v="88480.928522355694"/>
    <n v="570216.6"/>
    <m/>
    <m/>
    <s v="XS1112737405 Corp"/>
    <x v="39"/>
    <n v="1.425541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70000"/>
    <m/>
    <s v="USD"/>
    <m/>
    <m/>
    <m/>
    <m/>
    <m/>
    <n v="0"/>
    <n v="0"/>
    <n v="0"/>
    <n v="0"/>
    <n v="0"/>
    <n v="2.2120232130588924E-4"/>
  </r>
  <r>
    <n v="46"/>
    <s v="ICBC/HONG KONG"/>
    <s v="Bond (Financial)"/>
    <s v="1"/>
    <s v="Banks"/>
    <m/>
    <m/>
    <s v="A1"/>
    <m/>
    <n v="0"/>
    <s v="A"/>
    <n v="0"/>
    <s v=""/>
    <n v="8.0000000000000002E-3"/>
    <s v=""/>
    <s v=""/>
    <n v="0"/>
    <x v="1"/>
    <m/>
    <m/>
    <d v="2019-05-23T00:00:00"/>
    <s v=""/>
    <s v=""/>
    <m/>
    <s v=""/>
    <n v="3"/>
    <s v=""/>
    <s v=""/>
    <n v="0"/>
    <n v="1486095"/>
    <n v="381320.68349535222"/>
    <n v="1486095"/>
    <m/>
    <m/>
    <s v="XS1410506213 Corp"/>
    <x v="40"/>
    <n v="3.7152374999999999E-3"/>
    <n v="0.25659240054999999"/>
    <d v="2017-05-29T10:12:30"/>
    <m/>
    <m/>
    <m/>
    <m/>
    <m/>
    <m/>
    <m/>
    <m/>
    <m/>
    <m/>
    <m/>
    <m/>
    <m/>
    <m/>
    <m/>
    <m/>
    <m/>
    <m/>
    <m/>
    <m/>
    <m/>
    <m/>
    <n v="1500000"/>
    <m/>
    <s v="USD"/>
    <m/>
    <m/>
    <m/>
    <m/>
    <m/>
    <n v="0"/>
    <n v="0"/>
    <n v="0"/>
    <n v="0"/>
    <n v="0"/>
    <n v="9.5330170873838052E-4"/>
  </r>
  <r>
    <n v="47"/>
    <s v="ICBC/SINGAPORE"/>
    <s v="Bond (Financial)"/>
    <s v="1"/>
    <s v="Banks"/>
    <m/>
    <m/>
    <s v="A1"/>
    <m/>
    <n v="0"/>
    <s v="A"/>
    <n v="0"/>
    <s v=""/>
    <n v="8.0000000000000002E-3"/>
    <s v=""/>
    <s v=""/>
    <n v="0"/>
    <x v="1"/>
    <m/>
    <m/>
    <d v="2019-05-10T00:00:00"/>
    <s v=""/>
    <s v=""/>
    <m/>
    <s v=""/>
    <n v="3"/>
    <s v=""/>
    <s v=""/>
    <n v="0"/>
    <n v="1986840"/>
    <n v="504651.32836702274"/>
    <n v="1986840"/>
    <m/>
    <m/>
    <s v="XS1406670999 Corp"/>
    <x v="41"/>
    <n v="4.9671000000000003E-3"/>
    <n v="0.253996964208"/>
    <d v="2017-05-29T10:12:30"/>
    <m/>
    <m/>
    <m/>
    <m/>
    <m/>
    <m/>
    <m/>
    <m/>
    <m/>
    <m/>
    <m/>
    <m/>
    <m/>
    <m/>
    <m/>
    <m/>
    <m/>
    <m/>
    <m/>
    <m/>
    <m/>
    <m/>
    <n v="2000000"/>
    <m/>
    <s v="USD"/>
    <m/>
    <m/>
    <m/>
    <m/>
    <m/>
    <n v="0"/>
    <n v="0"/>
    <n v="0"/>
    <n v="0"/>
    <n v="0"/>
    <n v="1.2616283209175569E-3"/>
  </r>
  <r>
    <n v="48"/>
    <s v="NONGHYUP BANK"/>
    <s v="Bond (Financial)"/>
    <s v="1"/>
    <s v="Banks"/>
    <m/>
    <s v="A+"/>
    <s v="A1"/>
    <s v="A-"/>
    <s v="A"/>
    <s v="A"/>
    <s v="A"/>
    <n v="8.0000000000000002E-3"/>
    <n v="8.0000000000000002E-3"/>
    <n v="8.0000000000000002E-3"/>
    <s v=""/>
    <n v="0"/>
    <x v="1"/>
    <m/>
    <m/>
    <d v="2017-09-19T00:00:00"/>
    <s v=""/>
    <s v=""/>
    <m/>
    <s v=""/>
    <n v="3"/>
    <s v=""/>
    <s v=""/>
    <n v="0"/>
    <n v="1102799.5"/>
    <n v="171122.20818192523"/>
    <n v="1102799.5"/>
    <m/>
    <m/>
    <s v="USY6396XAE95 Corp"/>
    <x v="42"/>
    <n v="2.7569987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00000"/>
    <m/>
    <s v="USD"/>
    <m/>
    <m/>
    <m/>
    <m/>
    <m/>
    <n v="0"/>
    <n v="0"/>
    <n v="0"/>
    <n v="0"/>
    <n v="0"/>
    <n v="4.278055204548131E-4"/>
  </r>
  <r>
    <n v="49"/>
    <s v="ST BK INDIA/LON"/>
    <s v="Bond (Financial)"/>
    <s v="1"/>
    <s v="Banks"/>
    <m/>
    <s v="BBB-"/>
    <s v="Baa3"/>
    <s v="BBB-"/>
    <s v="BBB"/>
    <s v="Baa"/>
    <s v="BBB"/>
    <n v="0.01"/>
    <n v="0.01"/>
    <n v="0.01"/>
    <s v=""/>
    <n v="0"/>
    <x v="1"/>
    <m/>
    <m/>
    <d v="2017-08-01T00:00:00"/>
    <s v=""/>
    <s v=""/>
    <m/>
    <s v=""/>
    <n v="3"/>
    <s v=""/>
    <s v=""/>
    <n v="0"/>
    <n v="2022880"/>
    <n v="650178.33313684294"/>
    <n v="2022880"/>
    <m/>
    <m/>
    <s v="USU85528AB04 Corp"/>
    <x v="43"/>
    <n v="5.0572000000000004E-3"/>
    <n v="0.32141221087600003"/>
    <d v="2017-05-29T10:12:30"/>
    <m/>
    <m/>
    <m/>
    <m/>
    <m/>
    <m/>
    <m/>
    <m/>
    <m/>
    <m/>
    <m/>
    <m/>
    <m/>
    <m/>
    <m/>
    <m/>
    <m/>
    <m/>
    <m/>
    <m/>
    <m/>
    <m/>
    <n v="2000000"/>
    <m/>
    <s v="USD"/>
    <m/>
    <m/>
    <m/>
    <m/>
    <m/>
    <n v="0"/>
    <n v="0"/>
    <n v="0"/>
    <n v="0"/>
    <n v="0"/>
    <n v="1.6254458328421074E-3"/>
  </r>
  <r>
    <n v="50"/>
    <s v="BANK OF BARODA"/>
    <s v="Bond (Financial)"/>
    <s v="1"/>
    <s v="Banks"/>
    <m/>
    <m/>
    <s v="Baa3"/>
    <s v="BBB-"/>
    <n v="0"/>
    <s v="Baa"/>
    <s v="BBB"/>
    <s v=""/>
    <n v="0.01"/>
    <n v="0.01"/>
    <s v=""/>
    <n v="0"/>
    <x v="1"/>
    <m/>
    <m/>
    <d v="2019-07-23T00:00:00"/>
    <s v=""/>
    <s v=""/>
    <m/>
    <s v=""/>
    <n v="3"/>
    <s v=""/>
    <s v=""/>
    <n v="0"/>
    <n v="3155310"/>
    <n v="1529387.485433083"/>
    <n v="3155310"/>
    <m/>
    <m/>
    <s v="USY04342AA28 Corp"/>
    <x v="44"/>
    <n v="7.8882750000000001E-3"/>
    <n v="0.48470276626800002"/>
    <d v="2017-05-29T10:12:30"/>
    <m/>
    <m/>
    <m/>
    <m/>
    <m/>
    <m/>
    <m/>
    <m/>
    <m/>
    <m/>
    <m/>
    <m/>
    <m/>
    <m/>
    <m/>
    <m/>
    <m/>
    <m/>
    <m/>
    <m/>
    <m/>
    <m/>
    <n v="3000000"/>
    <m/>
    <s v="USD"/>
    <m/>
    <m/>
    <m/>
    <m/>
    <m/>
    <n v="0"/>
    <n v="0"/>
    <n v="0"/>
    <n v="0"/>
    <n v="0"/>
    <n v="3.8234687135827077E-3"/>
  </r>
  <r>
    <n v="51"/>
    <s v="KEB HANA BANK"/>
    <s v="Bond (Financial)"/>
    <s v="1"/>
    <s v="Banks"/>
    <m/>
    <s v="A+"/>
    <s v="A1"/>
    <s v="A-"/>
    <s v="A"/>
    <s v="A"/>
    <s v="A"/>
    <n v="8.0000000000000002E-3"/>
    <n v="8.0000000000000002E-3"/>
    <n v="8.0000000000000002E-3"/>
    <s v=""/>
    <n v="0"/>
    <x v="1"/>
    <m/>
    <m/>
    <d v="2019-10-18T00:00:00"/>
    <s v=""/>
    <s v=""/>
    <m/>
    <s v=""/>
    <n v="3"/>
    <s v=""/>
    <s v=""/>
    <n v="0"/>
    <n v="6705378"/>
    <n v="1918679.8451685952"/>
    <n v="6705378"/>
    <m/>
    <m/>
    <s v="USY46006AA34 Corp"/>
    <x v="45"/>
    <n v="1.6763444999999998E-2"/>
    <n v="0.28614044505300001"/>
    <d v="2017-05-29T10:12:30"/>
    <m/>
    <m/>
    <m/>
    <m/>
    <m/>
    <m/>
    <m/>
    <m/>
    <m/>
    <m/>
    <m/>
    <m/>
    <m/>
    <m/>
    <m/>
    <m/>
    <m/>
    <m/>
    <m/>
    <m/>
    <m/>
    <m/>
    <n v="6800000"/>
    <m/>
    <s v="USD"/>
    <m/>
    <m/>
    <m/>
    <m/>
    <m/>
    <n v="0"/>
    <n v="0"/>
    <n v="0"/>
    <n v="0"/>
    <n v="0"/>
    <n v="4.7966996129214876E-3"/>
  </r>
  <r>
    <n v="52"/>
    <s v="KOREA HYDRO &amp; NU"/>
    <s v="Bond"/>
    <m/>
    <s v="Non-Financials"/>
    <m/>
    <s v="AA"/>
    <s v="Aa2"/>
    <s v="AA-"/>
    <s v="AA"/>
    <s v="Aa"/>
    <s v="AA"/>
    <n v="7.0000000000000001E-3"/>
    <n v="7.0000000000000001E-3"/>
    <n v="7.0000000000000001E-3"/>
    <s v=""/>
    <n v="0"/>
    <x v="1"/>
    <m/>
    <m/>
    <d v="2018-10-02T00:00:00"/>
    <s v=""/>
    <s v=""/>
    <m/>
    <s v=""/>
    <n v="3"/>
    <s v=""/>
    <s v=""/>
    <n v="0"/>
    <n v="912825"/>
    <n v="116995.28145981187"/>
    <n v="912825"/>
    <m/>
    <m/>
    <s v="USY4S41LBA69 Corp"/>
    <x v="46"/>
    <n v="2.2820624999999998E-3"/>
    <n v="0.12816835807499999"/>
    <d v="2017-05-29T10:12:30"/>
    <m/>
    <m/>
    <m/>
    <m/>
    <m/>
    <m/>
    <m/>
    <m/>
    <m/>
    <m/>
    <m/>
    <m/>
    <m/>
    <m/>
    <m/>
    <m/>
    <m/>
    <m/>
    <m/>
    <m/>
    <m/>
    <m/>
    <n v="900000"/>
    <m/>
    <s v="USD"/>
    <m/>
    <m/>
    <m/>
    <m/>
    <m/>
    <n v="0"/>
    <n v="0"/>
    <n v="0"/>
    <n v="0"/>
    <n v="0"/>
    <n v="2.9248820364952968E-4"/>
  </r>
  <r>
    <n v="53"/>
    <s v="ST BK INDIA/LON"/>
    <s v="Bond (Financial)"/>
    <s v="1"/>
    <s v="Banks"/>
    <m/>
    <s v="BBB-"/>
    <s v="Baa3"/>
    <s v="BBB-"/>
    <s v="BBB"/>
    <s v="Baa"/>
    <s v="BBB"/>
    <n v="0.01"/>
    <n v="0.01"/>
    <n v="0.01"/>
    <s v=""/>
    <n v="0"/>
    <x v="1"/>
    <m/>
    <m/>
    <d v="2019-04-17T00:00:00"/>
    <s v=""/>
    <s v=""/>
    <m/>
    <s v=""/>
    <n v="3"/>
    <s v=""/>
    <s v=""/>
    <n v="0"/>
    <n v="3072360"/>
    <n v="1403656.4789090964"/>
    <n v="3072360"/>
    <m/>
    <m/>
    <s v="USY81647AA02 Corp"/>
    <x v="47"/>
    <n v="7.6809000000000001E-3"/>
    <n v="0.45686588775699999"/>
    <d v="2017-05-29T10:12:30"/>
    <m/>
    <m/>
    <m/>
    <m/>
    <m/>
    <m/>
    <m/>
    <m/>
    <m/>
    <m/>
    <m/>
    <m/>
    <m/>
    <m/>
    <m/>
    <m/>
    <m/>
    <m/>
    <m/>
    <m/>
    <m/>
    <m/>
    <n v="3000000"/>
    <m/>
    <s v="USD"/>
    <m/>
    <m/>
    <m/>
    <m/>
    <m/>
    <n v="0"/>
    <n v="0"/>
    <n v="0"/>
    <n v="0"/>
    <n v="0"/>
    <n v="3.509141197272741E-3"/>
  </r>
  <r>
    <n v="54"/>
    <s v="HDFC BANK LTD"/>
    <s v="Bond (Financial)"/>
    <s v="1"/>
    <s v="Banks"/>
    <m/>
    <s v="BBB-"/>
    <s v="Baa3"/>
    <m/>
    <s v="BBB"/>
    <s v="Baa"/>
    <n v="0"/>
    <n v="0.01"/>
    <n v="0.01"/>
    <s v=""/>
    <s v=""/>
    <n v="0"/>
    <x v="1"/>
    <m/>
    <m/>
    <d v="2018-03-06T00:00:00"/>
    <s v=""/>
    <s v=""/>
    <m/>
    <s v=""/>
    <n v="3"/>
    <s v=""/>
    <s v=""/>
    <n v="0"/>
    <n v="1007550"/>
    <n v="342633.285968913"/>
    <n v="1007550"/>
    <m/>
    <m/>
    <s v="XS0897434949 Corp"/>
    <x v="48"/>
    <n v="2.5188749999999998E-3"/>
    <n v="0.34006578925999997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8.5658321492228251E-4"/>
  </r>
  <r>
    <n v="55"/>
    <s v="AGILE GROUP"/>
    <s v="Bond"/>
    <m/>
    <s v="Non-Financials"/>
    <m/>
    <s v="B+"/>
    <s v="B1"/>
    <m/>
    <s v="B"/>
    <s v="B"/>
    <n v="0"/>
    <n v="0.03"/>
    <n v="0.03"/>
    <s v=""/>
    <s v=""/>
    <n v="0"/>
    <x v="1"/>
    <m/>
    <m/>
    <d v="2019-02-18T00:00:00"/>
    <s v=""/>
    <s v=""/>
    <m/>
    <s v=""/>
    <n v="3"/>
    <s v=""/>
    <s v=""/>
    <n v="0"/>
    <n v="1251000"/>
    <n v="5004000"/>
    <n v="1251000"/>
    <m/>
    <m/>
    <s v="XS1022604570 Corp"/>
    <x v="49"/>
    <n v="3.1275000000000001E-3"/>
    <n v="4"/>
    <d v="2017-05-29T10:12:30"/>
    <m/>
    <m/>
    <m/>
    <m/>
    <m/>
    <m/>
    <m/>
    <m/>
    <m/>
    <m/>
    <m/>
    <m/>
    <m/>
    <m/>
    <m/>
    <m/>
    <m/>
    <m/>
    <m/>
    <m/>
    <m/>
    <m/>
    <n v="1200000"/>
    <m/>
    <s v="USD"/>
    <m/>
    <m/>
    <m/>
    <m/>
    <m/>
    <n v="0"/>
    <n v="0"/>
    <n v="0"/>
    <n v="0"/>
    <n v="0"/>
    <n v="1.251E-2"/>
  </r>
  <r>
    <n v="56"/>
    <s v="ICBC/SINGAPORE"/>
    <s v="Bond (Financial)"/>
    <s v="1"/>
    <s v="Banks"/>
    <m/>
    <m/>
    <s v="A1"/>
    <m/>
    <n v="0"/>
    <s v="A"/>
    <n v="0"/>
    <s v=""/>
    <n v="8.0000000000000002E-3"/>
    <s v=""/>
    <s v=""/>
    <n v="0"/>
    <x v="1"/>
    <m/>
    <m/>
    <d v="2018-05-27T00:00:00"/>
    <s v=""/>
    <s v=""/>
    <m/>
    <s v=""/>
    <n v="3"/>
    <s v=""/>
    <s v=""/>
    <n v="0"/>
    <n v="3987180"/>
    <n v="735710.98410348967"/>
    <n v="3987180"/>
    <m/>
    <m/>
    <s v="XS1237356255 Corp"/>
    <x v="50"/>
    <n v="9.9679499999999997E-3"/>
    <n v="0.184519129837"/>
    <d v="2017-05-29T10:12:30"/>
    <m/>
    <m/>
    <m/>
    <m/>
    <m/>
    <m/>
    <m/>
    <m/>
    <m/>
    <m/>
    <m/>
    <m/>
    <m/>
    <m/>
    <m/>
    <m/>
    <m/>
    <m/>
    <m/>
    <m/>
    <m/>
    <m/>
    <n v="4000000"/>
    <m/>
    <s v="USD"/>
    <m/>
    <m/>
    <m/>
    <m/>
    <m/>
    <n v="0"/>
    <n v="0"/>
    <n v="0"/>
    <n v="0"/>
    <n v="0"/>
    <n v="1.8392774602587242E-3"/>
  </r>
  <r>
    <n v="57"/>
    <s v="ICBC/SYDNEY"/>
    <s v="Bond (Financial)"/>
    <s v="1"/>
    <s v="Banks"/>
    <m/>
    <s v="A"/>
    <s v="A1"/>
    <m/>
    <s v="A"/>
    <s v="A"/>
    <n v="0"/>
    <n v="8.0000000000000002E-3"/>
    <n v="8.0000000000000002E-3"/>
    <s v=""/>
    <s v=""/>
    <n v="0"/>
    <x v="1"/>
    <m/>
    <m/>
    <d v="2018-12-07T00:00:00"/>
    <s v=""/>
    <s v=""/>
    <m/>
    <s v=""/>
    <n v="3"/>
    <s v=""/>
    <s v=""/>
    <n v="0"/>
    <n v="1247206.25"/>
    <n v="278440.07495733735"/>
    <n v="1247206.25"/>
    <m/>
    <m/>
    <s v="XS1330257749 Corp"/>
    <x v="51"/>
    <n v="3.1180156250000001E-3"/>
    <n v="0.22325102600899999"/>
    <d v="2017-05-29T10:12:30"/>
    <m/>
    <m/>
    <m/>
    <m/>
    <m/>
    <m/>
    <m/>
    <m/>
    <m/>
    <m/>
    <m/>
    <m/>
    <m/>
    <m/>
    <m/>
    <m/>
    <m/>
    <m/>
    <m/>
    <m/>
    <m/>
    <m/>
    <n v="1250000"/>
    <m/>
    <s v="USD"/>
    <m/>
    <m/>
    <m/>
    <m/>
    <m/>
    <n v="0"/>
    <n v="0"/>
    <n v="0"/>
    <n v="0"/>
    <n v="0"/>
    <n v="6.9610018739334342E-4"/>
  </r>
  <r>
    <n v="58"/>
    <s v="CHINA GOVT BOND"/>
    <s v="Govt"/>
    <m/>
    <s v="Govt"/>
    <m/>
    <s v="AA-"/>
    <s v="Aa3"/>
    <s v="A+"/>
    <s v="AA"/>
    <s v="Aa"/>
    <s v="A"/>
    <n v="7.0000000000000001E-3"/>
    <n v="7.0000000000000001E-3"/>
    <n v="8.0000000000000002E-3"/>
    <s v=""/>
    <n v="0"/>
    <x v="2"/>
    <m/>
    <m/>
    <d v="2020-12-01T00:00:00"/>
    <s v=""/>
    <s v=""/>
    <m/>
    <s v=""/>
    <n v="3"/>
    <s v=""/>
    <s v=""/>
    <n v="0"/>
    <n v="828629.19"/>
    <n v="192266.74130713654"/>
    <n v="828629.19"/>
    <m/>
    <m/>
    <s v="HK0000073004 Govt"/>
    <x v="52"/>
    <n v="2.0715729749999998E-3"/>
    <n v="0.23202989181100001"/>
    <d v="2017-05-29T10:12:30"/>
    <m/>
    <m/>
    <m/>
    <m/>
    <m/>
    <m/>
    <m/>
    <m/>
    <m/>
    <m/>
    <m/>
    <m/>
    <m/>
    <m/>
    <m/>
    <m/>
    <m/>
    <m/>
    <m/>
    <m/>
    <m/>
    <m/>
    <n v="6000000"/>
    <m/>
    <s v="CNY"/>
    <m/>
    <m/>
    <m/>
    <m/>
    <m/>
    <n v="0"/>
    <n v="0"/>
    <n v="0"/>
    <n v="0"/>
    <n v="0"/>
    <n v="4.8066685326784135E-4"/>
  </r>
  <r>
    <n v="59"/>
    <s v="KHFC"/>
    <s v="Bond (Financial)"/>
    <s v="1"/>
    <s v="Financials"/>
    <m/>
    <m/>
    <s v="Aa1"/>
    <s v="AA-"/>
    <n v="0"/>
    <s v="Aa"/>
    <s v="AA"/>
    <s v=""/>
    <n v="7.0000000000000001E-3"/>
    <n v="7.0000000000000001E-3"/>
    <s v=""/>
    <n v="0"/>
    <x v="1"/>
    <m/>
    <m/>
    <d v="2018-09-15T00:00:00"/>
    <s v=""/>
    <s v=""/>
    <m/>
    <s v=""/>
    <n v="3"/>
    <s v=""/>
    <s v=""/>
    <n v="0"/>
    <n v="993765"/>
    <n v="170130.8212026149"/>
    <n v="993765"/>
    <m/>
    <m/>
    <s v="USY4841JQW99 Corp"/>
    <x v="53"/>
    <n v="2.4844124999999998E-3"/>
    <n v="0.17119824224300001"/>
    <d v="2017-05-29T10:12:30"/>
    <m/>
    <m/>
    <m/>
    <m/>
    <m/>
    <m/>
    <m/>
    <m/>
    <m/>
    <m/>
    <m/>
    <m/>
    <m/>
    <m/>
    <m/>
    <m/>
    <m/>
    <m/>
    <m/>
    <m/>
    <m/>
    <m/>
    <n v="1000000"/>
    <m/>
    <s v="USD"/>
    <m/>
    <m/>
    <m/>
    <m/>
    <m/>
    <n v="0"/>
    <n v="0"/>
    <n v="0"/>
    <n v="0"/>
    <n v="0"/>
    <n v="4.2532705300653723E-4"/>
  </r>
  <r>
    <n v="60"/>
    <s v="KOREA TRSY BD"/>
    <s v="Govt"/>
    <m/>
    <s v="Govt"/>
    <m/>
    <s v="AA"/>
    <s v="Aa2"/>
    <s v="AA-"/>
    <s v="AA"/>
    <s v="Aa"/>
    <s v="AA"/>
    <n v="7.0000000000000001E-3"/>
    <n v="7.0000000000000001E-3"/>
    <n v="7.0000000000000001E-3"/>
    <s v=""/>
    <n v="0"/>
    <x v="2"/>
    <m/>
    <m/>
    <d v="2021-09-10T00:00:00"/>
    <s v=""/>
    <s v=""/>
    <m/>
    <s v=""/>
    <n v="3"/>
    <s v=""/>
    <s v=""/>
    <n v="0"/>
    <n v="8164141.4100000001"/>
    <n v="2197696.6437022127"/>
    <n v="8164141.4100000001"/>
    <m/>
    <m/>
    <s v="KR103501G695 Govt"/>
    <x v="54"/>
    <n v="2.0410353525000001E-2"/>
    <n v="0.269188948762"/>
    <d v="2017-05-29T10:12:30"/>
    <m/>
    <m/>
    <m/>
    <m/>
    <m/>
    <m/>
    <m/>
    <m/>
    <m/>
    <m/>
    <m/>
    <m/>
    <m/>
    <m/>
    <m/>
    <m/>
    <m/>
    <m/>
    <m/>
    <m/>
    <m/>
    <m/>
    <n v="10000000000"/>
    <m/>
    <s v="KRW"/>
    <m/>
    <m/>
    <m/>
    <m/>
    <m/>
    <n v="0"/>
    <n v="0"/>
    <n v="0"/>
    <n v="0"/>
    <n v="0"/>
    <n v="5.4942416092555318E-3"/>
  </r>
  <r>
    <n v="61"/>
    <s v="EX-IM BK OF IN"/>
    <s v="Bond (Financial)"/>
    <m/>
    <s v="Banks"/>
    <m/>
    <s v="BBB-"/>
    <s v="Baa3"/>
    <s v="BBB-"/>
    <s v="BBB"/>
    <s v="Baa"/>
    <s v="BBB"/>
    <n v="0.01"/>
    <n v="0.01"/>
    <n v="0.01"/>
    <s v=""/>
    <n v="0"/>
    <x v="1"/>
    <m/>
    <m/>
    <d v="2019-10-02T00:00:00"/>
    <s v=""/>
    <s v=""/>
    <m/>
    <s v=""/>
    <n v="3"/>
    <s v=""/>
    <s v=""/>
    <n v="0"/>
    <n v="3102975"/>
    <n v="1168532.6235309418"/>
    <n v="3102975"/>
    <m/>
    <m/>
    <s v="XS1050464996 Corp"/>
    <x v="55"/>
    <n v="7.7574374999999996E-3"/>
    <n v="0.37658460784600001"/>
    <d v="2017-05-29T10:12:30"/>
    <m/>
    <m/>
    <m/>
    <m/>
    <m/>
    <m/>
    <m/>
    <m/>
    <m/>
    <m/>
    <m/>
    <m/>
    <m/>
    <m/>
    <m/>
    <m/>
    <m/>
    <m/>
    <m/>
    <m/>
    <m/>
    <m/>
    <n v="3000000"/>
    <m/>
    <s v="USD"/>
    <m/>
    <m/>
    <m/>
    <m/>
    <m/>
    <n v="0"/>
    <n v="0"/>
    <n v="0"/>
    <n v="0"/>
    <n v="0"/>
    <n v="2.9213315588273543E-3"/>
  </r>
  <r>
    <n v="62"/>
    <s v="CHINA GOVT BOND"/>
    <s v="Govt"/>
    <m/>
    <s v="Govt"/>
    <m/>
    <s v="AA-"/>
    <s v="Aa3"/>
    <s v="A+"/>
    <s v="AA"/>
    <s v="Aa"/>
    <s v="A"/>
    <n v="7.0000000000000001E-3"/>
    <n v="7.0000000000000001E-3"/>
    <n v="8.0000000000000002E-3"/>
    <s v=""/>
    <n v="0"/>
    <x v="2"/>
    <m/>
    <m/>
    <d v="2021-05-22T00:00:00"/>
    <s v=""/>
    <s v=""/>
    <m/>
    <s v=""/>
    <n v="3"/>
    <s v=""/>
    <s v=""/>
    <n v="0"/>
    <n v="2381031.7400000002"/>
    <n v="606244.47969002358"/>
    <n v="2381031.7400000002"/>
    <m/>
    <m/>
    <s v="HK0000200698 Govt"/>
    <x v="56"/>
    <n v="5.9525793500000007E-3"/>
    <n v="0.25461419497499999"/>
    <d v="2017-05-29T10:12:30"/>
    <m/>
    <m/>
    <m/>
    <m/>
    <m/>
    <m/>
    <m/>
    <m/>
    <m/>
    <m/>
    <m/>
    <m/>
    <m/>
    <m/>
    <m/>
    <m/>
    <m/>
    <m/>
    <m/>
    <m/>
    <m/>
    <m/>
    <n v="16500000"/>
    <m/>
    <s v="CNY"/>
    <m/>
    <m/>
    <m/>
    <m/>
    <m/>
    <n v="0"/>
    <n v="0"/>
    <n v="0"/>
    <n v="0"/>
    <n v="0"/>
    <n v="1.515611199225059E-3"/>
  </r>
  <r>
    <n v="63"/>
    <s v="KOREA TRSY BD"/>
    <s v="Govt"/>
    <m/>
    <s v="Govt"/>
    <m/>
    <s v="AA"/>
    <s v="Aa2"/>
    <s v="AA-"/>
    <s v="AA"/>
    <s v="Aa"/>
    <s v="AA"/>
    <n v="7.0000000000000001E-3"/>
    <n v="7.0000000000000001E-3"/>
    <n v="7.0000000000000001E-3"/>
    <s v=""/>
    <n v="0"/>
    <x v="2"/>
    <m/>
    <m/>
    <d v="2017-06-10T00:00:00"/>
    <s v=""/>
    <s v=""/>
    <m/>
    <s v=""/>
    <n v="3"/>
    <s v=""/>
    <s v=""/>
    <n v="0"/>
    <n v="2502309.9900000002"/>
    <n v="230361.99163879929"/>
    <n v="2502309.9900000002"/>
    <m/>
    <m/>
    <s v="KR103501G463 Govt"/>
    <x v="57"/>
    <n v="6.2557749750000004E-3"/>
    <n v="9.2059733829699994E-2"/>
    <d v="2017-05-29T10:12:30"/>
    <m/>
    <m/>
    <m/>
    <m/>
    <m/>
    <m/>
    <m/>
    <m/>
    <m/>
    <m/>
    <m/>
    <m/>
    <m/>
    <m/>
    <m/>
    <m/>
    <m/>
    <m/>
    <m/>
    <m/>
    <m/>
    <m/>
    <n v="3000000000"/>
    <m/>
    <s v="KRW"/>
    <m/>
    <m/>
    <m/>
    <m/>
    <m/>
    <n v="0"/>
    <n v="0"/>
    <n v="0"/>
    <n v="0"/>
    <n v="0"/>
    <n v="5.7590497909699816E-4"/>
  </r>
  <r>
    <n v="64"/>
    <s v="KOREA TRSY BD"/>
    <s v="Govt"/>
    <m/>
    <s v="Govt"/>
    <m/>
    <s v="AA"/>
    <s v="Aa2"/>
    <s v="AA-"/>
    <s v="AA"/>
    <s v="Aa"/>
    <s v="AA"/>
    <n v="7.0000000000000001E-3"/>
    <n v="7.0000000000000001E-3"/>
    <n v="7.0000000000000001E-3"/>
    <s v=""/>
    <n v="0"/>
    <x v="2"/>
    <m/>
    <m/>
    <d v="2017-12-10T00:00:00"/>
    <s v=""/>
    <s v=""/>
    <m/>
    <s v=""/>
    <n v="3"/>
    <s v=""/>
    <s v=""/>
    <n v="0"/>
    <n v="1664886.57"/>
    <n v="153269.01449084218"/>
    <n v="1664886.57"/>
    <m/>
    <m/>
    <s v="KR103501G4C0 Govt"/>
    <x v="58"/>
    <n v="4.1622164250000003E-3"/>
    <n v="9.2059733829699994E-2"/>
    <d v="2017-05-29T10:12:30"/>
    <m/>
    <m/>
    <m/>
    <m/>
    <m/>
    <m/>
    <m/>
    <m/>
    <m/>
    <m/>
    <m/>
    <m/>
    <m/>
    <m/>
    <m/>
    <m/>
    <m/>
    <m/>
    <m/>
    <m/>
    <m/>
    <m/>
    <n v="2000000000"/>
    <m/>
    <s v="KRW"/>
    <m/>
    <m/>
    <m/>
    <m/>
    <m/>
    <n v="0"/>
    <n v="0"/>
    <n v="0"/>
    <n v="0"/>
    <n v="0"/>
    <n v="3.8317253622710545E-4"/>
  </r>
  <r>
    <n v="65"/>
    <s v="CHINA GOVT BOND"/>
    <s v="Govt"/>
    <m/>
    <s v="Govt"/>
    <m/>
    <s v="AA-"/>
    <s v="Aa3"/>
    <s v="A+"/>
    <s v="AA"/>
    <s v="Aa"/>
    <s v="A"/>
    <n v="7.0000000000000001E-3"/>
    <n v="7.0000000000000001E-3"/>
    <n v="8.0000000000000002E-3"/>
    <s v=""/>
    <n v="0"/>
    <x v="2"/>
    <m/>
    <m/>
    <d v="2021-07-04T00:00:00"/>
    <s v=""/>
    <s v=""/>
    <m/>
    <s v=""/>
    <n v="3"/>
    <s v=""/>
    <s v=""/>
    <n v="0"/>
    <n v="5307621.33"/>
    <n v="1381362.964469197"/>
    <n v="5307621.33"/>
    <m/>
    <m/>
    <s v="HK0000298973 Govt"/>
    <x v="59"/>
    <n v="1.3269053325E-2"/>
    <n v="0.260260270766"/>
    <d v="2017-05-29T10:12:30"/>
    <m/>
    <m/>
    <m/>
    <m/>
    <m/>
    <m/>
    <m/>
    <m/>
    <m/>
    <m/>
    <m/>
    <m/>
    <m/>
    <m/>
    <m/>
    <m/>
    <m/>
    <m/>
    <m/>
    <m/>
    <m/>
    <m/>
    <n v="37500000"/>
    <m/>
    <s v="CNY"/>
    <m/>
    <m/>
    <m/>
    <m/>
    <m/>
    <n v="0"/>
    <n v="0"/>
    <n v="0"/>
    <n v="0"/>
    <n v="0"/>
    <n v="3.4534074111729923E-3"/>
  </r>
  <r>
    <n v="66"/>
    <s v="KOREA TRSY BD"/>
    <s v="Govt"/>
    <m/>
    <s v="Govt"/>
    <m/>
    <s v="AA"/>
    <s v="Aa2"/>
    <s v="AA-"/>
    <s v="AA"/>
    <s v="Aa"/>
    <s v="AA"/>
    <n v="7.0000000000000001E-3"/>
    <n v="7.0000000000000001E-3"/>
    <n v="7.0000000000000001E-3"/>
    <s v=""/>
    <n v="0"/>
    <x v="2"/>
    <m/>
    <m/>
    <d v="2019-06-10T00:00:00"/>
    <s v=""/>
    <s v=""/>
    <m/>
    <s v=""/>
    <n v="3"/>
    <s v=""/>
    <s v=""/>
    <n v="0"/>
    <n v="3304338.47"/>
    <n v="532413.79681704426"/>
    <n v="3304338.47"/>
    <m/>
    <m/>
    <s v="KR103501G661 Govt"/>
    <x v="60"/>
    <n v="8.2608461750000011E-3"/>
    <n v="0.161125684203"/>
    <d v="2017-05-29T10:12:30"/>
    <m/>
    <m/>
    <m/>
    <m/>
    <m/>
    <m/>
    <m/>
    <m/>
    <m/>
    <m/>
    <m/>
    <m/>
    <m/>
    <m/>
    <m/>
    <m/>
    <m/>
    <m/>
    <m/>
    <m/>
    <m/>
    <m/>
    <n v="4000000000"/>
    <m/>
    <s v="KRW"/>
    <m/>
    <m/>
    <m/>
    <m/>
    <m/>
    <n v="0"/>
    <n v="0"/>
    <n v="0"/>
    <n v="0"/>
    <n v="0"/>
    <n v="1.3310344920426107E-3"/>
  </r>
  <r>
    <n v="67"/>
    <s v="AGRI BK CHINA/NY"/>
    <s v="Bond (Financial)"/>
    <s v="1"/>
    <s v="Banks"/>
    <m/>
    <s v="A"/>
    <s v="A1"/>
    <m/>
    <s v="A"/>
    <s v="A"/>
    <n v="0"/>
    <n v="8.0000000000000002E-3"/>
    <n v="8.0000000000000002E-3"/>
    <s v=""/>
    <s v=""/>
    <n v="0"/>
    <x v="1"/>
    <m/>
    <m/>
    <d v="2018-05-21T00:00:00"/>
    <s v=""/>
    <s v=""/>
    <m/>
    <s v=""/>
    <n v="3"/>
    <s v=""/>
    <s v=""/>
    <n v="0"/>
    <n v="1001060"/>
    <n v="183515.5566503084"/>
    <n v="1001060"/>
    <m/>
    <m/>
    <s v="US00850XAA63 Corp"/>
    <x v="61"/>
    <n v="2.5026499999999999E-3"/>
    <n v="0.18332123614000001"/>
    <d v="2017-05-29T10:12:30"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n v="0"/>
    <n v="0"/>
    <n v="0"/>
    <n v="0"/>
    <n v="0"/>
    <n v="4.58788891625771E-4"/>
  </r>
  <r>
    <n v="68"/>
    <s v="KONICA MINOLTA"/>
    <s v="Equity"/>
    <m/>
    <s v="Non-Financials"/>
    <n v="4902"/>
    <m/>
    <m/>
    <m/>
    <n v="0"/>
    <n v="0"/>
    <n v="0"/>
    <s v=""/>
    <s v=""/>
    <s v=""/>
    <s v=""/>
    <n v="0"/>
    <x v="3"/>
    <m/>
    <m/>
    <m/>
    <s v=""/>
    <s v=""/>
    <m/>
    <s v=""/>
    <n v="3"/>
    <s v=""/>
    <s v=""/>
    <n v="0"/>
    <n v="813066.87"/>
    <n v="2439200.61"/>
    <n v="-813066.87"/>
    <m/>
    <m/>
    <s v="4902 JP Equity"/>
    <x v="62"/>
    <n v="-2.0326671749999999E-3"/>
    <n v="3"/>
    <d v="2017-05-29T10:12:30"/>
    <m/>
    <m/>
    <m/>
    <m/>
    <m/>
    <m/>
    <m/>
    <m/>
    <m/>
    <m/>
    <m/>
    <m/>
    <m/>
    <m/>
    <m/>
    <m/>
    <m/>
    <m/>
    <m/>
    <m/>
    <m/>
    <m/>
    <n v="-82000"/>
    <m/>
    <s v="JPY"/>
    <m/>
    <m/>
    <m/>
    <m/>
    <m/>
    <n v="0"/>
    <n v="0"/>
    <n v="0"/>
    <n v="0"/>
    <n v="0"/>
    <n v="6.0980015249999997E-3"/>
  </r>
  <r>
    <n v="69"/>
    <s v="LION CORP"/>
    <s v="Equity"/>
    <m/>
    <s v="Non-Financials"/>
    <n v="4912"/>
    <m/>
    <m/>
    <m/>
    <n v="0"/>
    <n v="0"/>
    <n v="0"/>
    <s v=""/>
    <s v=""/>
    <s v=""/>
    <s v=""/>
    <n v="0"/>
    <x v="3"/>
    <m/>
    <m/>
    <m/>
    <s v=""/>
    <s v=""/>
    <m/>
    <s v=""/>
    <n v="3"/>
    <s v=""/>
    <s v=""/>
    <n v="0"/>
    <n v="442736.35"/>
    <n v="1328209.0499999998"/>
    <n v="-442736.35"/>
    <m/>
    <m/>
    <s v="4912 JP Equity"/>
    <x v="63"/>
    <n v="-1.106840875E-3"/>
    <n v="3"/>
    <d v="2017-05-29T10:12:30"/>
    <m/>
    <m/>
    <m/>
    <m/>
    <m/>
    <m/>
    <m/>
    <m/>
    <m/>
    <m/>
    <m/>
    <m/>
    <m/>
    <m/>
    <m/>
    <m/>
    <m/>
    <m/>
    <m/>
    <m/>
    <m/>
    <m/>
    <n v="-27000"/>
    <m/>
    <s v="JPY"/>
    <m/>
    <m/>
    <m/>
    <m/>
    <m/>
    <n v="0"/>
    <n v="0"/>
    <n v="0"/>
    <n v="0"/>
    <n v="0"/>
    <n v="3.3205226249999995E-3"/>
  </r>
  <r>
    <n v="70"/>
    <s v="MISUMI GROUP INC"/>
    <s v="Equity"/>
    <m/>
    <s v="Non-Financials"/>
    <n v="9962"/>
    <m/>
    <m/>
    <m/>
    <n v="0"/>
    <n v="0"/>
    <n v="0"/>
    <s v=""/>
    <s v=""/>
    <s v=""/>
    <s v=""/>
    <n v="0"/>
    <x v="3"/>
    <m/>
    <m/>
    <m/>
    <s v=""/>
    <s v=""/>
    <m/>
    <s v=""/>
    <n v="3"/>
    <s v=""/>
    <s v=""/>
    <n v="0"/>
    <n v="297415.65999999997"/>
    <n v="892246.98"/>
    <n v="-297415.65999999997"/>
    <m/>
    <m/>
    <s v="9962 JP Equity"/>
    <x v="64"/>
    <n v="-7.4353914999999993E-4"/>
    <n v="3"/>
    <d v="2017-05-29T10:12:30"/>
    <m/>
    <m/>
    <m/>
    <m/>
    <m/>
    <m/>
    <m/>
    <m/>
    <m/>
    <m/>
    <m/>
    <m/>
    <m/>
    <m/>
    <m/>
    <m/>
    <m/>
    <m/>
    <m/>
    <m/>
    <m/>
    <m/>
    <n v="-18100"/>
    <m/>
    <s v="JPY"/>
    <m/>
    <m/>
    <m/>
    <m/>
    <m/>
    <n v="0"/>
    <n v="0"/>
    <n v="0"/>
    <n v="0"/>
    <n v="0"/>
    <n v="2.2306174499999998E-3"/>
  </r>
  <r>
    <n v="71"/>
    <s v="SEIKO EPSON"/>
    <s v="Equity"/>
    <m/>
    <s v="Non-Financials"/>
    <n v="6724"/>
    <m/>
    <m/>
    <m/>
    <n v="0"/>
    <n v="0"/>
    <n v="0"/>
    <s v=""/>
    <s v=""/>
    <s v=""/>
    <s v=""/>
    <n v="0"/>
    <x v="3"/>
    <m/>
    <m/>
    <m/>
    <s v=""/>
    <s v=""/>
    <m/>
    <s v=""/>
    <n v="3"/>
    <s v=""/>
    <s v=""/>
    <n v="0"/>
    <n v="1344350.49"/>
    <n v="4033051.4699999997"/>
    <n v="1344350.49"/>
    <m/>
    <m/>
    <s v="6724 JP Equity"/>
    <x v="65"/>
    <n v="3.360876225E-3"/>
    <n v="3"/>
    <d v="2017-05-29T10:12:30"/>
    <m/>
    <m/>
    <m/>
    <m/>
    <m/>
    <m/>
    <m/>
    <m/>
    <m/>
    <m/>
    <m/>
    <m/>
    <m/>
    <m/>
    <m/>
    <m/>
    <m/>
    <m/>
    <m/>
    <m/>
    <m/>
    <m/>
    <n v="63600"/>
    <m/>
    <s v="JPY"/>
    <m/>
    <m/>
    <m/>
    <m/>
    <m/>
    <n v="0"/>
    <n v="0"/>
    <n v="0"/>
    <n v="0"/>
    <n v="0"/>
    <n v="1.0082628675E-2"/>
  </r>
  <r>
    <n v="72"/>
    <s v="NISSAN CHEM INDS"/>
    <s v="Equity"/>
    <m/>
    <s v="Non-Financials"/>
    <n v="4021"/>
    <m/>
    <m/>
    <m/>
    <n v="0"/>
    <n v="0"/>
    <n v="0"/>
    <s v=""/>
    <s v=""/>
    <s v=""/>
    <s v=""/>
    <n v="0"/>
    <x v="3"/>
    <m/>
    <m/>
    <m/>
    <s v=""/>
    <s v=""/>
    <m/>
    <s v=""/>
    <n v="3"/>
    <s v=""/>
    <s v=""/>
    <n v="0"/>
    <n v="366854.56"/>
    <n v="1100563.68"/>
    <n v="-366854.56"/>
    <m/>
    <m/>
    <s v="4021 JP Equity"/>
    <x v="66"/>
    <n v="-9.1713639999999996E-4"/>
    <n v="3"/>
    <d v="2017-05-29T10:12:30"/>
    <m/>
    <m/>
    <m/>
    <m/>
    <m/>
    <m/>
    <m/>
    <m/>
    <m/>
    <m/>
    <m/>
    <m/>
    <m/>
    <m/>
    <m/>
    <m/>
    <m/>
    <m/>
    <m/>
    <m/>
    <m/>
    <m/>
    <n v="-11000"/>
    <m/>
    <s v="JPY"/>
    <m/>
    <m/>
    <m/>
    <m/>
    <m/>
    <n v="0"/>
    <n v="0"/>
    <n v="0"/>
    <n v="0"/>
    <n v="0"/>
    <n v="2.7514091999999999E-3"/>
  </r>
  <r>
    <n v="73"/>
    <s v="TSURUHA HOLDINGS"/>
    <s v="Equity"/>
    <m/>
    <s v="Non-Financials"/>
    <n v="3391"/>
    <m/>
    <m/>
    <m/>
    <n v="0"/>
    <n v="0"/>
    <n v="0"/>
    <s v=""/>
    <s v=""/>
    <s v=""/>
    <s v=""/>
    <n v="0"/>
    <x v="3"/>
    <m/>
    <m/>
    <m/>
    <s v=""/>
    <s v=""/>
    <m/>
    <s v=""/>
    <n v="3"/>
    <s v=""/>
    <s v=""/>
    <n v="0"/>
    <n v="199077.63"/>
    <n v="597232.89"/>
    <n v="-199077.63"/>
    <m/>
    <m/>
    <s v="3391 JP Equity"/>
    <x v="67"/>
    <n v="-4.9769407500000005E-4"/>
    <n v="3"/>
    <d v="2017-05-29T10:12:30"/>
    <m/>
    <m/>
    <m/>
    <m/>
    <m/>
    <m/>
    <m/>
    <m/>
    <m/>
    <m/>
    <m/>
    <m/>
    <m/>
    <m/>
    <m/>
    <m/>
    <m/>
    <m/>
    <m/>
    <m/>
    <m/>
    <m/>
    <n v="-2100"/>
    <m/>
    <s v="JPY"/>
    <m/>
    <m/>
    <m/>
    <m/>
    <m/>
    <n v="0"/>
    <n v="0"/>
    <n v="0"/>
    <n v="0"/>
    <n v="0"/>
    <n v="1.4930822249999999E-3"/>
  </r>
  <r>
    <n v="74"/>
    <s v="OTSUKA HOLDINGS"/>
    <s v="Equity"/>
    <m/>
    <s v="Non-Financials"/>
    <n v="4578"/>
    <m/>
    <m/>
    <m/>
    <n v="0"/>
    <n v="0"/>
    <n v="0"/>
    <s v=""/>
    <s v=""/>
    <s v=""/>
    <s v=""/>
    <n v="0"/>
    <x v="3"/>
    <m/>
    <m/>
    <m/>
    <s v=""/>
    <s v=""/>
    <m/>
    <s v=""/>
    <n v="3"/>
    <s v=""/>
    <s v=""/>
    <n v="0"/>
    <n v="1931242.63"/>
    <n v="5793727.8899999997"/>
    <n v="1931242.63"/>
    <m/>
    <m/>
    <s v="4578 JP Equity"/>
    <x v="68"/>
    <n v="4.8281065749999994E-3"/>
    <n v="3"/>
    <d v="2017-05-29T10:12:30"/>
    <m/>
    <m/>
    <m/>
    <m/>
    <m/>
    <m/>
    <m/>
    <m/>
    <m/>
    <m/>
    <m/>
    <m/>
    <m/>
    <m/>
    <m/>
    <m/>
    <m/>
    <m/>
    <m/>
    <m/>
    <m/>
    <m/>
    <n v="44400"/>
    <m/>
    <s v="JPY"/>
    <m/>
    <m/>
    <m/>
    <m/>
    <m/>
    <n v="0"/>
    <n v="0"/>
    <n v="0"/>
    <n v="0"/>
    <n v="0"/>
    <n v="1.4484319725E-2"/>
  </r>
  <r>
    <n v="75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56066.70380273974"/>
    <x v="4"/>
    <m/>
    <m/>
    <d v="2017-01-18T00:00:00"/>
    <n v="4.9315068493150684E-2"/>
    <n v="1"/>
    <m/>
    <n v="1"/>
    <n v="1"/>
    <s v="11"/>
    <n v="0.01"/>
    <n v="440420"/>
    <n v="1338945.53"/>
    <n v="207765.1610550406"/>
    <n v="898525.53"/>
    <m/>
    <n v="44042000"/>
    <s v="56243Z LN Equity"/>
    <x v="69"/>
    <n v="2.2463138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61000000"/>
    <m/>
    <s v="AUD"/>
    <n v="0.72199999999999998"/>
    <m/>
    <m/>
    <m/>
    <m/>
    <n v="0"/>
    <n v="0"/>
    <n v="0"/>
    <n v="0"/>
    <n v="0"/>
    <n v="5.1941290263760151E-4"/>
  </r>
  <r>
    <n v="76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56066.70380273974"/>
    <x v="4"/>
    <m/>
    <m/>
    <d v="2017-01-18T00:00:00"/>
    <n v="4.9315068493150684E-2"/>
    <n v="1"/>
    <m/>
    <n v="1"/>
    <n v="1"/>
    <s v="11"/>
    <n v="0.01"/>
    <n v="440420"/>
    <n v="1164912.53"/>
    <n v="180760.33265556727"/>
    <n v="724492.53"/>
    <m/>
    <n v="44042000"/>
    <s v="56243Z LN Equity"/>
    <x v="69"/>
    <n v="1.8112313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61000000"/>
    <m/>
    <s v="AUD"/>
    <n v="0.72199999999999998"/>
    <m/>
    <m/>
    <m/>
    <m/>
    <n v="0"/>
    <n v="0"/>
    <n v="0"/>
    <n v="0"/>
    <n v="0"/>
    <n v="4.5190083163891819E-4"/>
  </r>
  <r>
    <n v="7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56066.70380273974"/>
    <x v="4"/>
    <m/>
    <m/>
    <d v="2017-01-18T00:00:00"/>
    <n v="4.9315068493150684E-2"/>
    <n v="1"/>
    <m/>
    <n v="1"/>
    <n v="1"/>
    <s v="11"/>
    <n v="0.01"/>
    <n v="440420"/>
    <n v="1338945.53"/>
    <n v="207765.1610550406"/>
    <n v="898525.53"/>
    <m/>
    <n v="44042000"/>
    <s v="DBK GR Equity"/>
    <x v="69"/>
    <n v="2.2463138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61000000"/>
    <m/>
    <s v="AUD"/>
    <n v="0.72199999999999998"/>
    <m/>
    <m/>
    <m/>
    <m/>
    <n v="0"/>
    <n v="0"/>
    <n v="0"/>
    <n v="0"/>
    <n v="0"/>
    <n v="5.1941290263760151E-4"/>
  </r>
  <r>
    <n v="7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56066.70380273974"/>
    <x v="4"/>
    <m/>
    <m/>
    <d v="2017-01-18T00:00:00"/>
    <n v="4.9315068493150684E-2"/>
    <n v="1"/>
    <m/>
    <n v="1"/>
    <n v="1"/>
    <s v="11"/>
    <n v="0.01"/>
    <n v="440420"/>
    <n v="1164912.53"/>
    <n v="180760.33265556727"/>
    <n v="724492.53"/>
    <m/>
    <n v="44042000"/>
    <s v="DBK GR Equity"/>
    <x v="69"/>
    <n v="1.8112313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61000000"/>
    <m/>
    <s v="AUD"/>
    <n v="0.72199999999999998"/>
    <m/>
    <m/>
    <m/>
    <m/>
    <n v="0"/>
    <n v="0"/>
    <n v="0"/>
    <n v="0"/>
    <n v="0"/>
    <n v="4.5190083163891819E-4"/>
  </r>
  <r>
    <n v="79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482748.70389041095"/>
    <x v="4"/>
    <m/>
    <m/>
    <d v="2017-02-15T00:00:00"/>
    <n v="0.12602739726027398"/>
    <n v="1"/>
    <m/>
    <n v="1"/>
    <n v="1"/>
    <s v="11"/>
    <n v="0.01"/>
    <n v="324900"/>
    <n v="1094629.2"/>
    <n v="169854.41673161284"/>
    <n v="769729.2"/>
    <m/>
    <n v="32490000"/>
    <s v="56243Z LN Equity"/>
    <x v="69"/>
    <n v="1.9243229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5000000"/>
    <m/>
    <s v="AUD"/>
    <n v="0.72199999999999998"/>
    <m/>
    <m/>
    <m/>
    <m/>
    <n v="0"/>
    <n v="0"/>
    <n v="0"/>
    <n v="0"/>
    <n v="0"/>
    <n v="4.2463604182903209E-4"/>
  </r>
  <r>
    <n v="8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90026.19364383572"/>
    <x v="4"/>
    <m/>
    <m/>
    <d v="2017-02-15T00:00:00"/>
    <n v="0.12602739726027398"/>
    <n v="1"/>
    <m/>
    <n v="1"/>
    <n v="1"/>
    <s v="11"/>
    <n v="0.01"/>
    <n v="397100"/>
    <n v="397100"/>
    <n v="61618.298583779295"/>
    <n v="-528984.86"/>
    <m/>
    <n v="39710000"/>
    <s v="DBK GR Equity"/>
    <x v="69"/>
    <n v="-1.3224621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5000000"/>
    <m/>
    <s v="AUD"/>
    <n v="0.72199999999999998"/>
    <m/>
    <m/>
    <m/>
    <m/>
    <n v="0"/>
    <n v="0"/>
    <n v="0"/>
    <n v="0"/>
    <n v="0"/>
    <n v="1.5404574645944824E-4"/>
  </r>
  <r>
    <n v="8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82748.70389041095"/>
    <x v="4"/>
    <m/>
    <m/>
    <d v="2017-02-15T00:00:00"/>
    <n v="0.12602739726027398"/>
    <n v="1"/>
    <m/>
    <n v="1"/>
    <n v="1"/>
    <s v="11"/>
    <n v="0.01"/>
    <n v="324900"/>
    <n v="1094629.2"/>
    <n v="169854.41673161284"/>
    <n v="769729.2"/>
    <m/>
    <n v="32490000"/>
    <s v="DBK GR Equity"/>
    <x v="69"/>
    <n v="1.9243229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5000000"/>
    <m/>
    <s v="AUD"/>
    <n v="0.72199999999999998"/>
    <m/>
    <m/>
    <m/>
    <m/>
    <n v="0"/>
    <n v="0"/>
    <n v="0"/>
    <n v="0"/>
    <n v="0"/>
    <n v="4.2463604182903209E-4"/>
  </r>
  <r>
    <n v="8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2576.83134246577"/>
    <x v="4"/>
    <m/>
    <m/>
    <d v="2017-03-15T00:00:00"/>
    <n v="0.20273972602739726"/>
    <n v="1"/>
    <m/>
    <n v="1"/>
    <n v="1"/>
    <s v="11"/>
    <n v="0.01"/>
    <n v="72200"/>
    <n v="72200"/>
    <n v="11203.327015232599"/>
    <n v="-322530.83"/>
    <m/>
    <n v="7220000"/>
    <s v="DBK GR Equity"/>
    <x v="69"/>
    <n v="-8.063270750000000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AUD"/>
    <n v="0.72199999999999998"/>
    <m/>
    <m/>
    <m/>
    <m/>
    <n v="0"/>
    <n v="0"/>
    <n v="0"/>
    <n v="0"/>
    <n v="0"/>
    <n v="2.8008317538081495E-5"/>
  </r>
  <r>
    <n v="8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2576.83134246577"/>
    <x v="4"/>
    <m/>
    <m/>
    <d v="2017-03-15T00:00:00"/>
    <n v="0.20273972602739726"/>
    <n v="1"/>
    <m/>
    <n v="1"/>
    <n v="1"/>
    <s v="11"/>
    <n v="0.01"/>
    <n v="72200"/>
    <n v="72200"/>
    <n v="11203.327015232599"/>
    <n v="-321720.83"/>
    <m/>
    <n v="7220000"/>
    <s v="DBK GR Equity"/>
    <x v="69"/>
    <n v="-8.043020750000000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AUD"/>
    <n v="0.72199999999999998"/>
    <m/>
    <m/>
    <m/>
    <m/>
    <n v="0"/>
    <n v="0"/>
    <n v="0"/>
    <n v="0"/>
    <n v="0"/>
    <n v="2.8008317538081495E-5"/>
  </r>
  <r>
    <n v="8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2576.83134246577"/>
    <x v="4"/>
    <m/>
    <m/>
    <d v="2017-03-15T00:00:00"/>
    <n v="0.20273972602739726"/>
    <n v="1"/>
    <m/>
    <n v="1"/>
    <n v="1"/>
    <s v="11"/>
    <n v="0.01"/>
    <n v="72200"/>
    <n v="72200"/>
    <n v="11203.327015232599"/>
    <n v="-331240.83"/>
    <m/>
    <n v="7220000"/>
    <s v="DBK GR Equity"/>
    <x v="69"/>
    <n v="-8.281020750000000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AUD"/>
    <n v="0.72199999999999998"/>
    <m/>
    <m/>
    <m/>
    <m/>
    <n v="0"/>
    <n v="0"/>
    <n v="0"/>
    <n v="0"/>
    <n v="0"/>
    <n v="2.8008317538081495E-5"/>
  </r>
  <r>
    <n v="8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2576.83134246577"/>
    <x v="4"/>
    <m/>
    <m/>
    <d v="2017-03-15T00:00:00"/>
    <n v="0.20273972602739726"/>
    <n v="1"/>
    <m/>
    <n v="1"/>
    <n v="1"/>
    <s v="11"/>
    <n v="0.01"/>
    <n v="72200"/>
    <n v="72200"/>
    <n v="11203.327015232599"/>
    <n v="-312650.83"/>
    <m/>
    <n v="7220000"/>
    <s v="DBK GR Equity"/>
    <x v="69"/>
    <n v="-7.816270750000000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AUD"/>
    <n v="0.72199999999999998"/>
    <m/>
    <m/>
    <m/>
    <m/>
    <n v="0"/>
    <n v="0"/>
    <n v="0"/>
    <n v="0"/>
    <n v="0"/>
    <n v="2.8008317538081495E-5"/>
  </r>
  <r>
    <n v="8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2576.83134246577"/>
    <x v="4"/>
    <m/>
    <m/>
    <d v="2017-03-15T00:00:00"/>
    <n v="0.20273972602739726"/>
    <n v="1"/>
    <m/>
    <n v="1"/>
    <n v="1"/>
    <s v="11"/>
    <n v="0.01"/>
    <n v="72200"/>
    <n v="72200"/>
    <n v="11203.327015232599"/>
    <n v="-317380.83"/>
    <m/>
    <n v="7220000"/>
    <s v="DBK GR Equity"/>
    <x v="69"/>
    <n v="-7.934520750000000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AUD"/>
    <n v="0.72199999999999998"/>
    <m/>
    <m/>
    <m/>
    <m/>
    <n v="0"/>
    <n v="0"/>
    <n v="0"/>
    <n v="0"/>
    <n v="0"/>
    <n v="2.8008317538081495E-5"/>
  </r>
  <r>
    <n v="8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76122.93014794524"/>
    <x v="4"/>
    <m/>
    <m/>
    <d v="2017-03-15T00:00:00"/>
    <n v="0.20273972602739726"/>
    <n v="1"/>
    <m/>
    <n v="1"/>
    <n v="1"/>
    <s v="11"/>
    <n v="0.01"/>
    <n v="115520"/>
    <n v="115520"/>
    <n v="17925.323224372158"/>
    <n v="-512817.33"/>
    <m/>
    <n v="11552000"/>
    <s v="DBK GR Equity"/>
    <x v="69"/>
    <n v="-1.2820433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00000"/>
    <m/>
    <s v="AUD"/>
    <n v="0.72199999999999998"/>
    <m/>
    <m/>
    <m/>
    <m/>
    <n v="0"/>
    <n v="0"/>
    <n v="0"/>
    <n v="0"/>
    <n v="0"/>
    <n v="4.4813308060930395E-5"/>
  </r>
  <r>
    <n v="8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3650.24494246583"/>
    <x v="4"/>
    <m/>
    <m/>
    <d v="2017-05-17T00:00:00"/>
    <n v="0.37534246575342467"/>
    <n v="1"/>
    <m/>
    <n v="1"/>
    <n v="1"/>
    <s v="11"/>
    <n v="0.01"/>
    <n v="50540"/>
    <n v="50540"/>
    <n v="7842.328910662819"/>
    <n v="-38630.32"/>
    <m/>
    <n v="5054000"/>
    <s v="DBK GR Equity"/>
    <x v="69"/>
    <n v="-9.657580000000000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7000000"/>
    <m/>
    <s v="AUD"/>
    <n v="0.72199999999999998"/>
    <m/>
    <m/>
    <m/>
    <m/>
    <n v="0"/>
    <n v="0"/>
    <n v="0"/>
    <n v="0"/>
    <n v="0"/>
    <n v="1.9605822276657049E-5"/>
  </r>
  <r>
    <n v="8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87550.31492602744"/>
    <x v="4"/>
    <m/>
    <m/>
    <d v="2017-05-17T00:00:00"/>
    <n v="0.37534246575342467"/>
    <n v="1"/>
    <m/>
    <n v="1"/>
    <n v="1"/>
    <s v="11"/>
    <n v="0.01"/>
    <n v="64980"/>
    <n v="110487.45"/>
    <n v="17144.418745556246"/>
    <n v="45507.45"/>
    <m/>
    <n v="6498000"/>
    <s v="DBK GR Equity"/>
    <x v="69"/>
    <n v="1.137686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9000000"/>
    <m/>
    <s v="AUD"/>
    <n v="0.72199999999999998"/>
    <m/>
    <m/>
    <m/>
    <m/>
    <n v="0"/>
    <n v="0"/>
    <n v="0"/>
    <n v="0"/>
    <n v="0"/>
    <n v="4.2861046863890618E-5"/>
  </r>
  <r>
    <n v="9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3650.24494246583"/>
    <x v="4"/>
    <m/>
    <m/>
    <d v="2017-05-17T00:00:00"/>
    <n v="0.37534246575342467"/>
    <n v="1"/>
    <m/>
    <n v="1"/>
    <n v="1"/>
    <s v="11"/>
    <n v="0.01"/>
    <n v="50540"/>
    <n v="117819.68"/>
    <n v="18282.166258588088"/>
    <n v="67279.679999999993"/>
    <m/>
    <n v="5054000"/>
    <s v="DBK GR Equity"/>
    <x v="69"/>
    <n v="1.6819919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000000"/>
    <m/>
    <s v="AUD"/>
    <n v="0.72199999999999998"/>
    <m/>
    <m/>
    <m/>
    <m/>
    <n v="0"/>
    <n v="0"/>
    <n v="0"/>
    <n v="0"/>
    <n v="0"/>
    <n v="4.5705415646470222E-5"/>
  </r>
  <r>
    <n v="9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3650.24494246583"/>
    <x v="4"/>
    <m/>
    <m/>
    <d v="2017-05-17T00:00:00"/>
    <n v="0.37534246575342467"/>
    <n v="1"/>
    <m/>
    <n v="1"/>
    <n v="1"/>
    <s v="11"/>
    <n v="0.01"/>
    <n v="50540"/>
    <n v="100109.68"/>
    <n v="15534.092554436158"/>
    <n v="49569.68"/>
    <m/>
    <n v="5054000"/>
    <s v="DBK GR Equity"/>
    <x v="69"/>
    <n v="1.2392419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000000"/>
    <m/>
    <s v="AUD"/>
    <n v="0.72199999999999998"/>
    <m/>
    <m/>
    <m/>
    <m/>
    <n v="0"/>
    <n v="0"/>
    <n v="0"/>
    <n v="0"/>
    <n v="0"/>
    <n v="3.8835231386090393E-5"/>
  </r>
  <r>
    <n v="9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75100.62985205487"/>
    <x v="4"/>
    <m/>
    <m/>
    <d v="2017-05-17T00:00:00"/>
    <n v="0.37534246575342467"/>
    <n v="1"/>
    <m/>
    <n v="1"/>
    <n v="1"/>
    <s v="11"/>
    <n v="0.01"/>
    <n v="129960"/>
    <n v="197754.9"/>
    <n v="30685.773041061235"/>
    <n v="67794.899999999994"/>
    <m/>
    <n v="12996000"/>
    <s v="DBK GR Equity"/>
    <x v="69"/>
    <n v="1.694872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00000"/>
    <m/>
    <s v="AUD"/>
    <n v="0.72199999999999998"/>
    <m/>
    <m/>
    <m/>
    <m/>
    <n v="0"/>
    <n v="0"/>
    <n v="0"/>
    <n v="0"/>
    <n v="0"/>
    <n v="7.6714432602653093E-5"/>
  </r>
  <r>
    <n v="9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15350.45489315077"/>
    <x v="4"/>
    <m/>
    <m/>
    <d v="2017-05-17T00:00:00"/>
    <n v="0.37534246575342467"/>
    <n v="1"/>
    <m/>
    <n v="1"/>
    <n v="1"/>
    <s v="11"/>
    <n v="0.01"/>
    <n v="93860"/>
    <n v="124843.98"/>
    <n v="19372.132047412164"/>
    <n v="30983.98"/>
    <m/>
    <n v="9386000"/>
    <s v="DBK GR Equity"/>
    <x v="69"/>
    <n v="7.7459950000000004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AUD"/>
    <n v="0.72199999999999998"/>
    <m/>
    <m/>
    <m/>
    <m/>
    <n v="0"/>
    <n v="0"/>
    <n v="0"/>
    <n v="0"/>
    <n v="0"/>
    <n v="4.8430330118530407E-5"/>
  </r>
  <r>
    <n v="9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47300.48988493165"/>
    <x v="4"/>
    <m/>
    <m/>
    <d v="2017-05-17T00:00:00"/>
    <n v="0.37534246575342467"/>
    <n v="1"/>
    <m/>
    <n v="1"/>
    <n v="1"/>
    <s v="11"/>
    <n v="0.01"/>
    <n v="101080"/>
    <n v="151219.37"/>
    <n v="23464.820680712659"/>
    <n v="50139.37"/>
    <m/>
    <n v="10108000"/>
    <s v="DBK GR Equity"/>
    <x v="69"/>
    <n v="1.25348425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AUD"/>
    <n v="0.72199999999999998"/>
    <m/>
    <m/>
    <m/>
    <m/>
    <n v="0"/>
    <n v="0"/>
    <n v="0"/>
    <n v="0"/>
    <n v="0"/>
    <n v="5.8662051701781645E-5"/>
  </r>
  <r>
    <n v="9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79250.52487671236"/>
    <x v="4"/>
    <m/>
    <m/>
    <d v="2017-05-17T00:00:00"/>
    <n v="0.37534246575342467"/>
    <n v="1"/>
    <m/>
    <n v="1"/>
    <n v="1"/>
    <s v="11"/>
    <n v="0.01"/>
    <n v="108300"/>
    <n v="108300"/>
    <n v="16804.990522848901"/>
    <n v="-106914.25"/>
    <m/>
    <n v="10830000"/>
    <s v="DBK GR Equity"/>
    <x v="69"/>
    <n v="-2.67285625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AUD"/>
    <n v="0.72199999999999998"/>
    <m/>
    <m/>
    <m/>
    <m/>
    <n v="0"/>
    <n v="0"/>
    <n v="0"/>
    <n v="0"/>
    <n v="0"/>
    <n v="4.2012476307122253E-5"/>
  </r>
  <r>
    <n v="9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79250.52487671236"/>
    <x v="4"/>
    <m/>
    <m/>
    <d v="2017-05-17T00:00:00"/>
    <n v="0.37534246575342467"/>
    <n v="1"/>
    <m/>
    <n v="1"/>
    <n v="1"/>
    <s v="11"/>
    <n v="0.01"/>
    <n v="108300"/>
    <n v="108300"/>
    <n v="16804.990522848901"/>
    <n v="-115119.25"/>
    <m/>
    <n v="10830000"/>
    <s v="DBK GR Equity"/>
    <x v="69"/>
    <n v="-2.8779812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AUD"/>
    <n v="0.72199999999999998"/>
    <m/>
    <m/>
    <m/>
    <m/>
    <n v="0"/>
    <n v="0"/>
    <n v="0"/>
    <n v="0"/>
    <n v="0"/>
    <n v="4.2012476307122253E-5"/>
  </r>
  <r>
    <n v="9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79250.52487671236"/>
    <x v="4"/>
    <m/>
    <m/>
    <d v="2017-05-17T00:00:00"/>
    <n v="0.37534246575342467"/>
    <n v="1"/>
    <m/>
    <n v="1"/>
    <n v="1"/>
    <s v="11"/>
    <n v="0.01"/>
    <n v="108300"/>
    <n v="108300"/>
    <n v="16804.990522848901"/>
    <n v="-126549.25"/>
    <m/>
    <n v="10830000"/>
    <s v="DBK GR Equity"/>
    <x v="69"/>
    <n v="-3.16373124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AUD"/>
    <n v="0.72199999999999998"/>
    <m/>
    <m/>
    <m/>
    <m/>
    <n v="0"/>
    <n v="0"/>
    <n v="0"/>
    <n v="0"/>
    <n v="0"/>
    <n v="4.2012476307122253E-5"/>
  </r>
  <r>
    <n v="9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79250.52487671236"/>
    <x v="4"/>
    <m/>
    <m/>
    <d v="2017-05-17T00:00:00"/>
    <n v="0.37534246575342467"/>
    <n v="1"/>
    <m/>
    <n v="1"/>
    <n v="1"/>
    <s v="11"/>
    <n v="0.01"/>
    <n v="108300"/>
    <n v="108300"/>
    <n v="16804.990522848901"/>
    <n v="-150879.25"/>
    <m/>
    <n v="10830000"/>
    <s v="DBK GR Equity"/>
    <x v="69"/>
    <n v="-3.77198125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AUD"/>
    <n v="0.72199999999999998"/>
    <m/>
    <m/>
    <m/>
    <m/>
    <n v="0"/>
    <n v="0"/>
    <n v="0"/>
    <n v="0"/>
    <n v="0"/>
    <n v="4.2012476307122253E-5"/>
  </r>
  <r>
    <n v="9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79250.52487671236"/>
    <x v="4"/>
    <m/>
    <m/>
    <d v="2017-05-17T00:00:00"/>
    <n v="0.37534246575342467"/>
    <n v="1"/>
    <m/>
    <n v="1"/>
    <n v="1"/>
    <s v="11"/>
    <n v="0.01"/>
    <n v="108300"/>
    <n v="108300"/>
    <n v="16804.990522848901"/>
    <n v="-212979.25"/>
    <m/>
    <n v="10830000"/>
    <s v="DBK GR Equity"/>
    <x v="69"/>
    <n v="-5.324481249999999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AUD"/>
    <n v="0.72199999999999998"/>
    <m/>
    <m/>
    <m/>
    <m/>
    <n v="0"/>
    <n v="0"/>
    <n v="0"/>
    <n v="0"/>
    <n v="0"/>
    <n v="4.2012476307122253E-5"/>
  </r>
  <r>
    <n v="10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79250.52487671236"/>
    <x v="4"/>
    <m/>
    <m/>
    <d v="2017-05-17T00:00:00"/>
    <n v="0.37534246575342467"/>
    <n v="1"/>
    <m/>
    <n v="1"/>
    <n v="1"/>
    <s v="11"/>
    <n v="0.01"/>
    <n v="108300"/>
    <n v="108300"/>
    <n v="16804.990522848901"/>
    <n v="-242364.25"/>
    <m/>
    <n v="10830000"/>
    <s v="DBK GR Equity"/>
    <x v="69"/>
    <n v="-6.059106249999999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AUD"/>
    <n v="0.72199999999999998"/>
    <m/>
    <m/>
    <m/>
    <m/>
    <n v="0"/>
    <n v="0"/>
    <n v="0"/>
    <n v="0"/>
    <n v="0"/>
    <n v="4.2012476307122253E-5"/>
  </r>
  <r>
    <n v="10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79250.52487671236"/>
    <x v="4"/>
    <m/>
    <m/>
    <d v="2017-05-17T00:00:00"/>
    <n v="0.37534246575342467"/>
    <n v="1"/>
    <m/>
    <n v="1"/>
    <n v="1"/>
    <s v="11"/>
    <n v="0.01"/>
    <n v="108300"/>
    <n v="108300"/>
    <n v="16804.990522848901"/>
    <n v="-237879.25"/>
    <m/>
    <n v="10830000"/>
    <s v="DBK GR Equity"/>
    <x v="69"/>
    <n v="-5.94698124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AUD"/>
    <n v="0.72199999999999998"/>
    <m/>
    <m/>
    <m/>
    <m/>
    <n v="0"/>
    <n v="0"/>
    <n v="0"/>
    <n v="0"/>
    <n v="0"/>
    <n v="4.2012476307122253E-5"/>
  </r>
  <r>
    <n v="10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82473.95918904128"/>
    <x v="4"/>
    <m/>
    <m/>
    <d v="2017-06-21T00:00:00"/>
    <n v="0.47123287671232877"/>
    <n v="1"/>
    <m/>
    <n v="1"/>
    <n v="1"/>
    <s v="11"/>
    <n v="0.01"/>
    <n v="158840"/>
    <n v="158840"/>
    <n v="24647.319433511719"/>
    <n v="-581626.36"/>
    <m/>
    <n v="15884000"/>
    <s v="DBK GR Equity"/>
    <x v="69"/>
    <n v="-1.4540658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"/>
    <m/>
    <s v="AUD"/>
    <n v="0.72199999999999998"/>
    <m/>
    <m/>
    <m/>
    <m/>
    <n v="0"/>
    <n v="0"/>
    <n v="0"/>
    <n v="0"/>
    <n v="0"/>
    <n v="6.1618298583779302E-5"/>
  </r>
  <r>
    <n v="10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82473.95918904128"/>
    <x v="4"/>
    <m/>
    <m/>
    <d v="2017-06-21T00:00:00"/>
    <n v="0.47123287671232877"/>
    <n v="1"/>
    <m/>
    <n v="1"/>
    <n v="1"/>
    <s v="11"/>
    <n v="0.01"/>
    <n v="158840"/>
    <n v="158840"/>
    <n v="24647.319433511719"/>
    <n v="-505594.36"/>
    <m/>
    <n v="15884000"/>
    <s v="DBK GR Equity"/>
    <x v="69"/>
    <n v="-1.2639858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"/>
    <m/>
    <s v="AUD"/>
    <n v="0.72199999999999998"/>
    <m/>
    <m/>
    <m/>
    <m/>
    <n v="0"/>
    <n v="0"/>
    <n v="0"/>
    <n v="0"/>
    <n v="0"/>
    <n v="6.1618298583779302E-5"/>
  </r>
  <r>
    <n v="10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581461.2223232891"/>
    <x v="4"/>
    <m/>
    <m/>
    <d v="2017-09-20T00:00:00"/>
    <n v="0.72054794520547949"/>
    <n v="1"/>
    <m/>
    <n v="1"/>
    <n v="1"/>
    <s v="11"/>
    <n v="0.01"/>
    <n v="657020"/>
    <n v="657020"/>
    <n v="101950.27583861665"/>
    <n v="-3419484.85"/>
    <m/>
    <n v="65702000"/>
    <s v="DBK GR Equity"/>
    <x v="69"/>
    <n v="-8.5487121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91000000"/>
    <m/>
    <s v="AUD"/>
    <n v="0.72199999999999998"/>
    <m/>
    <m/>
    <m/>
    <m/>
    <n v="0"/>
    <n v="0"/>
    <n v="0"/>
    <n v="0"/>
    <n v="0"/>
    <n v="2.5487568959654166E-4"/>
  </r>
  <r>
    <n v="10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17372.6837917813"/>
    <x v="4"/>
    <m/>
    <m/>
    <d v="2017-09-20T00:00:00"/>
    <n v="0.72054794520547949"/>
    <n v="1"/>
    <m/>
    <n v="1"/>
    <n v="1"/>
    <s v="11"/>
    <n v="0.01"/>
    <n v="202160"/>
    <n v="202160"/>
    <n v="31369.315642651276"/>
    <n v="-1273769.18"/>
    <m/>
    <n v="20216000"/>
    <s v="DBK GR Equity"/>
    <x v="69"/>
    <n v="-3.18442294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000000"/>
    <m/>
    <s v="AUD"/>
    <n v="0.72199999999999998"/>
    <m/>
    <m/>
    <m/>
    <m/>
    <n v="0"/>
    <n v="0"/>
    <n v="0"/>
    <n v="0"/>
    <n v="0"/>
    <n v="7.8423289106628195E-5"/>
  </r>
  <r>
    <n v="10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69385.3321534251"/>
    <x v="4"/>
    <m/>
    <m/>
    <d v="2017-09-20T00:00:00"/>
    <n v="0.72054794520547949"/>
    <n v="1"/>
    <m/>
    <n v="1"/>
    <n v="1"/>
    <s v="11"/>
    <n v="0.01"/>
    <n v="267140"/>
    <n v="267140"/>
    <n v="41452.309956360616"/>
    <n v="-1305609.99"/>
    <m/>
    <n v="26714000"/>
    <s v="DBK GR Equity"/>
    <x v="69"/>
    <n v="-3.2640249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000000"/>
    <m/>
    <s v="AUD"/>
    <n v="0.72199999999999998"/>
    <m/>
    <m/>
    <m/>
    <m/>
    <n v="0"/>
    <n v="0"/>
    <n v="0"/>
    <n v="0"/>
    <n v="0"/>
    <n v="1.0363077489090154E-4"/>
  </r>
  <r>
    <n v="10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373410.6288767131"/>
    <x v="4"/>
    <m/>
    <m/>
    <d v="2017-09-20T00:00:00"/>
    <n v="0.72054794520547949"/>
    <n v="1"/>
    <m/>
    <n v="1"/>
    <n v="1"/>
    <s v="11"/>
    <n v="0.01"/>
    <n v="397100"/>
    <n v="397100"/>
    <n v="61618.298583779295"/>
    <n v="-1897046.61"/>
    <m/>
    <n v="39710000"/>
    <s v="DBK GR Equity"/>
    <x v="69"/>
    <n v="-4.7426165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5000000"/>
    <m/>
    <s v="AUD"/>
    <n v="0.72199999999999998"/>
    <m/>
    <m/>
    <m/>
    <m/>
    <n v="0"/>
    <n v="0"/>
    <n v="0"/>
    <n v="0"/>
    <n v="0"/>
    <n v="1.5404574645944824E-4"/>
  </r>
  <r>
    <n v="10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69385.3321534251"/>
    <x v="4"/>
    <m/>
    <m/>
    <d v="2017-09-20T00:00:00"/>
    <n v="0.72054794520547949"/>
    <n v="1"/>
    <m/>
    <n v="1"/>
    <n v="1"/>
    <s v="11"/>
    <n v="0.01"/>
    <n v="267140"/>
    <n v="267140"/>
    <n v="41452.309956360616"/>
    <n v="-1310863.99"/>
    <m/>
    <n v="26714000"/>
    <s v="DBK GR Equity"/>
    <x v="69"/>
    <n v="-3.2771599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000000"/>
    <m/>
    <s v="AUD"/>
    <n v="0.72199999999999998"/>
    <m/>
    <m/>
    <m/>
    <m/>
    <n v="0"/>
    <n v="0"/>
    <n v="0"/>
    <n v="0"/>
    <n v="0"/>
    <n v="1.0363077489090154E-4"/>
  </r>
  <r>
    <n v="10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373410.6288767131"/>
    <x v="4"/>
    <m/>
    <m/>
    <d v="2017-09-20T00:00:00"/>
    <n v="0.72054794520547949"/>
    <n v="1"/>
    <m/>
    <n v="1"/>
    <n v="1"/>
    <s v="11"/>
    <n v="0.01"/>
    <n v="397100"/>
    <n v="397100"/>
    <n v="61618.298583779295"/>
    <n v="-2082671.61"/>
    <m/>
    <n v="39710000"/>
    <s v="DBK GR Equity"/>
    <x v="69"/>
    <n v="-5.2066790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5000000"/>
    <m/>
    <s v="AUD"/>
    <n v="0.72199999999999998"/>
    <m/>
    <m/>
    <m/>
    <m/>
    <n v="0"/>
    <n v="0"/>
    <n v="0"/>
    <n v="0"/>
    <n v="0"/>
    <n v="1.5404574645944824E-4"/>
  </r>
  <r>
    <n v="11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664692.3347506854"/>
    <x v="4"/>
    <m/>
    <m/>
    <d v="2017-10-18T00:00:00"/>
    <n v="0.79726027397260268"/>
    <n v="1"/>
    <m/>
    <n v="1"/>
    <n v="1"/>
    <s v="11"/>
    <n v="0.01"/>
    <n v="389880"/>
    <n v="389880"/>
    <n v="60497.965882256038"/>
    <n v="-2198267.0099999998"/>
    <m/>
    <n v="38988000"/>
    <s v="DBK GR Equity"/>
    <x v="69"/>
    <n v="-5.495667524999999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4000000"/>
    <m/>
    <s v="AUD"/>
    <n v="0.72199999999999998"/>
    <m/>
    <m/>
    <m/>
    <m/>
    <n v="0"/>
    <n v="0"/>
    <n v="0"/>
    <n v="0"/>
    <n v="0"/>
    <n v="1.5124491470564009E-4"/>
  </r>
  <r>
    <n v="11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664692.3347506854"/>
    <x v="4"/>
    <m/>
    <m/>
    <d v="2017-10-18T00:00:00"/>
    <n v="0.79726027397260268"/>
    <n v="1"/>
    <m/>
    <n v="1"/>
    <n v="1"/>
    <s v="11"/>
    <n v="0.01"/>
    <n v="389880"/>
    <n v="389880"/>
    <n v="60497.965882256038"/>
    <n v="-2367449.0099999998"/>
    <m/>
    <n v="38988000"/>
    <s v="DBK GR Equity"/>
    <x v="69"/>
    <n v="-5.918622524999999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4000000"/>
    <m/>
    <s v="AUD"/>
    <n v="0.72199999999999998"/>
    <m/>
    <m/>
    <m/>
    <m/>
    <n v="0"/>
    <n v="0"/>
    <n v="0"/>
    <n v="0"/>
    <n v="0"/>
    <n v="1.5124491470564009E-4"/>
  </r>
  <r>
    <n v="11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918180.9332273975"/>
    <x v="4"/>
    <m/>
    <m/>
    <d v="2017-10-18T00:00:00"/>
    <n v="0.79726027397260268"/>
    <n v="1"/>
    <m/>
    <n v="1"/>
    <n v="1"/>
    <s v="11"/>
    <n v="0.01"/>
    <n v="310460"/>
    <n v="310460"/>
    <n v="48174.30616550018"/>
    <n v="-2078174.87"/>
    <m/>
    <n v="31046000"/>
    <s v="DBK GR Equity"/>
    <x v="69"/>
    <n v="-5.195437175000000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3000000"/>
    <m/>
    <s v="AUD"/>
    <n v="0.72199999999999998"/>
    <m/>
    <m/>
    <m/>
    <m/>
    <n v="0"/>
    <n v="0"/>
    <n v="0"/>
    <n v="0"/>
    <n v="0"/>
    <n v="1.2043576541375046E-4"/>
  </r>
  <r>
    <n v="11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918180.9332273975"/>
    <x v="4"/>
    <m/>
    <m/>
    <d v="2017-10-18T00:00:00"/>
    <n v="0.79726027397260268"/>
    <n v="1"/>
    <m/>
    <n v="1"/>
    <n v="1"/>
    <s v="11"/>
    <n v="0.01"/>
    <n v="310460"/>
    <n v="310460"/>
    <n v="48174.30616550018"/>
    <n v="-2077615.87"/>
    <m/>
    <n v="31046000"/>
    <s v="DBK GR Equity"/>
    <x v="69"/>
    <n v="-5.194039675000000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3000000"/>
    <m/>
    <s v="AUD"/>
    <n v="0.72199999999999998"/>
    <m/>
    <m/>
    <m/>
    <m/>
    <n v="0"/>
    <n v="0"/>
    <n v="0"/>
    <n v="0"/>
    <n v="0"/>
    <n v="1.2043576541375046E-4"/>
  </r>
  <r>
    <n v="114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15014.46601366927"/>
    <x v="4"/>
    <m/>
    <m/>
    <d v="2017-01-18T00:00:00"/>
    <n v="4.9315068493150684E-2"/>
    <n v="1"/>
    <m/>
    <n v="1"/>
    <n v="1"/>
    <s v="11"/>
    <n v="0.01"/>
    <n v="197818.26519999999"/>
    <n v="197818.26519999999"/>
    <n v="30695.605465673223"/>
    <n v="-561420.18999999994"/>
    <m/>
    <n v="19781826.52"/>
    <s v="56243Z LN Equity"/>
    <x v="70"/>
    <n v="-1.40355047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8000000"/>
    <m/>
    <s v="CNH"/>
    <n v="6.9760999999999997"/>
    <m/>
    <m/>
    <m/>
    <m/>
    <n v="0"/>
    <n v="0"/>
    <n v="0"/>
    <n v="0"/>
    <n v="0"/>
    <n v="7.6739013664183051E-5"/>
  </r>
  <r>
    <n v="115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15014.46601366927"/>
    <x v="4"/>
    <m/>
    <m/>
    <d v="2017-01-18T00:00:00"/>
    <n v="4.9315068493150684E-2"/>
    <n v="1"/>
    <m/>
    <n v="1"/>
    <n v="1"/>
    <s v="11"/>
    <n v="0.01"/>
    <n v="197818.26519999999"/>
    <n v="197818.26519999999"/>
    <n v="30695.605465673223"/>
    <n v="-393083.58"/>
    <m/>
    <n v="19781826.52"/>
    <s v="56243Z LN Equity"/>
    <x v="70"/>
    <n v="-9.82708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8000000"/>
    <m/>
    <s v="CNH"/>
    <n v="6.9760999999999997"/>
    <m/>
    <m/>
    <m/>
    <m/>
    <n v="0"/>
    <n v="0"/>
    <n v="0"/>
    <n v="0"/>
    <n v="0"/>
    <n v="7.6739013664183051E-5"/>
  </r>
  <r>
    <n v="116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15014.46601366927"/>
    <x v="4"/>
    <m/>
    <m/>
    <d v="2017-01-18T00:00:00"/>
    <n v="4.9315068493150684E-2"/>
    <n v="1"/>
    <m/>
    <n v="1"/>
    <n v="1"/>
    <s v="11"/>
    <n v="0.01"/>
    <n v="197818.26519999999"/>
    <n v="197818.26519999999"/>
    <n v="30695.605465673223"/>
    <n v="-448396.37"/>
    <m/>
    <n v="19781826.52"/>
    <s v="56243Z LN Equity"/>
    <x v="70"/>
    <n v="-1.1209909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8000000"/>
    <m/>
    <s v="CNH"/>
    <n v="6.9760999999999997"/>
    <m/>
    <m/>
    <m/>
    <m/>
    <n v="0"/>
    <n v="0"/>
    <n v="0"/>
    <n v="0"/>
    <n v="0"/>
    <n v="7.6739013664183051E-5"/>
  </r>
  <r>
    <n v="117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15014.46601366927"/>
    <x v="4"/>
    <m/>
    <m/>
    <d v="2017-01-18T00:00:00"/>
    <n v="4.9315068493150684E-2"/>
    <n v="1"/>
    <m/>
    <n v="1"/>
    <n v="1"/>
    <s v="11"/>
    <n v="0.01"/>
    <n v="197818.26519999999"/>
    <n v="197818.26519999999"/>
    <n v="30695.605465673223"/>
    <n v="-464465.08"/>
    <m/>
    <n v="19781826.52"/>
    <s v="56243Z LN Equity"/>
    <x v="70"/>
    <n v="-1.1611627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8000000"/>
    <m/>
    <s v="CNH"/>
    <n v="6.9760999999999997"/>
    <m/>
    <m/>
    <m/>
    <m/>
    <n v="0"/>
    <n v="0"/>
    <n v="0"/>
    <n v="0"/>
    <n v="0"/>
    <n v="7.6739013664183051E-5"/>
  </r>
  <r>
    <n v="118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85844.130456613813"/>
    <x v="4"/>
    <m/>
    <m/>
    <d v="2017-01-18T00:00:00"/>
    <n v="4.9315068493150684E-2"/>
    <n v="1"/>
    <m/>
    <n v="1"/>
    <n v="1"/>
    <s v="11"/>
    <n v="0.01"/>
    <n v="147646.96609999999"/>
    <n v="147646.96609999999"/>
    <n v="22910.488144394207"/>
    <n v="-449942.81"/>
    <m/>
    <n v="14764696.609999999"/>
    <s v="56243Z LN Equity"/>
    <x v="70"/>
    <n v="-1.1248570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3000000"/>
    <m/>
    <s v="CNH"/>
    <n v="6.9760999999999997"/>
    <m/>
    <m/>
    <m/>
    <m/>
    <n v="0"/>
    <n v="0"/>
    <n v="0"/>
    <n v="0"/>
    <n v="0"/>
    <n v="5.727622036098552E-5"/>
  </r>
  <r>
    <n v="11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6695.17942380902"/>
    <x v="4"/>
    <m/>
    <m/>
    <d v="2017-01-18T00:00:00"/>
    <n v="4.9315068493150684E-2"/>
    <n v="1"/>
    <m/>
    <n v="1"/>
    <n v="1"/>
    <s v="11"/>
    <n v="0.01"/>
    <n v="389902.66770000005"/>
    <n v="389902.66770000005"/>
    <n v="60501.483245909549"/>
    <n v="-2135076.09"/>
    <m/>
    <n v="38990266.770000003"/>
    <s v="DBK GR Equity"/>
    <x v="70"/>
    <n v="-5.337690224999999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72000000"/>
    <m/>
    <s v="CNH"/>
    <n v="6.9760999999999997"/>
    <m/>
    <m/>
    <m/>
    <m/>
    <n v="0"/>
    <n v="0"/>
    <n v="0"/>
    <n v="0"/>
    <n v="0"/>
    <n v="1.5125370811477386E-4"/>
  </r>
  <r>
    <n v="12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9603.40754374093"/>
    <x v="4"/>
    <m/>
    <m/>
    <d v="2017-01-18T00:00:00"/>
    <n v="4.9315068493150684E-2"/>
    <n v="1"/>
    <m/>
    <n v="1"/>
    <n v="1"/>
    <s v="11"/>
    <n v="0.01"/>
    <n v="274508.67960000003"/>
    <n v="274508.67960000003"/>
    <n v="42595.713380588786"/>
    <n v="-1484661.16"/>
    <m/>
    <n v="27450867.960000001"/>
    <s v="DBK GR Equity"/>
    <x v="70"/>
    <n v="-3.711652899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91500000"/>
    <m/>
    <s v="CNH"/>
    <n v="6.9760999999999997"/>
    <m/>
    <m/>
    <m/>
    <m/>
    <n v="0"/>
    <n v="0"/>
    <n v="0"/>
    <n v="0"/>
    <n v="0"/>
    <n v="1.0648928345147196E-4"/>
  </r>
  <r>
    <n v="12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9603.40754374093"/>
    <x v="4"/>
    <m/>
    <m/>
    <d v="2017-01-18T00:00:00"/>
    <n v="4.9315068493150684E-2"/>
    <n v="1"/>
    <m/>
    <n v="1"/>
    <n v="1"/>
    <s v="11"/>
    <n v="0.01"/>
    <n v="274508.67960000003"/>
    <n v="274508.67960000003"/>
    <n v="42595.713380588786"/>
    <n v="-1492844.39"/>
    <m/>
    <n v="27450867.960000001"/>
    <s v="DBK GR Equity"/>
    <x v="70"/>
    <n v="-3.7321109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91500000"/>
    <m/>
    <s v="CNH"/>
    <n v="6.9760999999999997"/>
    <m/>
    <m/>
    <m/>
    <m/>
    <n v="0"/>
    <n v="0"/>
    <n v="0"/>
    <n v="0"/>
    <n v="0"/>
    <n v="1.0648928345147196E-4"/>
  </r>
  <r>
    <n v="122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425979.50379739841"/>
    <x v="4"/>
    <m/>
    <m/>
    <d v="2017-02-15T00:00:00"/>
    <n v="0.12602739726027398"/>
    <n v="1"/>
    <m/>
    <n v="1"/>
    <n v="1"/>
    <s v="11"/>
    <n v="0.01"/>
    <n v="286693.13800000004"/>
    <n v="286693.13800000004"/>
    <n v="44486.384737357454"/>
    <n v="-1378843.41"/>
    <m/>
    <n v="28669313.800000001"/>
    <s v="56243Z LN Equity"/>
    <x v="70"/>
    <n v="-3.447108524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0"/>
    <m/>
    <s v="CNH"/>
    <n v="6.9760999999999997"/>
    <m/>
    <m/>
    <m/>
    <m/>
    <n v="0"/>
    <n v="0"/>
    <n v="0"/>
    <n v="0"/>
    <n v="0"/>
    <n v="1.1121596184339364E-4"/>
  </r>
  <r>
    <n v="123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402550.63107368309"/>
    <x v="4"/>
    <m/>
    <m/>
    <d v="2017-02-15T00:00:00"/>
    <n v="0.12602739726027398"/>
    <n v="1"/>
    <m/>
    <n v="1"/>
    <n v="1"/>
    <s v="11"/>
    <n v="0.01"/>
    <n v="270925.01539999997"/>
    <n v="270925.01539999997"/>
    <n v="42039.633575251079"/>
    <n v="-1427840.16"/>
    <m/>
    <n v="27092501.539999999"/>
    <s v="56243Z LN Equity"/>
    <x v="70"/>
    <n v="-3.569600399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9000000"/>
    <m/>
    <s v="CNH"/>
    <n v="6.9760999999999997"/>
    <m/>
    <m/>
    <m/>
    <m/>
    <n v="0"/>
    <n v="0"/>
    <n v="0"/>
    <n v="0"/>
    <n v="0"/>
    <n v="1.0509908393812769E-4"/>
  </r>
  <r>
    <n v="12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51959.00759479683"/>
    <x v="4"/>
    <m/>
    <m/>
    <d v="2017-02-15T00:00:00"/>
    <n v="0.12602739726027398"/>
    <n v="1"/>
    <m/>
    <n v="1"/>
    <n v="1"/>
    <s v="11"/>
    <n v="0.01"/>
    <n v="573386.27600000007"/>
    <n v="573386.27600000007"/>
    <n v="88972.769474714907"/>
    <n v="-3470183.95"/>
    <m/>
    <n v="57338627.600000001"/>
    <s v="DBK GR Equity"/>
    <x v="70"/>
    <n v="-8.675459875000001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00000000"/>
    <m/>
    <s v="CNH"/>
    <n v="6.9760999999999997"/>
    <m/>
    <m/>
    <m/>
    <m/>
    <n v="0"/>
    <n v="0"/>
    <n v="0"/>
    <n v="0"/>
    <n v="0"/>
    <n v="2.2243192368678728E-4"/>
  </r>
  <r>
    <n v="12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51959.00759479683"/>
    <x v="4"/>
    <m/>
    <m/>
    <d v="2017-02-15T00:00:00"/>
    <n v="0.12602739726027398"/>
    <n v="1"/>
    <m/>
    <n v="1"/>
    <n v="1"/>
    <s v="11"/>
    <n v="0.01"/>
    <n v="573386.27600000007"/>
    <n v="573386.27600000007"/>
    <n v="88972.769474714907"/>
    <n v="-3480961.52"/>
    <m/>
    <n v="57338627.600000001"/>
    <s v="DBK GR Equity"/>
    <x v="70"/>
    <n v="-8.702403799999999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00000000"/>
    <m/>
    <s v="CNH"/>
    <n v="6.9760999999999997"/>
    <m/>
    <m/>
    <m/>
    <m/>
    <n v="0"/>
    <n v="0"/>
    <n v="0"/>
    <n v="0"/>
    <n v="0"/>
    <n v="2.2243192368678728E-4"/>
  </r>
  <r>
    <n v="12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32684.74659095879"/>
    <x v="4"/>
    <m/>
    <m/>
    <d v="2017-02-15T00:00:00"/>
    <n v="0.12602739726027398"/>
    <n v="1"/>
    <m/>
    <n v="1"/>
    <n v="1"/>
    <s v="11"/>
    <n v="0.01"/>
    <n v="493112.1974"/>
    <n v="493112.1974"/>
    <n v="76516.581754461644"/>
    <n v="-2843422.2"/>
    <m/>
    <n v="49311219.740000002"/>
    <s v="DBK GR Equity"/>
    <x v="70"/>
    <n v="-7.108555500000000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44000000"/>
    <m/>
    <s v="CNH"/>
    <n v="6.9760999999999997"/>
    <m/>
    <m/>
    <m/>
    <m/>
    <n v="0"/>
    <n v="0"/>
    <n v="0"/>
    <n v="0"/>
    <n v="0"/>
    <n v="1.9129145438615412E-4"/>
  </r>
  <r>
    <n v="12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9565.91077910748"/>
    <x v="4"/>
    <m/>
    <m/>
    <d v="2017-03-15T00:00:00"/>
    <n v="0.20273972602739726"/>
    <n v="1"/>
    <m/>
    <n v="1"/>
    <n v="1"/>
    <s v="11"/>
    <n v="0.01"/>
    <n v="96042.201199999996"/>
    <n v="96042.201199999996"/>
    <n v="14902.938882359622"/>
    <n v="-733006.41"/>
    <m/>
    <n v="9604220.1199999992"/>
    <s v="DBK GR Equity"/>
    <x v="70"/>
    <n v="-1.8325160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67000000"/>
    <m/>
    <s v="CNH"/>
    <n v="6.9760999999999997"/>
    <m/>
    <m/>
    <m/>
    <m/>
    <n v="0"/>
    <n v="0"/>
    <n v="0"/>
    <n v="0"/>
    <n v="0"/>
    <n v="3.7257347205899054E-5"/>
  </r>
  <r>
    <n v="12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69595.5651686871"/>
    <x v="4"/>
    <m/>
    <m/>
    <d v="2017-04-19T00:00:00"/>
    <n v="0.29863013698630136"/>
    <n v="1"/>
    <m/>
    <n v="1"/>
    <n v="1"/>
    <s v="11"/>
    <n v="0.01"/>
    <n v="445807.8296"/>
    <n v="445807.8296"/>
    <n v="69176.328268142533"/>
    <n v="-3286796"/>
    <m/>
    <n v="44580782.960000001"/>
    <s v="DBK GR Equity"/>
    <x v="70"/>
    <n v="-8.216990000000000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11000000"/>
    <m/>
    <s v="CNH"/>
    <n v="6.9760999999999997"/>
    <m/>
    <m/>
    <m/>
    <m/>
    <n v="0"/>
    <n v="0"/>
    <n v="0"/>
    <n v="0"/>
    <n v="0"/>
    <n v="1.7294082067035633E-4"/>
  </r>
  <r>
    <n v="12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40960.24674952705"/>
    <x v="4"/>
    <m/>
    <m/>
    <d v="2017-04-19T00:00:00"/>
    <n v="0.29863013698630136"/>
    <n v="1"/>
    <m/>
    <n v="1"/>
    <n v="1"/>
    <s v="11"/>
    <n v="0.01"/>
    <n v="182050.14260000002"/>
    <n v="182050.14260000002"/>
    <n v="28248.854303566859"/>
    <n v="-1415699.21"/>
    <m/>
    <n v="18205014.260000002"/>
    <s v="DBK GR Equity"/>
    <x v="70"/>
    <n v="-3.5392480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7000000"/>
    <m/>
    <s v="CNH"/>
    <n v="6.9760999999999997"/>
    <m/>
    <m/>
    <m/>
    <m/>
    <n v="0"/>
    <n v="0"/>
    <n v="0"/>
    <n v="0"/>
    <n v="0"/>
    <n v="7.0622135758917145E-5"/>
  </r>
  <r>
    <n v="130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78116.40223396628"/>
    <x v="4"/>
    <m/>
    <m/>
    <d v="2017-02-13T00:00:00"/>
    <n v="0.12054794520547946"/>
    <n v="1"/>
    <m/>
    <n v="1"/>
    <n v="1"/>
    <s v="11"/>
    <n v="0.01"/>
    <n v="195686.26890000002"/>
    <n v="195686.26890000002"/>
    <n v="30364.78203431359"/>
    <n v="-831755.28"/>
    <m/>
    <n v="19568626.890000001"/>
    <s v="56243Z LN Equity"/>
    <x v="71"/>
    <n v="-2.0793882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6000000"/>
    <m/>
    <s v="CNY"/>
    <n v="6.9499000000000004"/>
    <m/>
    <m/>
    <m/>
    <m/>
    <n v="0"/>
    <n v="0"/>
    <n v="0"/>
    <n v="0"/>
    <n v="0"/>
    <n v="7.5911955085783978E-5"/>
  </r>
  <r>
    <n v="13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08994.70909235562"/>
    <x v="4"/>
    <m/>
    <m/>
    <d v="2017-02-13T00:00:00"/>
    <n v="0.12054794520547946"/>
    <n v="1"/>
    <m/>
    <n v="1"/>
    <n v="1"/>
    <s v="11"/>
    <n v="0.01"/>
    <n v="287773.92480000004"/>
    <n v="287773.92480000004"/>
    <n v="44654.091218716829"/>
    <n v="-1820553.79"/>
    <m/>
    <n v="28777392.48"/>
    <s v="DBK GR Equity"/>
    <x v="71"/>
    <n v="-4.551384474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0"/>
    <m/>
    <s v="CNY"/>
    <n v="6.9499000000000004"/>
    <m/>
    <m/>
    <m/>
    <m/>
    <n v="0"/>
    <n v="0"/>
    <n v="0"/>
    <n v="0"/>
    <n v="0"/>
    <n v="1.1163522804679207E-4"/>
  </r>
  <r>
    <n v="13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3351.85197248598"/>
    <x v="4"/>
    <m/>
    <m/>
    <d v="2017-02-13T00:00:00"/>
    <n v="0.12054794520547946"/>
    <n v="1"/>
    <m/>
    <n v="1"/>
    <n v="1"/>
    <s v="11"/>
    <n v="0.01"/>
    <n v="171225.48530000003"/>
    <n v="171225.48530000003"/>
    <n v="26569.184281964026"/>
    <n v="-1092671.21"/>
    <m/>
    <n v="17122548.530000001"/>
    <s v="DBK GR Equity"/>
    <x v="71"/>
    <n v="-2.7316780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9000000"/>
    <m/>
    <s v="CNY"/>
    <n v="6.9499000000000004"/>
    <m/>
    <m/>
    <m/>
    <m/>
    <n v="0"/>
    <n v="0"/>
    <n v="0"/>
    <n v="0"/>
    <n v="0"/>
    <n v="6.642296070491007E-5"/>
  </r>
  <r>
    <n v="13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51531.74616001797"/>
    <x v="4"/>
    <m/>
    <m/>
    <d v="2017-02-13T00:00:00"/>
    <n v="0.12054794520547946"/>
    <n v="1"/>
    <m/>
    <n v="1"/>
    <n v="1"/>
    <s v="11"/>
    <n v="0.01"/>
    <n v="176980.9638"/>
    <n v="176980.9638"/>
    <n v="27462.266106959039"/>
    <n v="-1058532.58"/>
    <m/>
    <n v="17698096.379999999"/>
    <s v="DBK GR Equity"/>
    <x v="71"/>
    <n v="-2.646331450000000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3000000"/>
    <m/>
    <s v="CNY"/>
    <n v="6.9499000000000004"/>
    <m/>
    <m/>
    <m/>
    <m/>
    <n v="0"/>
    <n v="0"/>
    <n v="0"/>
    <n v="0"/>
    <n v="0"/>
    <n v="6.8655665267397593E-5"/>
  </r>
  <r>
    <n v="13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51753.24676807551"/>
    <x v="4"/>
    <m/>
    <m/>
    <d v="2017-03-13T00:00:00"/>
    <n v="0.19726027397260273"/>
    <n v="1"/>
    <m/>
    <n v="1"/>
    <n v="1"/>
    <s v="11"/>
    <n v="0.01"/>
    <n v="194247.39920000001"/>
    <n v="194247.39920000001"/>
    <n v="30141.511566427027"/>
    <n v="-435616.46"/>
    <m/>
    <n v="19424739.920000002"/>
    <s v="DBK GR Equity"/>
    <x v="71"/>
    <n v="-1.0890411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5000000"/>
    <m/>
    <s v="CNY"/>
    <n v="6.9499000000000004"/>
    <m/>
    <m/>
    <m/>
    <m/>
    <n v="0"/>
    <n v="0"/>
    <n v="0"/>
    <n v="0"/>
    <n v="0"/>
    <n v="7.5353778916067572E-5"/>
  </r>
  <r>
    <n v="13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2816.85921412322"/>
    <x v="4"/>
    <m/>
    <m/>
    <d v="2017-06-19T00:00:00"/>
    <n v="0.46575342465753422"/>
    <n v="1"/>
    <m/>
    <n v="1"/>
    <n v="1"/>
    <s v="11"/>
    <n v="0.01"/>
    <n v="162592.26750000002"/>
    <n v="162592.26750000002"/>
    <n v="25229.561536712958"/>
    <n v="-335179.32"/>
    <m/>
    <n v="16259226.75"/>
    <s v="DBK GR Equity"/>
    <x v="71"/>
    <n v="-8.37948300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000000"/>
    <m/>
    <s v="CNY"/>
    <n v="6.9499000000000004"/>
    <m/>
    <m/>
    <m/>
    <m/>
    <n v="0"/>
    <n v="0"/>
    <n v="0"/>
    <n v="0"/>
    <n v="0"/>
    <n v="6.3073903841782394E-5"/>
  </r>
  <r>
    <n v="13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2816.85921412322"/>
    <x v="4"/>
    <m/>
    <m/>
    <d v="2017-06-19T00:00:00"/>
    <n v="0.46575342465753422"/>
    <n v="1"/>
    <m/>
    <n v="1"/>
    <n v="1"/>
    <s v="11"/>
    <n v="0.01"/>
    <n v="162592.26750000002"/>
    <n v="162592.26750000002"/>
    <n v="25229.561536712958"/>
    <n v="-367081.1"/>
    <m/>
    <n v="16259226.75"/>
    <s v="DBK GR Equity"/>
    <x v="71"/>
    <n v="-9.177027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000000"/>
    <m/>
    <s v="CNY"/>
    <n v="6.9499000000000004"/>
    <m/>
    <m/>
    <m/>
    <m/>
    <n v="0"/>
    <n v="0"/>
    <n v="0"/>
    <n v="0"/>
    <n v="0"/>
    <n v="6.3073903841782394E-5"/>
  </r>
  <r>
    <n v="13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2816.85921412322"/>
    <x v="4"/>
    <m/>
    <m/>
    <d v="2017-06-19T00:00:00"/>
    <n v="0.46575342465753422"/>
    <n v="1"/>
    <m/>
    <n v="1"/>
    <n v="1"/>
    <s v="11"/>
    <n v="0.01"/>
    <n v="162592.26750000002"/>
    <n v="162592.26750000002"/>
    <n v="25229.561536712958"/>
    <n v="-410580.01"/>
    <m/>
    <n v="16259226.75"/>
    <s v="DBK GR Equity"/>
    <x v="71"/>
    <n v="-1.0264500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000000"/>
    <m/>
    <s v="CNY"/>
    <n v="6.9499000000000004"/>
    <m/>
    <m/>
    <m/>
    <m/>
    <n v="0"/>
    <n v="0"/>
    <n v="0"/>
    <n v="0"/>
    <n v="0"/>
    <n v="6.3073903841782394E-5"/>
  </r>
  <r>
    <n v="13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2816.85921412322"/>
    <x v="4"/>
    <m/>
    <m/>
    <d v="2017-06-19T00:00:00"/>
    <n v="0.46575342465753422"/>
    <n v="1"/>
    <m/>
    <n v="1"/>
    <n v="1"/>
    <s v="11"/>
    <n v="0.01"/>
    <n v="162592.26750000002"/>
    <n v="162592.26750000002"/>
    <n v="25229.561536712958"/>
    <n v="-412875.95"/>
    <m/>
    <n v="16259226.75"/>
    <s v="DBK GR Equity"/>
    <x v="71"/>
    <n v="-1.0321898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000000"/>
    <m/>
    <s v="CNY"/>
    <n v="6.9499000000000004"/>
    <m/>
    <m/>
    <m/>
    <m/>
    <n v="0"/>
    <n v="0"/>
    <n v="0"/>
    <n v="0"/>
    <n v="0"/>
    <n v="6.3073903841782394E-5"/>
  </r>
  <r>
    <n v="13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2816.85921412322"/>
    <x v="4"/>
    <m/>
    <m/>
    <d v="2017-06-19T00:00:00"/>
    <n v="0.46575342465753422"/>
    <n v="1"/>
    <m/>
    <n v="1"/>
    <n v="1"/>
    <s v="11"/>
    <n v="0.01"/>
    <n v="162592.26750000002"/>
    <n v="162592.26750000002"/>
    <n v="25229.561536712958"/>
    <n v="-403696.1"/>
    <m/>
    <n v="16259226.75"/>
    <s v="DBK GR Equity"/>
    <x v="71"/>
    <n v="-1.0092402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000000"/>
    <m/>
    <s v="CNY"/>
    <n v="6.9499000000000004"/>
    <m/>
    <m/>
    <m/>
    <m/>
    <n v="0"/>
    <n v="0"/>
    <n v="0"/>
    <n v="0"/>
    <n v="0"/>
    <n v="6.3073903841782394E-5"/>
  </r>
  <r>
    <n v="14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79249.63960375887"/>
    <x v="4"/>
    <m/>
    <m/>
    <d v="2017-06-19T00:00:00"/>
    <n v="0.46575342465753422"/>
    <n v="1"/>
    <m/>
    <n v="1"/>
    <n v="1"/>
    <s v="11"/>
    <n v="0.01"/>
    <n v="69065.741999999998"/>
    <n v="69065.741999999998"/>
    <n v="10716.981899940232"/>
    <n v="-172455.97"/>
    <m/>
    <n v="6906574.2000000002"/>
    <s v="DBK GR Equity"/>
    <x v="71"/>
    <n v="-4.31139925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48000000"/>
    <m/>
    <s v="CNY"/>
    <n v="6.9499000000000004"/>
    <m/>
    <m/>
    <m/>
    <m/>
    <n v="0"/>
    <n v="0"/>
    <n v="0"/>
    <n v="0"/>
    <n v="0"/>
    <n v="2.6792454749850579E-5"/>
  </r>
  <r>
    <n v="14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64840.8492404539"/>
    <x v="4"/>
    <m/>
    <m/>
    <d v="2017-11-13T00:00:00"/>
    <n v="0.86849315068493149"/>
    <n v="1"/>
    <m/>
    <n v="1"/>
    <n v="1"/>
    <s v="11"/>
    <n v="0.01"/>
    <n v="162592.26750000002"/>
    <n v="162592.26750000002"/>
    <n v="25229.561536712958"/>
    <n v="-361302.8"/>
    <m/>
    <n v="16259226.75"/>
    <s v="DBK GR Equity"/>
    <x v="71"/>
    <n v="-9.032569999999999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000000"/>
    <m/>
    <s v="CNY"/>
    <n v="6.9499000000000004"/>
    <m/>
    <m/>
    <m/>
    <m/>
    <n v="0"/>
    <n v="0"/>
    <n v="0"/>
    <n v="0"/>
    <n v="0"/>
    <n v="6.3073903841782394E-5"/>
  </r>
  <r>
    <n v="142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93884.27124483342"/>
    <x v="4"/>
    <m/>
    <m/>
    <d v="2017-01-18T00:00:00"/>
    <n v="4.9315068493150684E-2"/>
    <n v="1"/>
    <m/>
    <n v="1"/>
    <n v="1"/>
    <s v="11"/>
    <n v="0.01"/>
    <n v="505464.0405"/>
    <n v="1032455.9405"/>
    <n v="160206.94640223036"/>
    <n v="526991.9"/>
    <m/>
    <n v="50546404.049999997"/>
    <s v="56243Z LN Equity"/>
    <x v="72"/>
    <n v="1.3174797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2000000"/>
    <m/>
    <s v="HKD"/>
    <n v="7.7552500000000002"/>
    <m/>
    <m/>
    <m/>
    <m/>
    <n v="0"/>
    <n v="0"/>
    <n v="0"/>
    <n v="0"/>
    <n v="0"/>
    <n v="4.0051736600557592E-4"/>
  </r>
  <r>
    <n v="14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93884.27124483342"/>
    <x v="4"/>
    <m/>
    <m/>
    <d v="2017-01-18T00:00:00"/>
    <n v="4.9315068493150684E-2"/>
    <n v="1"/>
    <m/>
    <n v="1"/>
    <n v="1"/>
    <s v="11"/>
    <n v="0.01"/>
    <n v="505464.0405"/>
    <n v="1032455.9405"/>
    <n v="160206.94640223036"/>
    <n v="526991.9"/>
    <m/>
    <n v="50546404.049999997"/>
    <s v="DBK GR Equity"/>
    <x v="72"/>
    <n v="1.3174797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2000000"/>
    <m/>
    <s v="HKD"/>
    <n v="7.7552500000000002"/>
    <m/>
    <m/>
    <m/>
    <m/>
    <n v="0"/>
    <n v="0"/>
    <n v="0"/>
    <n v="0"/>
    <n v="0"/>
    <n v="4.0051736600557592E-4"/>
  </r>
  <r>
    <n v="144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749121.6698455757"/>
    <x v="4"/>
    <m/>
    <m/>
    <d v="2017-02-15T00:00:00"/>
    <n v="0.12602739726027398"/>
    <n v="1"/>
    <m/>
    <n v="1"/>
    <n v="1"/>
    <s v="11"/>
    <n v="0.01"/>
    <n v="504174.59140000003"/>
    <n v="902503.69140000001"/>
    <n v="140042.16048765602"/>
    <n v="398329.1"/>
    <m/>
    <n v="50417459.140000001"/>
    <s v="56243Z LN Equity"/>
    <x v="72"/>
    <n v="9.958227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1000000"/>
    <m/>
    <s v="HKD"/>
    <n v="7.7552500000000002"/>
    <m/>
    <m/>
    <m/>
    <m/>
    <n v="0"/>
    <n v="0"/>
    <n v="0"/>
    <n v="0"/>
    <n v="0"/>
    <n v="3.5010540121914002E-4"/>
  </r>
  <r>
    <n v="145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747205.75762102148"/>
    <x v="4"/>
    <m/>
    <m/>
    <d v="2017-02-15T00:00:00"/>
    <n v="0.12602739726027398"/>
    <n v="1"/>
    <m/>
    <n v="1"/>
    <n v="1"/>
    <s v="11"/>
    <n v="0.01"/>
    <n v="502885.14229999995"/>
    <n v="714321.24229999993"/>
    <n v="110841.75168163574"/>
    <n v="211436.1"/>
    <m/>
    <n v="50288514.229999997"/>
    <s v="56243Z LN Equity"/>
    <x v="72"/>
    <n v="5.285902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0000000"/>
    <m/>
    <s v="HKD"/>
    <n v="7.7552500000000002"/>
    <m/>
    <m/>
    <m/>
    <m/>
    <n v="0"/>
    <n v="0"/>
    <n v="0"/>
    <n v="0"/>
    <n v="0"/>
    <n v="2.7710437920408932E-4"/>
  </r>
  <r>
    <n v="14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49121.6698455757"/>
    <x v="4"/>
    <m/>
    <m/>
    <d v="2017-02-15T00:00:00"/>
    <n v="0.12602739726027398"/>
    <n v="1"/>
    <m/>
    <n v="1"/>
    <n v="1"/>
    <s v="11"/>
    <n v="0.01"/>
    <n v="504174.59140000003"/>
    <n v="803074.77139999997"/>
    <n v="124613.70196229036"/>
    <n v="298900.18"/>
    <m/>
    <n v="50417459.140000001"/>
    <s v="DBK GR Equity"/>
    <x v="72"/>
    <n v="7.47250450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1000000"/>
    <m/>
    <s v="HKD"/>
    <n v="7.7552500000000002"/>
    <m/>
    <m/>
    <m/>
    <m/>
    <n v="0"/>
    <n v="0"/>
    <n v="0"/>
    <n v="0"/>
    <n v="0"/>
    <n v="3.115342549057259E-4"/>
  </r>
  <r>
    <n v="14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49121.6698455757"/>
    <x v="4"/>
    <m/>
    <m/>
    <d v="2017-02-15T00:00:00"/>
    <n v="0.12602739726027398"/>
    <n v="1"/>
    <m/>
    <n v="1"/>
    <n v="1"/>
    <s v="11"/>
    <n v="0.01"/>
    <n v="504174.59140000003"/>
    <n v="902503.69140000001"/>
    <n v="140042.16048765602"/>
    <n v="398329.1"/>
    <m/>
    <n v="50417459.140000001"/>
    <s v="DBK GR Equity"/>
    <x v="72"/>
    <n v="9.958227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1000000"/>
    <m/>
    <s v="HKD"/>
    <n v="7.7552500000000002"/>
    <m/>
    <m/>
    <m/>
    <m/>
    <n v="0"/>
    <n v="0"/>
    <n v="0"/>
    <n v="0"/>
    <n v="0"/>
    <n v="3.5010540121914002E-4"/>
  </r>
  <r>
    <n v="14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47205.75762102148"/>
    <x v="4"/>
    <m/>
    <m/>
    <d v="2017-02-15T00:00:00"/>
    <n v="0.12602739726027398"/>
    <n v="1"/>
    <m/>
    <n v="1"/>
    <n v="1"/>
    <s v="11"/>
    <n v="0.01"/>
    <n v="502885.14229999995"/>
    <n v="714321.24229999993"/>
    <n v="110841.75168163574"/>
    <n v="211436.1"/>
    <m/>
    <n v="50288514.229999997"/>
    <s v="DBK GR Equity"/>
    <x v="72"/>
    <n v="5.285902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0000000"/>
    <m/>
    <s v="HKD"/>
    <n v="7.7552500000000002"/>
    <m/>
    <m/>
    <m/>
    <m/>
    <n v="0"/>
    <n v="0"/>
    <n v="0"/>
    <n v="0"/>
    <n v="0"/>
    <n v="2.7710437920408932E-4"/>
  </r>
  <r>
    <n v="14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1729.629320044281"/>
    <x v="4"/>
    <m/>
    <m/>
    <d v="2017-02-15T00:00:00"/>
    <n v="0.12602739726027398"/>
    <n v="1"/>
    <m/>
    <n v="1"/>
    <n v="1"/>
    <s v="11"/>
    <n v="0.01"/>
    <n v="34815.125200000002"/>
    <n v="35608.855200000005"/>
    <n v="5525.4522083610236"/>
    <n v="793.73"/>
    <m/>
    <n v="3481512.52"/>
    <s v="DBK GR Equity"/>
    <x v="72"/>
    <n v="1.9843249999999998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27000000"/>
    <m/>
    <s v="HKD"/>
    <n v="7.7552500000000002"/>
    <m/>
    <m/>
    <m/>
    <m/>
    <n v="0"/>
    <n v="0"/>
    <n v="0"/>
    <n v="0"/>
    <n v="0"/>
    <n v="1.3813630520902558E-5"/>
  </r>
  <r>
    <n v="15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19168.26902225637"/>
    <x v="4"/>
    <m/>
    <m/>
    <d v="2017-03-15T00:00:00"/>
    <n v="0.20273972602739726"/>
    <n v="1"/>
    <m/>
    <n v="1"/>
    <n v="1"/>
    <s v="11"/>
    <n v="0.01"/>
    <n v="175365.07530000003"/>
    <n v="175365.07530000003"/>
    <n v="27211.52750189459"/>
    <n v="-2970.17"/>
    <m/>
    <n v="17536507.530000001"/>
    <s v="DBK GR Equity"/>
    <x v="72"/>
    <n v="-7.4254250000000001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6000000"/>
    <m/>
    <s v="HKD"/>
    <n v="7.7552500000000002"/>
    <m/>
    <m/>
    <m/>
    <m/>
    <n v="0"/>
    <n v="0"/>
    <n v="0"/>
    <n v="0"/>
    <n v="0"/>
    <n v="6.8028818754736474E-5"/>
  </r>
  <r>
    <n v="15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76809.94932180276"/>
    <x v="4"/>
    <m/>
    <m/>
    <d v="2017-04-19T00:00:00"/>
    <n v="0.29863013698630136"/>
    <n v="1"/>
    <m/>
    <n v="1"/>
    <n v="1"/>
    <s v="11"/>
    <n v="0.01"/>
    <n v="107024.27390000001"/>
    <n v="127602.97390000001"/>
    <n v="19800.247156757483"/>
    <n v="20578.7"/>
    <m/>
    <n v="10702427.390000001"/>
    <s v="DBK GR Equity"/>
    <x v="72"/>
    <n v="5.14467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83000000"/>
    <m/>
    <s v="HKD"/>
    <n v="7.7552500000000002"/>
    <m/>
    <m/>
    <m/>
    <m/>
    <n v="0"/>
    <n v="0"/>
    <n v="0"/>
    <n v="0"/>
    <n v="0"/>
    <n v="4.9500617891893708E-5"/>
  </r>
  <r>
    <n v="15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84730.35965642135"/>
    <x v="4"/>
    <m/>
    <m/>
    <d v="2017-05-17T00:00:00"/>
    <n v="0.37534246575342467"/>
    <n v="1"/>
    <m/>
    <n v="1"/>
    <n v="1"/>
    <s v="11"/>
    <n v="0.01"/>
    <n v="154733.88990000001"/>
    <n v="189661.61990000002"/>
    <n v="29429.932825186246"/>
    <n v="34927.730000000003"/>
    <m/>
    <n v="15473388.99"/>
    <s v="DBK GR Equity"/>
    <x v="72"/>
    <n v="8.731932500000001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0"/>
    <m/>
    <s v="HKD"/>
    <n v="7.7552500000000002"/>
    <m/>
    <m/>
    <m/>
    <m/>
    <n v="0"/>
    <n v="0"/>
    <n v="0"/>
    <n v="0"/>
    <n v="0"/>
    <n v="7.3574832062965617E-5"/>
  </r>
  <r>
    <n v="15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30418.41407621955"/>
    <x v="4"/>
    <m/>
    <m/>
    <d v="2017-06-21T00:00:00"/>
    <n v="0.47123287671232877"/>
    <n v="1"/>
    <m/>
    <n v="1"/>
    <n v="1"/>
    <s v="11"/>
    <n v="0.01"/>
    <n v="113471.5193"/>
    <n v="120417.0193"/>
    <n v="18685.19730495118"/>
    <n v="6945.5"/>
    <m/>
    <n v="11347151.93"/>
    <s v="DBK GR Equity"/>
    <x v="72"/>
    <n v="1.7363750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88000000"/>
    <m/>
    <s v="HKD"/>
    <n v="7.7552500000000002"/>
    <m/>
    <m/>
    <m/>
    <m/>
    <n v="0"/>
    <n v="0"/>
    <n v="0"/>
    <n v="0"/>
    <n v="0"/>
    <n v="4.6712993262377948E-5"/>
  </r>
  <r>
    <n v="15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015.14459057536"/>
    <x v="4"/>
    <m/>
    <m/>
    <d v="2017-07-19T00:00:00"/>
    <n v="0.54794520547945202"/>
    <n v="1"/>
    <m/>
    <n v="1"/>
    <n v="1"/>
    <s v="11"/>
    <n v="0.01"/>
    <n v="125076.561"/>
    <n v="125076.561"/>
    <n v="19408.221811962441"/>
    <n v="-38971.42"/>
    <m/>
    <n v="12507656.1"/>
    <s v="DBK GR Equity"/>
    <x v="72"/>
    <n v="-9.7428550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97000000"/>
    <m/>
    <s v="HKD"/>
    <n v="7.7552500000000002"/>
    <m/>
    <m/>
    <m/>
    <m/>
    <n v="0"/>
    <n v="0"/>
    <n v="0"/>
    <n v="0"/>
    <n v="0"/>
    <n v="4.8520554529906101E-5"/>
  </r>
  <r>
    <n v="15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69585.6708368647"/>
    <x v="4"/>
    <m/>
    <m/>
    <d v="2017-10-18T00:00:00"/>
    <n v="0.79726027397260268"/>
    <n v="1"/>
    <m/>
    <n v="1"/>
    <n v="1"/>
    <s v="11"/>
    <n v="0.01"/>
    <n v="145707.7464"/>
    <n v="145707.7464"/>
    <n v="22609.577999609148"/>
    <n v="-4710.51"/>
    <m/>
    <n v="14570774.640000001"/>
    <s v="DBK GR Equity"/>
    <x v="72"/>
    <n v="-1.1776275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000000"/>
    <m/>
    <s v="HKD"/>
    <n v="7.7552500000000002"/>
    <m/>
    <m/>
    <m/>
    <m/>
    <n v="0"/>
    <n v="0"/>
    <n v="0"/>
    <n v="0"/>
    <n v="0"/>
    <n v="5.6523944999022869E-5"/>
  </r>
  <r>
    <n v="15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69585.6708368647"/>
    <x v="4"/>
    <m/>
    <m/>
    <d v="2017-10-18T00:00:00"/>
    <n v="0.79726027397260268"/>
    <n v="1"/>
    <m/>
    <n v="1"/>
    <n v="1"/>
    <s v="11"/>
    <n v="0.01"/>
    <n v="145707.7464"/>
    <n v="145707.7464"/>
    <n v="22609.577999609148"/>
    <n v="-11279.28"/>
    <m/>
    <n v="14570774.640000001"/>
    <s v="DBK GR Equity"/>
    <x v="72"/>
    <n v="-2.8198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000000"/>
    <m/>
    <s v="HKD"/>
    <n v="7.7552500000000002"/>
    <m/>
    <m/>
    <m/>
    <m/>
    <n v="0"/>
    <n v="0"/>
    <n v="0"/>
    <n v="0"/>
    <n v="0"/>
    <n v="5.6523944999022869E-5"/>
  </r>
  <r>
    <n v="15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69585.6708368647"/>
    <x v="4"/>
    <m/>
    <m/>
    <d v="2017-10-18T00:00:00"/>
    <n v="0.79726027397260268"/>
    <n v="1"/>
    <m/>
    <n v="1"/>
    <n v="1"/>
    <s v="11"/>
    <n v="0.01"/>
    <n v="145707.7464"/>
    <n v="145707.7464"/>
    <n v="22609.577999609148"/>
    <n v="-12593.75"/>
    <m/>
    <n v="14570774.640000001"/>
    <s v="DBK GR Equity"/>
    <x v="72"/>
    <n v="-3.1484374999999998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000000"/>
    <m/>
    <s v="HKD"/>
    <n v="7.7552500000000002"/>
    <m/>
    <m/>
    <m/>
    <m/>
    <n v="0"/>
    <n v="0"/>
    <n v="0"/>
    <n v="0"/>
    <n v="0"/>
    <n v="5.6523944999022869E-5"/>
  </r>
  <r>
    <n v="15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27939.9784740435"/>
    <x v="4"/>
    <m/>
    <m/>
    <d v="2017-11-15T00:00:00"/>
    <n v="0.87397260273972599"/>
    <n v="1"/>
    <m/>
    <n v="1"/>
    <n v="1"/>
    <s v="11"/>
    <n v="0.01"/>
    <n v="148286.64449999999"/>
    <n v="148286.64449999999"/>
    <n v="23009.74751142718"/>
    <n v="-23640.01"/>
    <m/>
    <n v="14828664.449999999"/>
    <s v="DBK GR Equity"/>
    <x v="72"/>
    <n v="-5.910002499999999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5000000"/>
    <m/>
    <s v="HKD"/>
    <n v="7.7552500000000002"/>
    <m/>
    <m/>
    <m/>
    <m/>
    <n v="0"/>
    <n v="0"/>
    <n v="0"/>
    <n v="0"/>
    <n v="0"/>
    <n v="5.7524368778567952E-5"/>
  </r>
  <r>
    <n v="15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27939.9784740435"/>
    <x v="4"/>
    <m/>
    <m/>
    <d v="2017-11-15T00:00:00"/>
    <n v="0.87397260273972599"/>
    <n v="1"/>
    <m/>
    <n v="1"/>
    <n v="1"/>
    <s v="11"/>
    <n v="0.01"/>
    <n v="148286.64449999999"/>
    <n v="148286.64449999999"/>
    <n v="23009.74751142718"/>
    <n v="-13890.66"/>
    <m/>
    <n v="14828664.449999999"/>
    <s v="DBK GR Equity"/>
    <x v="72"/>
    <n v="-3.4726649999999997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5000000"/>
    <m/>
    <s v="HKD"/>
    <n v="7.7552500000000002"/>
    <m/>
    <m/>
    <m/>
    <m/>
    <n v="0"/>
    <n v="0"/>
    <n v="0"/>
    <n v="0"/>
    <n v="0"/>
    <n v="5.7524368778567952E-5"/>
  </r>
  <r>
    <n v="16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54512.8480232952"/>
    <x v="4"/>
    <m/>
    <m/>
    <d v="2017-11-15T00:00:00"/>
    <n v="0.87397260273972599"/>
    <n v="1"/>
    <m/>
    <n v="1"/>
    <n v="1"/>
    <s v="11"/>
    <n v="0.01"/>
    <n v="150865.54269999999"/>
    <n v="150865.54269999999"/>
    <n v="23409.917038762287"/>
    <n v="-29307.599999999999"/>
    <m/>
    <n v="15086554.27"/>
    <s v="DBK GR Equity"/>
    <x v="72"/>
    <n v="-7.3268999999999993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7000000"/>
    <m/>
    <s v="HKD"/>
    <n v="7.7552500000000002"/>
    <m/>
    <m/>
    <m/>
    <m/>
    <n v="0"/>
    <n v="0"/>
    <n v="0"/>
    <n v="0"/>
    <n v="0"/>
    <n v="5.8524792596905721E-5"/>
  </r>
  <r>
    <n v="16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20241.5404246228"/>
    <x v="4"/>
    <m/>
    <m/>
    <d v="2017-11-15T00:00:00"/>
    <n v="0.87397260273972599"/>
    <n v="1"/>
    <m/>
    <n v="1"/>
    <n v="1"/>
    <s v="11"/>
    <n v="0.01"/>
    <n v="176654.52440000002"/>
    <n v="176654.52440000002"/>
    <n v="27411.61226556214"/>
    <n v="-25428.26"/>
    <m/>
    <n v="17665452.440000001"/>
    <s v="DBK GR Equity"/>
    <x v="72"/>
    <n v="-6.3570649999999994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7000000"/>
    <m/>
    <s v="HKD"/>
    <n v="7.7552500000000002"/>
    <m/>
    <m/>
    <m/>
    <m/>
    <n v="0"/>
    <n v="0"/>
    <n v="0"/>
    <n v="0"/>
    <n v="0"/>
    <n v="6.8529030663905355E-5"/>
  </r>
  <r>
    <n v="16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20241.5404246228"/>
    <x v="4"/>
    <m/>
    <m/>
    <d v="2017-11-15T00:00:00"/>
    <n v="0.87397260273972599"/>
    <n v="1"/>
    <m/>
    <n v="1"/>
    <n v="1"/>
    <s v="11"/>
    <n v="0.01"/>
    <n v="176654.52440000002"/>
    <n v="176654.52440000002"/>
    <n v="27411.61226556214"/>
    <n v="-33405.33"/>
    <m/>
    <n v="17665452.440000001"/>
    <s v="DBK GR Equity"/>
    <x v="72"/>
    <n v="-8.3513325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7000000"/>
    <m/>
    <s v="HKD"/>
    <n v="7.7552500000000002"/>
    <m/>
    <m/>
    <m/>
    <m/>
    <n v="0"/>
    <n v="0"/>
    <n v="0"/>
    <n v="0"/>
    <n v="0"/>
    <n v="6.8529030663905355E-5"/>
  </r>
  <r>
    <n v="16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906211.7722201766"/>
    <x v="4"/>
    <m/>
    <m/>
    <d v="2017-11-15T00:00:00"/>
    <n v="0.87397260273972599"/>
    <n v="1"/>
    <m/>
    <n v="1"/>
    <n v="1"/>
    <s v="11"/>
    <n v="0.01"/>
    <n v="379098.03039999999"/>
    <n v="379098.03039999999"/>
    <n v="58824.919742407052"/>
    <n v="-63370.64"/>
    <m/>
    <n v="37909803.039999999"/>
    <s v="DBK GR Equity"/>
    <x v="72"/>
    <n v="-1.5842659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94000000"/>
    <m/>
    <s v="HKD"/>
    <n v="7.7552500000000002"/>
    <m/>
    <m/>
    <m/>
    <m/>
    <n v="0"/>
    <n v="0"/>
    <n v="0"/>
    <n v="0"/>
    <n v="0"/>
    <n v="1.4706229935601762E-4"/>
  </r>
  <r>
    <n v="16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26533.0165608367"/>
    <x v="4"/>
    <m/>
    <m/>
    <d v="2017-11-15T00:00:00"/>
    <n v="0.87397260273972599"/>
    <n v="1"/>
    <m/>
    <n v="1"/>
    <n v="1"/>
    <s v="11"/>
    <n v="0.01"/>
    <n v="186970.117"/>
    <n v="186970.117"/>
    <n v="29012.290343868419"/>
    <n v="-36080.04"/>
    <m/>
    <n v="18697011.699999999"/>
    <s v="DBK GR Equity"/>
    <x v="72"/>
    <n v="-9.0200100000000004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5000000"/>
    <m/>
    <s v="HKD"/>
    <n v="7.7552500000000002"/>
    <m/>
    <m/>
    <m/>
    <m/>
    <n v="0"/>
    <n v="0"/>
    <n v="0"/>
    <n v="0"/>
    <n v="0"/>
    <n v="7.2530725859671046E-5"/>
  </r>
  <r>
    <n v="16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39819.4513354625"/>
    <x v="4"/>
    <m/>
    <m/>
    <d v="2017-11-15T00:00:00"/>
    <n v="0.87397260273972599"/>
    <n v="1"/>
    <m/>
    <n v="1"/>
    <n v="1"/>
    <s v="11"/>
    <n v="0.01"/>
    <n v="188259.5661"/>
    <n v="188259.5661"/>
    <n v="29212.375107535972"/>
    <n v="-30741.13"/>
    <m/>
    <n v="18825956.609999999"/>
    <s v="DBK GR Equity"/>
    <x v="72"/>
    <n v="-7.685282499999999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6000000"/>
    <m/>
    <s v="HKD"/>
    <n v="7.7552500000000002"/>
    <m/>
    <m/>
    <m/>
    <m/>
    <n v="0"/>
    <n v="0"/>
    <n v="0"/>
    <n v="0"/>
    <n v="0"/>
    <n v="7.3030937768839928E-5"/>
  </r>
  <r>
    <n v="16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892925.3374455511"/>
    <x v="4"/>
    <m/>
    <m/>
    <d v="2017-11-15T00:00:00"/>
    <n v="0.87397260273972599"/>
    <n v="1"/>
    <m/>
    <n v="1"/>
    <n v="1"/>
    <s v="11"/>
    <n v="0.01"/>
    <n v="377808.58130000002"/>
    <n v="377808.58130000002"/>
    <n v="58624.834978739498"/>
    <n v="-49024.39"/>
    <m/>
    <n v="37780858.130000003"/>
    <s v="DBK GR Equity"/>
    <x v="72"/>
    <n v="-1.2256097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93000000"/>
    <m/>
    <s v="HKD"/>
    <n v="7.7552500000000002"/>
    <m/>
    <m/>
    <m/>
    <m/>
    <n v="0"/>
    <n v="0"/>
    <n v="0"/>
    <n v="0"/>
    <n v="0"/>
    <n v="1.4656208744684874E-4"/>
  </r>
  <r>
    <n v="16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39819.4513354625"/>
    <x v="4"/>
    <m/>
    <m/>
    <d v="2017-11-15T00:00:00"/>
    <n v="0.87397260273972599"/>
    <n v="1"/>
    <m/>
    <n v="1"/>
    <n v="1"/>
    <s v="11"/>
    <n v="0.01"/>
    <n v="188259.5661"/>
    <n v="188259.5661"/>
    <n v="29212.375107535972"/>
    <n v="-25156.7"/>
    <m/>
    <n v="18825956.609999999"/>
    <s v="DBK GR Equity"/>
    <x v="72"/>
    <n v="-6.2891750000000003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6000000"/>
    <m/>
    <s v="HKD"/>
    <n v="7.7552500000000002"/>
    <m/>
    <m/>
    <m/>
    <m/>
    <n v="0"/>
    <n v="0"/>
    <n v="0"/>
    <n v="0"/>
    <n v="0"/>
    <n v="7.3030937768839928E-5"/>
  </r>
  <r>
    <n v="16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91558.2274903622"/>
    <x v="4"/>
    <m/>
    <m/>
    <d v="2017-11-15T00:00:00"/>
    <n v="0.87397260273972599"/>
    <n v="1"/>
    <m/>
    <n v="1"/>
    <n v="1"/>
    <s v="11"/>
    <n v="0.01"/>
    <n v="232100.83489999999"/>
    <n v="264354.8849"/>
    <n v="41020.141601230949"/>
    <n v="32254.05"/>
    <m/>
    <n v="23210083.489999998"/>
    <s v="DBK GR Equity"/>
    <x v="72"/>
    <n v="8.063512499999999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000000"/>
    <m/>
    <s v="HKD"/>
    <n v="7.7552500000000002"/>
    <m/>
    <m/>
    <m/>
    <m/>
    <n v="0"/>
    <n v="0"/>
    <n v="0"/>
    <n v="0"/>
    <n v="0"/>
    <n v="1.0255035400307737E-4"/>
  </r>
  <r>
    <n v="16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78975.2741875383"/>
    <x v="4"/>
    <m/>
    <m/>
    <d v="2017-11-15T00:00:00"/>
    <n v="0.87397260273972599"/>
    <n v="1"/>
    <m/>
    <n v="1"/>
    <n v="1"/>
    <s v="11"/>
    <n v="0.01"/>
    <n v="211469.6496"/>
    <n v="237330.86960000001"/>
    <n v="36826.805303854919"/>
    <n v="25861.22"/>
    <m/>
    <n v="21146964.960000001"/>
    <s v="DBK GR Equity"/>
    <x v="72"/>
    <n v="6.465305000000000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4000000"/>
    <m/>
    <s v="HKD"/>
    <n v="7.7552500000000002"/>
    <m/>
    <m/>
    <m/>
    <m/>
    <n v="0"/>
    <n v="0"/>
    <n v="0"/>
    <n v="0"/>
    <n v="0"/>
    <n v="9.2067013259637296E-5"/>
  </r>
  <r>
    <n v="17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78975.2741875383"/>
    <x v="4"/>
    <m/>
    <m/>
    <d v="2017-11-15T00:00:00"/>
    <n v="0.87397260273972599"/>
    <n v="1"/>
    <m/>
    <n v="1"/>
    <n v="1"/>
    <s v="11"/>
    <n v="0.01"/>
    <n v="211469.6496"/>
    <n v="229732.8296"/>
    <n v="35647.811857943314"/>
    <n v="18263.18"/>
    <m/>
    <n v="21146964.960000001"/>
    <s v="DBK GR Equity"/>
    <x v="72"/>
    <n v="4.565794999999999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4000000"/>
    <m/>
    <s v="HKD"/>
    <n v="7.7552500000000002"/>
    <m/>
    <m/>
    <m/>
    <m/>
    <n v="0"/>
    <n v="0"/>
    <n v="0"/>
    <n v="0"/>
    <n v="0"/>
    <n v="8.9119529644858284E-5"/>
  </r>
  <r>
    <n v="17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78975.2741875383"/>
    <x v="4"/>
    <m/>
    <m/>
    <d v="2017-11-15T00:00:00"/>
    <n v="0.87397260273972599"/>
    <n v="1"/>
    <m/>
    <n v="1"/>
    <n v="1"/>
    <s v="11"/>
    <n v="0.01"/>
    <n v="211469.6496"/>
    <n v="226474.84960000002"/>
    <n v="35142.268709063988"/>
    <n v="15005.2"/>
    <m/>
    <n v="21146964.960000001"/>
    <s v="DBK GR Equity"/>
    <x v="72"/>
    <n v="3.751300000000000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4000000"/>
    <m/>
    <s v="HKD"/>
    <n v="7.7552500000000002"/>
    <m/>
    <m/>
    <m/>
    <m/>
    <n v="0"/>
    <n v="0"/>
    <n v="0"/>
    <n v="0"/>
    <n v="0"/>
    <n v="8.7855671772659965E-5"/>
  </r>
  <r>
    <n v="17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05548.1437367904"/>
    <x v="4"/>
    <m/>
    <m/>
    <d v="2017-11-15T00:00:00"/>
    <n v="0.87397260273972599"/>
    <n v="1"/>
    <m/>
    <n v="1"/>
    <n v="1"/>
    <s v="11"/>
    <n v="0.01"/>
    <n v="214048.54780000003"/>
    <n v="233358.72780000002"/>
    <n v="36210.445144072728"/>
    <n v="19310.18"/>
    <m/>
    <n v="21404854.780000001"/>
    <s v="DBK GR Equity"/>
    <x v="72"/>
    <n v="4.827544999999999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6000000"/>
    <m/>
    <s v="HKD"/>
    <n v="7.7552500000000002"/>
    <m/>
    <m/>
    <m/>
    <m/>
    <n v="0"/>
    <n v="0"/>
    <n v="0"/>
    <n v="0"/>
    <n v="0"/>
    <n v="9.0526112860181819E-5"/>
  </r>
  <r>
    <n v="17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05548.1437367904"/>
    <x v="4"/>
    <m/>
    <m/>
    <d v="2017-11-15T00:00:00"/>
    <n v="0.87397260273972599"/>
    <n v="1"/>
    <m/>
    <n v="1"/>
    <n v="1"/>
    <s v="11"/>
    <n v="0.01"/>
    <n v="214048.54780000003"/>
    <n v="230610.91780000002"/>
    <n v="35784.065448702553"/>
    <n v="16562.37"/>
    <m/>
    <n v="21404854.780000001"/>
    <s v="DBK GR Equity"/>
    <x v="72"/>
    <n v="4.1405924999999998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6000000"/>
    <m/>
    <s v="HKD"/>
    <n v="7.7552500000000002"/>
    <m/>
    <m/>
    <m/>
    <m/>
    <n v="0"/>
    <n v="0"/>
    <n v="0"/>
    <n v="0"/>
    <n v="0"/>
    <n v="8.9460163621756376E-5"/>
  </r>
  <r>
    <n v="17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18047.7964338204"/>
    <x v="4"/>
    <m/>
    <m/>
    <d v="2017-12-20T00:00:00"/>
    <n v="0.96986301369863015"/>
    <n v="1"/>
    <m/>
    <n v="1"/>
    <n v="1"/>
    <s v="11"/>
    <n v="0.01"/>
    <n v="211469.6496"/>
    <n v="239120.69959999999"/>
    <n v="37104.534539196662"/>
    <n v="27651.05"/>
    <m/>
    <n v="21146964.960000001"/>
    <s v="DBK GR Equity"/>
    <x v="72"/>
    <n v="6.912762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4000000"/>
    <m/>
    <s v="HKD"/>
    <n v="7.7552500000000002"/>
    <m/>
    <m/>
    <m/>
    <m/>
    <n v="0"/>
    <n v="0"/>
    <n v="0"/>
    <n v="0"/>
    <n v="0"/>
    <n v="9.2761336347991656E-5"/>
  </r>
  <r>
    <n v="17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73815.2142060692"/>
    <x v="4"/>
    <m/>
    <m/>
    <d v="2017-12-20T00:00:00"/>
    <n v="0.96986301369863015"/>
    <n v="1"/>
    <m/>
    <n v="1"/>
    <n v="1"/>
    <s v="11"/>
    <n v="0.01"/>
    <n v="207601.30230000001"/>
    <n v="242193.5123"/>
    <n v="37581.34514216979"/>
    <n v="34592.21"/>
    <m/>
    <n v="20760130.23"/>
    <s v="DBK GR Equity"/>
    <x v="72"/>
    <n v="8.648052500000000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1000000"/>
    <m/>
    <s v="HKD"/>
    <n v="7.7552500000000002"/>
    <m/>
    <m/>
    <m/>
    <m/>
    <n v="0"/>
    <n v="0"/>
    <n v="0"/>
    <n v="0"/>
    <n v="0"/>
    <n v="9.3953362855424472E-5"/>
  </r>
  <r>
    <n v="17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195.091337459729"/>
    <x v="4"/>
    <m/>
    <m/>
    <d v="2017-01-16T00:00:00"/>
    <n v="4.3835616438356165E-2"/>
    <n v="1"/>
    <m/>
    <n v="1"/>
    <n v="1"/>
    <s v="11"/>
    <n v="0.01"/>
    <n v="81644.770999999993"/>
    <n v="81644.770999999993"/>
    <n v="12668.879066437383"/>
    <n v="-112204.55"/>
    <m/>
    <n v="8164477.0999999996"/>
    <s v="DBK GR Equity"/>
    <x v="73"/>
    <n v="-2.80511375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0000000000"/>
    <m/>
    <s v="IDR"/>
    <n v="13473"/>
    <m/>
    <m/>
    <m/>
    <m/>
    <n v="0"/>
    <n v="0"/>
    <n v="0"/>
    <n v="0"/>
    <n v="0"/>
    <n v="3.1672197666093459E-5"/>
  </r>
  <r>
    <n v="17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578.683081589486"/>
    <x v="4"/>
    <m/>
    <m/>
    <d v="2017-01-16T00:00:00"/>
    <n v="4.3835616438356165E-2"/>
    <n v="1"/>
    <m/>
    <n v="1"/>
    <n v="1"/>
    <s v="11"/>
    <n v="0.01"/>
    <n v="82386.996200000009"/>
    <n v="195056.33620000002"/>
    <n v="30267.034914705713"/>
    <n v="112669.34"/>
    <m/>
    <n v="8238699.6200000001"/>
    <s v="DBK GR Equity"/>
    <x v="73"/>
    <n v="2.816733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1000000000"/>
    <m/>
    <s v="IDR"/>
    <n v="13473"/>
    <m/>
    <m/>
    <m/>
    <m/>
    <n v="0"/>
    <n v="0"/>
    <n v="0"/>
    <n v="0"/>
    <n v="0"/>
    <n v="7.5667587286764283E-5"/>
  </r>
  <r>
    <n v="17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962.274825719236"/>
    <x v="4"/>
    <m/>
    <m/>
    <d v="2017-01-16T00:00:00"/>
    <n v="4.3835616438356165E-2"/>
    <n v="1"/>
    <m/>
    <n v="1"/>
    <n v="1"/>
    <s v="11"/>
    <n v="0.01"/>
    <n v="83129.221399999995"/>
    <n v="193815.75140000001"/>
    <n v="30074.532460349383"/>
    <n v="110686.53"/>
    <m/>
    <n v="8312922.1399999997"/>
    <s v="DBK GR Equity"/>
    <x v="73"/>
    <n v="2.76716324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2000000000"/>
    <m/>
    <s v="IDR"/>
    <n v="13473"/>
    <m/>
    <m/>
    <m/>
    <m/>
    <n v="0"/>
    <n v="0"/>
    <n v="0"/>
    <n v="0"/>
    <n v="0"/>
    <n v="7.5186331150873455E-5"/>
  </r>
  <r>
    <n v="17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962.274825719236"/>
    <x v="4"/>
    <m/>
    <m/>
    <d v="2017-01-16T00:00:00"/>
    <n v="4.3835616438356165E-2"/>
    <n v="1"/>
    <m/>
    <n v="1"/>
    <n v="1"/>
    <s v="11"/>
    <n v="0.01"/>
    <n v="83129.221399999995"/>
    <n v="175782.48139999999"/>
    <n v="27276.296712925785"/>
    <n v="92653.26"/>
    <m/>
    <n v="8312922.1399999997"/>
    <s v="DBK GR Equity"/>
    <x v="73"/>
    <n v="2.316331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2000000000"/>
    <m/>
    <s v="IDR"/>
    <n v="13473"/>
    <m/>
    <m/>
    <m/>
    <m/>
    <n v="0"/>
    <n v="0"/>
    <n v="0"/>
    <n v="0"/>
    <n v="0"/>
    <n v="6.8190741782314456E-5"/>
  </r>
  <r>
    <n v="18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8146.2557707279"/>
    <x v="4"/>
    <m/>
    <m/>
    <d v="2017-02-13T00:00:00"/>
    <n v="0.12054794520547946"/>
    <n v="1"/>
    <m/>
    <n v="1"/>
    <n v="1"/>
    <s v="11"/>
    <n v="0.01"/>
    <n v="83129.221399999995"/>
    <n v="83129.221399999995"/>
    <n v="12899.222325012075"/>
    <n v="-36027.300000000003"/>
    <m/>
    <n v="8312922.1399999997"/>
    <s v="DBK GR Equity"/>
    <x v="73"/>
    <n v="-9.006825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2000000000"/>
    <m/>
    <s v="IDR"/>
    <n v="13473"/>
    <m/>
    <m/>
    <m/>
    <m/>
    <n v="0"/>
    <n v="0"/>
    <n v="0"/>
    <n v="0"/>
    <n v="0"/>
    <n v="3.2248055812530189E-5"/>
  </r>
  <r>
    <n v="18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20418.97484383482"/>
    <x v="4"/>
    <m/>
    <m/>
    <d v="2017-05-15T00:00:00"/>
    <n v="0.36986301369863012"/>
    <n v="1"/>
    <m/>
    <n v="1"/>
    <n v="1"/>
    <s v="11"/>
    <n v="0.01"/>
    <n v="73480.293900000004"/>
    <n v="427613.34389999998"/>
    <n v="66353.076562171991"/>
    <n v="354133.05"/>
    <m/>
    <n v="7348029.3899999997"/>
    <s v="DBK GR Equity"/>
    <x v="73"/>
    <n v="8.853326249999999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99000000000"/>
    <m/>
    <s v="IDR"/>
    <n v="13473"/>
    <m/>
    <m/>
    <m/>
    <m/>
    <n v="0"/>
    <n v="0"/>
    <n v="0"/>
    <n v="0"/>
    <n v="0"/>
    <n v="1.6588269140542999E-4"/>
  </r>
  <r>
    <n v="182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1597.845801159907"/>
    <x v="4"/>
    <m/>
    <m/>
    <d v="2017-01-16T00:00:00"/>
    <n v="4.3835616438356165E-2"/>
    <n v="1"/>
    <m/>
    <n v="1"/>
    <n v="1"/>
    <s v="11"/>
    <n v="0.01"/>
    <n v="119187.8452"/>
    <n v="725129.20519999997"/>
    <n v="112518.83122093217"/>
    <n v="605941.36"/>
    <m/>
    <n v="11918784.52"/>
    <s v="56243Z LN Equity"/>
    <x v="74"/>
    <n v="1.514853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10000000"/>
    <m/>
    <s v="INR"/>
    <n v="67.959950000000006"/>
    <m/>
    <m/>
    <m/>
    <m/>
    <n v="0"/>
    <n v="0"/>
    <n v="0"/>
    <n v="0"/>
    <n v="0"/>
    <n v="2.8129707805233045E-4"/>
  </r>
  <r>
    <n v="183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76046.723210670491"/>
    <x v="4"/>
    <m/>
    <m/>
    <d v="2017-01-16T00:00:00"/>
    <n v="4.3835616438356165E-2"/>
    <n v="1"/>
    <m/>
    <n v="1"/>
    <n v="1"/>
    <s v="11"/>
    <n v="0.01"/>
    <n v="147145.48790000001"/>
    <n v="854252.28790000011"/>
    <n v="132554.95477637573"/>
    <n v="707106.8"/>
    <m/>
    <n v="14714548.789999999"/>
    <s v="56243Z LN Equity"/>
    <x v="74"/>
    <n v="1.7677670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00"/>
    <m/>
    <s v="INR"/>
    <n v="67.959950000000006"/>
    <m/>
    <m/>
    <m/>
    <m/>
    <n v="0"/>
    <n v="0"/>
    <n v="0"/>
    <n v="0"/>
    <n v="0"/>
    <n v="3.3138738694093935E-4"/>
  </r>
  <r>
    <n v="18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1597.845801159907"/>
    <x v="4"/>
    <m/>
    <m/>
    <d v="2017-01-16T00:00:00"/>
    <n v="4.3835616438356165E-2"/>
    <n v="1"/>
    <m/>
    <n v="1"/>
    <n v="1"/>
    <s v="11"/>
    <n v="0.01"/>
    <n v="119187.8452"/>
    <n v="725129.20519999997"/>
    <n v="112518.83122093217"/>
    <n v="605941.36"/>
    <m/>
    <n v="11918784.52"/>
    <s v="DBK GR Equity"/>
    <x v="74"/>
    <n v="1.514853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10000000"/>
    <m/>
    <s v="INR"/>
    <n v="67.959950000000006"/>
    <m/>
    <m/>
    <m/>
    <m/>
    <n v="0"/>
    <n v="0"/>
    <n v="0"/>
    <n v="0"/>
    <n v="0"/>
    <n v="2.8129707805233045E-4"/>
  </r>
  <r>
    <n v="18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6046.723210670491"/>
    <x v="4"/>
    <m/>
    <m/>
    <d v="2017-01-16T00:00:00"/>
    <n v="4.3835616438356165E-2"/>
    <n v="1"/>
    <m/>
    <n v="1"/>
    <n v="1"/>
    <s v="11"/>
    <n v="0.01"/>
    <n v="147145.48790000001"/>
    <n v="854252.28790000011"/>
    <n v="132554.95477637573"/>
    <n v="707106.8"/>
    <m/>
    <n v="14714548.789999999"/>
    <s v="DBK GR Equity"/>
    <x v="74"/>
    <n v="1.7677670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00"/>
    <m/>
    <s v="INR"/>
    <n v="67.959950000000006"/>
    <m/>
    <m/>
    <m/>
    <m/>
    <n v="0"/>
    <n v="0"/>
    <n v="0"/>
    <n v="0"/>
    <n v="0"/>
    <n v="3.3138738694093935E-4"/>
  </r>
  <r>
    <n v="18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103.686221874203"/>
    <x v="4"/>
    <m/>
    <m/>
    <d v="2017-02-13T00:00:00"/>
    <n v="0.12054794520547946"/>
    <n v="1"/>
    <m/>
    <n v="1"/>
    <n v="1"/>
    <s v="11"/>
    <n v="0.01"/>
    <n v="50029.465900000003"/>
    <n v="244539.0159"/>
    <n v="37945.298658045213"/>
    <n v="194509.55"/>
    <m/>
    <n v="5002946.59"/>
    <s v="DBK GR Equity"/>
    <x v="74"/>
    <n v="4.8627387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40000000"/>
    <m/>
    <s v="INR"/>
    <n v="67.959950000000006"/>
    <m/>
    <m/>
    <m/>
    <m/>
    <n v="0"/>
    <n v="0"/>
    <n v="0"/>
    <n v="0"/>
    <n v="0"/>
    <n v="9.4863246645113028E-5"/>
  </r>
  <r>
    <n v="18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7302.79103505032"/>
    <x v="4"/>
    <m/>
    <m/>
    <d v="2017-02-13T00:00:00"/>
    <n v="0.12054794520547946"/>
    <n v="1"/>
    <m/>
    <n v="1"/>
    <n v="1"/>
    <s v="11"/>
    <n v="0.01"/>
    <n v="117716.3903"/>
    <n v="568245.98030000005"/>
    <n v="88175.146016514162"/>
    <n v="450529.59"/>
    <m/>
    <n v="11771639.029999999"/>
    <s v="DBK GR Equity"/>
    <x v="74"/>
    <n v="1.1263239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00000000"/>
    <m/>
    <s v="INR"/>
    <n v="67.959950000000006"/>
    <m/>
    <m/>
    <m/>
    <m/>
    <n v="0"/>
    <n v="0"/>
    <n v="0"/>
    <n v="0"/>
    <n v="0"/>
    <n v="2.2043786504128541E-4"/>
  </r>
  <r>
    <n v="18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35474.077186621"/>
    <x v="4"/>
    <m/>
    <m/>
    <d v="2017-11-13T00:00:00"/>
    <n v="0.86849315068493149"/>
    <n v="1"/>
    <m/>
    <n v="1"/>
    <n v="1"/>
    <s v="11"/>
    <n v="0.01"/>
    <n v="120659.30009999999"/>
    <n v="138693.47009999998"/>
    <n v="21521.167595674302"/>
    <n v="18034.169999999998"/>
    <m/>
    <n v="12065930.01"/>
    <s v="DBK GR Equity"/>
    <x v="74"/>
    <n v="4.508542499999999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820000000"/>
    <m/>
    <s v="INR"/>
    <n v="67.959950000000006"/>
    <m/>
    <m/>
    <m/>
    <m/>
    <n v="0"/>
    <n v="0"/>
    <n v="0"/>
    <n v="0"/>
    <n v="0"/>
    <n v="5.3802918989185752E-5"/>
  </r>
  <r>
    <n v="18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35474.077186621"/>
    <x v="4"/>
    <m/>
    <m/>
    <d v="2017-11-13T00:00:00"/>
    <n v="0.86849315068493149"/>
    <n v="1"/>
    <m/>
    <n v="1"/>
    <n v="1"/>
    <s v="11"/>
    <n v="0.01"/>
    <n v="120659.30009999999"/>
    <n v="120659.30009999999"/>
    <n v="18722.792194589852"/>
    <n v="-36510.6"/>
    <m/>
    <n v="12065930.01"/>
    <s v="DBK GR Equity"/>
    <x v="74"/>
    <n v="-9.1276499999999993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820000000"/>
    <m/>
    <s v="INR"/>
    <n v="67.959950000000006"/>
    <m/>
    <m/>
    <m/>
    <m/>
    <n v="0"/>
    <n v="0"/>
    <n v="0"/>
    <n v="0"/>
    <n v="0"/>
    <n v="4.680698048647463E-5"/>
  </r>
  <r>
    <n v="19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65607.5906649667"/>
    <x v="4"/>
    <m/>
    <m/>
    <d v="2017-11-13T00:00:00"/>
    <n v="0.86849315068493149"/>
    <n v="1"/>
    <m/>
    <n v="1"/>
    <n v="1"/>
    <s v="11"/>
    <n v="0.01"/>
    <n v="123602.20980000001"/>
    <n v="123602.20980000001"/>
    <n v="19179.445653667419"/>
    <n v="-97238.95"/>
    <m/>
    <n v="12360220.98"/>
    <s v="DBK GR Equity"/>
    <x v="74"/>
    <n v="-2.4309737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40000000"/>
    <m/>
    <s v="INR"/>
    <n v="67.959950000000006"/>
    <m/>
    <m/>
    <m/>
    <m/>
    <n v="0"/>
    <n v="0"/>
    <n v="0"/>
    <n v="0"/>
    <n v="0"/>
    <n v="4.794861413416855E-5"/>
  </r>
  <r>
    <n v="19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46020.8069552388"/>
    <x v="4"/>
    <m/>
    <m/>
    <d v="2017-11-13T00:00:00"/>
    <n v="0.86849315068493149"/>
    <n v="1"/>
    <m/>
    <n v="1"/>
    <n v="1"/>
    <s v="11"/>
    <n v="0.01"/>
    <n v="121689.31849999999"/>
    <n v="121689.31849999999"/>
    <n v="18882.620906042855"/>
    <n v="-63680.4"/>
    <m/>
    <n v="12168931.85"/>
    <s v="DBK GR Equity"/>
    <x v="74"/>
    <n v="-1.59201000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27000000"/>
    <m/>
    <s v="INR"/>
    <n v="67.959950000000006"/>
    <m/>
    <m/>
    <m/>
    <m/>
    <n v="0"/>
    <n v="0"/>
    <n v="0"/>
    <n v="0"/>
    <n v="0"/>
    <n v="4.7206552265107142E-5"/>
  </r>
  <r>
    <n v="19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50540.8344377619"/>
    <x v="4"/>
    <m/>
    <m/>
    <d v="2017-11-13T00:00:00"/>
    <n v="0.86849315068493149"/>
    <n v="1"/>
    <m/>
    <n v="1"/>
    <n v="1"/>
    <s v="11"/>
    <n v="0.01"/>
    <n v="122130.755"/>
    <n v="122130.755"/>
    <n v="18951.118931887173"/>
    <n v="-72360.259999999995"/>
    <m/>
    <n v="12213075.5"/>
    <s v="DBK GR Equity"/>
    <x v="74"/>
    <n v="-1.809006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30000000"/>
    <m/>
    <s v="INR"/>
    <n v="67.959950000000006"/>
    <m/>
    <m/>
    <m/>
    <m/>
    <n v="0"/>
    <n v="0"/>
    <n v="0"/>
    <n v="0"/>
    <n v="0"/>
    <n v="4.7377797329717933E-5"/>
  </r>
  <r>
    <n v="19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50540.8344377619"/>
    <x v="4"/>
    <m/>
    <m/>
    <d v="2017-11-13T00:00:00"/>
    <n v="0.86849315068493149"/>
    <n v="1"/>
    <m/>
    <n v="1"/>
    <n v="1"/>
    <s v="11"/>
    <n v="0.01"/>
    <n v="122130.755"/>
    <n v="122130.755"/>
    <n v="18951.118931887173"/>
    <n v="-55474.58"/>
    <m/>
    <n v="12213075.5"/>
    <s v="DBK GR Equity"/>
    <x v="74"/>
    <n v="-1.386864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30000000"/>
    <m/>
    <s v="INR"/>
    <n v="67.959950000000006"/>
    <m/>
    <m/>
    <m/>
    <m/>
    <n v="0"/>
    <n v="0"/>
    <n v="0"/>
    <n v="0"/>
    <n v="0"/>
    <n v="4.7377797329717933E-5"/>
  </r>
  <r>
    <n v="19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50540.8344377619"/>
    <x v="4"/>
    <m/>
    <m/>
    <d v="2017-11-13T00:00:00"/>
    <n v="0.86849315068493149"/>
    <n v="1"/>
    <m/>
    <n v="1"/>
    <n v="1"/>
    <s v="11"/>
    <n v="0.01"/>
    <n v="122130.755"/>
    <n v="122130.755"/>
    <n v="18951.118931887173"/>
    <n v="-6777.21"/>
    <m/>
    <n v="12213075.5"/>
    <s v="DBK GR Equity"/>
    <x v="74"/>
    <n v="-1.694302499999999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830000000"/>
    <m/>
    <s v="INR"/>
    <n v="67.959950000000006"/>
    <m/>
    <m/>
    <m/>
    <m/>
    <n v="0"/>
    <n v="0"/>
    <n v="0"/>
    <n v="0"/>
    <n v="0"/>
    <n v="4.7377797329717933E-5"/>
  </r>
  <r>
    <n v="19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47527.4827827464"/>
    <x v="4"/>
    <m/>
    <m/>
    <d v="2017-11-13T00:00:00"/>
    <n v="0.86849315068493149"/>
    <n v="1"/>
    <m/>
    <n v="1"/>
    <n v="1"/>
    <s v="11"/>
    <n v="0.01"/>
    <n v="121836.46400000001"/>
    <n v="121836.46400000001"/>
    <n v="18905.453581324295"/>
    <n v="-16779.080000000002"/>
    <m/>
    <n v="12183646.4"/>
    <s v="DBK GR Equity"/>
    <x v="74"/>
    <n v="-4.194770000000000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828000000"/>
    <m/>
    <s v="INR"/>
    <n v="67.959950000000006"/>
    <m/>
    <m/>
    <m/>
    <m/>
    <n v="0"/>
    <n v="0"/>
    <n v="0"/>
    <n v="0"/>
    <n v="0"/>
    <n v="4.7263633953310736E-5"/>
  </r>
  <r>
    <n v="19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05343.4445238744"/>
    <x v="4"/>
    <m/>
    <m/>
    <d v="2017-12-18T00:00:00"/>
    <n v="0.96438356164383565"/>
    <n v="1"/>
    <m/>
    <n v="1"/>
    <n v="1"/>
    <s v="11"/>
    <n v="0.01"/>
    <n v="123602.20980000001"/>
    <n v="133758.15980000002"/>
    <n v="20755.351872508854"/>
    <n v="10155.950000000001"/>
    <m/>
    <n v="12360220.98"/>
    <s v="DBK GR Equity"/>
    <x v="74"/>
    <n v="2.5389875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840000000"/>
    <m/>
    <s v="INR"/>
    <n v="67.959950000000006"/>
    <m/>
    <m/>
    <m/>
    <m/>
    <n v="0"/>
    <n v="0"/>
    <n v="0"/>
    <n v="0"/>
    <n v="0"/>
    <n v="5.1888379681272135E-5"/>
  </r>
  <r>
    <n v="19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80691.21405818505"/>
    <x v="4"/>
    <m/>
    <m/>
    <d v="2017-02-15T00:00:00"/>
    <n v="0.12602739726027398"/>
    <n v="1"/>
    <m/>
    <n v="1"/>
    <n v="1"/>
    <s v="11"/>
    <n v="0.01"/>
    <n v="256213.16940000001"/>
    <n v="256213.16940000001"/>
    <n v="39756.785628772668"/>
    <n v="-3080212.94"/>
    <m/>
    <n v="25621316.940000001"/>
    <s v="DBK GR Equity"/>
    <x v="75"/>
    <n v="-7.7005323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00"/>
    <m/>
    <s v="JPY"/>
    <n v="117.09"/>
    <m/>
    <m/>
    <m/>
    <m/>
    <n v="0"/>
    <n v="0"/>
    <n v="0"/>
    <n v="0"/>
    <n v="0"/>
    <n v="9.9391964071931672E-5"/>
  </r>
  <r>
    <n v="19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80691.21405818505"/>
    <x v="4"/>
    <m/>
    <m/>
    <d v="2017-02-15T00:00:00"/>
    <n v="0.12602739726027398"/>
    <n v="1"/>
    <m/>
    <n v="1"/>
    <n v="1"/>
    <s v="11"/>
    <n v="0.01"/>
    <n v="256213.16940000001"/>
    <n v="256213.16940000001"/>
    <n v="39756.785628772668"/>
    <n v="-3259652.21"/>
    <m/>
    <n v="25621316.940000001"/>
    <s v="DBK GR Equity"/>
    <x v="75"/>
    <n v="-8.149130524999999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00"/>
    <m/>
    <s v="JPY"/>
    <n v="117.09"/>
    <m/>
    <m/>
    <m/>
    <m/>
    <n v="0"/>
    <n v="0"/>
    <n v="0"/>
    <n v="0"/>
    <n v="0"/>
    <n v="9.9391964071931672E-5"/>
  </r>
  <r>
    <n v="19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80691.21405818505"/>
    <x v="4"/>
    <m/>
    <m/>
    <d v="2017-02-15T00:00:00"/>
    <n v="0.12602739726027398"/>
    <n v="1"/>
    <m/>
    <n v="1"/>
    <n v="1"/>
    <s v="11"/>
    <n v="0.01"/>
    <n v="256213.16940000001"/>
    <n v="256213.16940000001"/>
    <n v="39756.785628772668"/>
    <n v="-3603957.7"/>
    <m/>
    <n v="25621316.940000001"/>
    <s v="DBK GR Equity"/>
    <x v="75"/>
    <n v="-9.009894250000000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00"/>
    <m/>
    <s v="JPY"/>
    <n v="117.09"/>
    <m/>
    <m/>
    <m/>
    <m/>
    <n v="0"/>
    <n v="0"/>
    <n v="0"/>
    <n v="0"/>
    <n v="0"/>
    <n v="9.9391964071931672E-5"/>
  </r>
  <r>
    <n v="20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89325.32261884381"/>
    <x v="4"/>
    <m/>
    <m/>
    <d v="2017-02-15T00:00:00"/>
    <n v="0.12602739726027398"/>
    <n v="1"/>
    <m/>
    <n v="1"/>
    <n v="1"/>
    <s v="11"/>
    <n v="0.01"/>
    <n v="194722.00870000001"/>
    <n v="194722.00870000001"/>
    <n v="30215.157071039714"/>
    <n v="-2494326.7799999998"/>
    <m/>
    <n v="19472200.870000001"/>
    <s v="DBK GR Equity"/>
    <x v="75"/>
    <n v="-6.235816949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80000000"/>
    <m/>
    <s v="JPY"/>
    <n v="117.09"/>
    <m/>
    <m/>
    <m/>
    <m/>
    <n v="0"/>
    <n v="0"/>
    <n v="0"/>
    <n v="0"/>
    <n v="0"/>
    <n v="7.5537892677599285E-5"/>
  </r>
  <r>
    <n v="201"/>
    <s v="MERRILL LYNCH IN"/>
    <s v="FX Forward"/>
    <s v="1"/>
    <s v="Brokers"/>
    <m/>
    <s v="A+"/>
    <m/>
    <s v="A"/>
    <s v="A"/>
    <n v="0"/>
    <s v="A"/>
    <n v="8.0000000000000002E-3"/>
    <s v=""/>
    <n v="8.0000000000000002E-3"/>
    <n v="8.0000000000000002E-3"/>
    <n v="449105.28716580558"/>
    <x v="4"/>
    <m/>
    <m/>
    <d v="2017-03-15T00:00:00"/>
    <n v="0.20273972602739726"/>
    <n v="1"/>
    <m/>
    <n v="1"/>
    <n v="1"/>
    <s v="11"/>
    <n v="0.01"/>
    <n v="187889.6575"/>
    <n v="187889.6575"/>
    <n v="29154.976118456376"/>
    <n v="-1396676.04"/>
    <m/>
    <n v="18788965.75"/>
    <s v="1128007Z LN Equity"/>
    <x v="75"/>
    <n v="-3.49169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00"/>
    <m/>
    <s v="JPY"/>
    <n v="117.09"/>
    <m/>
    <m/>
    <m/>
    <m/>
    <n v="0"/>
    <n v="0"/>
    <n v="0"/>
    <n v="0"/>
    <n v="0"/>
    <n v="7.2887440296140945E-5"/>
  </r>
  <r>
    <n v="20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16555.06759592134"/>
    <x v="4"/>
    <m/>
    <m/>
    <d v="2017-03-15T00:00:00"/>
    <n v="0.20273972602739726"/>
    <n v="1"/>
    <m/>
    <n v="1"/>
    <n v="1"/>
    <s v="11"/>
    <n v="0.01"/>
    <n v="341617.55909999995"/>
    <n v="341617.55909999995"/>
    <n v="53009.047489513141"/>
    <n v="-1044872.7"/>
    <m/>
    <n v="34161755.909999996"/>
    <s v="DBK GR Equity"/>
    <x v="75"/>
    <n v="-2.6121817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000000000"/>
    <m/>
    <s v="JPY"/>
    <n v="117.09"/>
    <m/>
    <m/>
    <m/>
    <m/>
    <n v="0"/>
    <n v="0"/>
    <n v="0"/>
    <n v="0"/>
    <n v="0"/>
    <n v="1.3252261872378286E-4"/>
  </r>
  <r>
    <n v="20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87251.24079977674"/>
    <x v="4"/>
    <m/>
    <m/>
    <d v="2017-03-15T00:00:00"/>
    <n v="0.20273972602739726"/>
    <n v="1"/>
    <m/>
    <n v="1"/>
    <n v="1"/>
    <s v="11"/>
    <n v="0.01"/>
    <n v="162012.1274"/>
    <n v="162012.1274"/>
    <n v="25139.540771408942"/>
    <n v="-495530.88"/>
    <m/>
    <n v="16201212.74"/>
    <s v="DBK GR Equity"/>
    <x v="75"/>
    <n v="-1.2388271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97000000"/>
    <m/>
    <s v="JPY"/>
    <n v="117.09"/>
    <m/>
    <m/>
    <m/>
    <m/>
    <n v="0"/>
    <n v="0"/>
    <n v="0"/>
    <n v="0"/>
    <n v="0"/>
    <n v="6.2848851928522348E-5"/>
  </r>
  <r>
    <n v="20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61521.5880420161"/>
    <x v="4"/>
    <m/>
    <m/>
    <d v="2017-03-15T00:00:00"/>
    <n v="0.20273972602739726"/>
    <n v="1"/>
    <m/>
    <n v="1"/>
    <n v="1"/>
    <s v="11"/>
    <n v="0.01"/>
    <n v="444102.82689999999"/>
    <n v="444102.82689999999"/>
    <n v="68911.761747229044"/>
    <n v="-1214708.6599999999"/>
    <m/>
    <n v="44410282.689999998"/>
    <s v="DBK GR Equity"/>
    <x v="75"/>
    <n v="-3.036771649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200000000"/>
    <m/>
    <s v="JPY"/>
    <n v="117.09"/>
    <m/>
    <m/>
    <m/>
    <m/>
    <n v="0"/>
    <n v="0"/>
    <n v="0"/>
    <n v="0"/>
    <n v="0"/>
    <n v="1.7227940436807262E-4"/>
  </r>
  <r>
    <n v="20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84785.2392300589"/>
    <x v="4"/>
    <m/>
    <m/>
    <d v="2017-03-15T00:00:00"/>
    <n v="0.20273972602739726"/>
    <n v="1"/>
    <m/>
    <n v="1"/>
    <n v="1"/>
    <s v="11"/>
    <n v="0.01"/>
    <n v="746690.57990000001"/>
    <n v="746690.57990000001"/>
    <n v="115864.52556528208"/>
    <n v="-2291337.34"/>
    <m/>
    <n v="74669057.989999995"/>
    <s v="DBK GR Equity"/>
    <x v="75"/>
    <n v="-5.72834334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743000000"/>
    <m/>
    <s v="JPY"/>
    <n v="117.09"/>
    <m/>
    <m/>
    <m/>
    <m/>
    <n v="0"/>
    <n v="0"/>
    <n v="0"/>
    <n v="0"/>
    <n v="0"/>
    <n v="2.8966131391320519E-4"/>
  </r>
  <r>
    <n v="20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77796.69782695815"/>
    <x v="4"/>
    <m/>
    <m/>
    <d v="2017-03-15T00:00:00"/>
    <n v="0.20273972602739726"/>
    <n v="1"/>
    <m/>
    <n v="1"/>
    <n v="1"/>
    <s v="11"/>
    <n v="0.01"/>
    <n v="367238.87609999999"/>
    <n v="645538.12609999999"/>
    <n v="100168.62503460883"/>
    <n v="278299.25"/>
    <m/>
    <n v="36723887.609999999"/>
    <s v="DBK GR Equity"/>
    <x v="75"/>
    <n v="6.9574812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4300000000"/>
    <m/>
    <s v="JPY"/>
    <n v="117.09"/>
    <m/>
    <m/>
    <m/>
    <m/>
    <n v="0"/>
    <n v="0"/>
    <n v="0"/>
    <n v="0"/>
    <n v="0"/>
    <n v="2.5042156258652209E-4"/>
  </r>
  <r>
    <n v="20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77796.69782695815"/>
    <x v="4"/>
    <m/>
    <m/>
    <d v="2017-03-15T00:00:00"/>
    <n v="0.20273972602739726"/>
    <n v="1"/>
    <m/>
    <n v="1"/>
    <n v="1"/>
    <s v="11"/>
    <n v="0.01"/>
    <n v="367238.87609999999"/>
    <n v="552184.82609999995"/>
    <n v="85682.924925867643"/>
    <n v="184945.95"/>
    <m/>
    <n v="36723887.609999999"/>
    <s v="DBK GR Equity"/>
    <x v="75"/>
    <n v="4.62364875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4300000000"/>
    <m/>
    <s v="JPY"/>
    <n v="117.09"/>
    <m/>
    <m/>
    <m/>
    <m/>
    <n v="0"/>
    <n v="0"/>
    <n v="0"/>
    <n v="0"/>
    <n v="0"/>
    <n v="2.1420731231466911E-4"/>
  </r>
  <r>
    <n v="20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18624.45107528986"/>
    <x v="4"/>
    <m/>
    <m/>
    <d v="2017-03-15T00:00:00"/>
    <n v="0.20273972602739726"/>
    <n v="1"/>
    <m/>
    <n v="1"/>
    <n v="1"/>
    <s v="11"/>
    <n v="0.01"/>
    <n v="384319.75400000002"/>
    <n v="525405.45400000003"/>
    <n v="81527.550093472979"/>
    <n v="141085.70000000001"/>
    <m/>
    <n v="38431975.399999999"/>
    <s v="DBK GR Equity"/>
    <x v="75"/>
    <n v="3.527142500000000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4500000000"/>
    <m/>
    <s v="JPY"/>
    <n v="117.09"/>
    <m/>
    <m/>
    <m/>
    <m/>
    <n v="0"/>
    <n v="0"/>
    <n v="0"/>
    <n v="0"/>
    <n v="0"/>
    <n v="2.0381887523368244E-4"/>
  </r>
  <r>
    <n v="20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55179.1915573259"/>
    <x v="4"/>
    <m/>
    <m/>
    <d v="2017-07-19T00:00:00"/>
    <n v="0.54794520547945202"/>
    <n v="1"/>
    <m/>
    <n v="1"/>
    <n v="1"/>
    <s v="11"/>
    <n v="0.01"/>
    <n v="256213.16940000001"/>
    <n v="256213.16940000001"/>
    <n v="39756.785628772668"/>
    <n v="-631863.19999999995"/>
    <m/>
    <n v="25621316.940000001"/>
    <s v="DBK GR Equity"/>
    <x v="75"/>
    <n v="-1.57965799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00"/>
    <m/>
    <s v="JPY"/>
    <n v="117.09"/>
    <m/>
    <m/>
    <m/>
    <m/>
    <n v="0"/>
    <n v="0"/>
    <n v="0"/>
    <n v="0"/>
    <n v="0"/>
    <n v="9.9391964071931672E-5"/>
  </r>
  <r>
    <n v="21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06905.5880970843"/>
    <x v="4"/>
    <m/>
    <m/>
    <d v="2017-07-19T00:00:00"/>
    <n v="0.54794520547945202"/>
    <n v="1"/>
    <m/>
    <n v="1"/>
    <n v="1"/>
    <s v="11"/>
    <n v="0.01"/>
    <n v="341617.55909999995"/>
    <n v="341617.55909999995"/>
    <n v="53009.047489513141"/>
    <n v="-876906.15"/>
    <m/>
    <n v="34161755.909999996"/>
    <s v="DBK GR Equity"/>
    <x v="75"/>
    <n v="-2.1922653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000000000"/>
    <m/>
    <s v="JPY"/>
    <n v="117.09"/>
    <m/>
    <m/>
    <m/>
    <m/>
    <n v="0"/>
    <n v="0"/>
    <n v="0"/>
    <n v="0"/>
    <n v="0"/>
    <n v="1.3252261872378286E-4"/>
  </r>
  <r>
    <n v="21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55179.1915573259"/>
    <x v="4"/>
    <m/>
    <m/>
    <d v="2017-07-19T00:00:00"/>
    <n v="0.54794520547945202"/>
    <n v="1"/>
    <m/>
    <n v="1"/>
    <n v="1"/>
    <s v="11"/>
    <n v="0.01"/>
    <n v="256213.16940000001"/>
    <n v="256213.16940000001"/>
    <n v="39756.785628772668"/>
    <n v="-772582.40000000002"/>
    <m/>
    <n v="25621316.940000001"/>
    <s v="DBK GR Equity"/>
    <x v="75"/>
    <n v="-1.93145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00"/>
    <m/>
    <s v="JPY"/>
    <n v="117.09"/>
    <m/>
    <m/>
    <m/>
    <m/>
    <n v="0"/>
    <n v="0"/>
    <n v="0"/>
    <n v="0"/>
    <n v="0"/>
    <n v="9.9391964071931672E-5"/>
  </r>
  <r>
    <n v="21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95185.087708307"/>
    <x v="4"/>
    <m/>
    <m/>
    <d v="2017-07-19T00:00:00"/>
    <n v="0.54794520547945202"/>
    <n v="1"/>
    <m/>
    <n v="1"/>
    <n v="1"/>
    <s v="11"/>
    <n v="0.01"/>
    <n v="479118.62670000002"/>
    <n v="479118.62670000002"/>
    <n v="74345.189113701563"/>
    <n v="-1350964.86"/>
    <m/>
    <n v="47911862.670000002"/>
    <s v="DBK GR Equity"/>
    <x v="75"/>
    <n v="-3.3774121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610000000"/>
    <m/>
    <s v="JPY"/>
    <n v="117.09"/>
    <m/>
    <m/>
    <m/>
    <m/>
    <n v="0"/>
    <n v="0"/>
    <n v="0"/>
    <n v="0"/>
    <n v="0"/>
    <n v="1.8586297278425391E-4"/>
  </r>
  <r>
    <n v="21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06905.5880970843"/>
    <x v="4"/>
    <m/>
    <m/>
    <d v="2017-07-19T00:00:00"/>
    <n v="0.54794520547945202"/>
    <n v="1"/>
    <m/>
    <n v="1"/>
    <n v="1"/>
    <s v="11"/>
    <n v="0.01"/>
    <n v="341617.55909999995"/>
    <n v="341617.55909999995"/>
    <n v="53009.047489513141"/>
    <n v="-1039906.96"/>
    <m/>
    <n v="34161755.909999996"/>
    <s v="DBK GR Equity"/>
    <x v="75"/>
    <n v="-2.5997673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000000000"/>
    <m/>
    <s v="JPY"/>
    <n v="117.09"/>
    <m/>
    <m/>
    <m/>
    <m/>
    <n v="0"/>
    <n v="0"/>
    <n v="0"/>
    <n v="0"/>
    <n v="0"/>
    <n v="1.3252261872378286E-4"/>
  </r>
  <r>
    <n v="214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332.338583660712"/>
    <x v="4"/>
    <m/>
    <m/>
    <d v="2017-01-16T00:00:00"/>
    <n v="4.3835616438356165E-2"/>
    <n v="1"/>
    <m/>
    <n v="1"/>
    <n v="1"/>
    <s v="11"/>
    <n v="0.01"/>
    <n v="120609.04119999999"/>
    <n v="220961.0312"/>
    <n v="34286.685459232867"/>
    <n v="100351.99"/>
    <m/>
    <n v="12060904.119999999"/>
    <s v="56243Z LN Equity"/>
    <x v="76"/>
    <n v="2.50879975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567160000"/>
    <m/>
    <s v="KRW"/>
    <n v="1207.8"/>
    <m/>
    <m/>
    <m/>
    <m/>
    <n v="0"/>
    <n v="0"/>
    <n v="0"/>
    <n v="0"/>
    <n v="0"/>
    <n v="8.5716713648082175E-5"/>
  </r>
  <r>
    <n v="215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59248.66999999998"/>
    <n v="24710.73305749115"/>
    <n v="39248.67"/>
    <m/>
    <n v="12000000"/>
    <s v="56243Z LN Equity"/>
    <x v="76"/>
    <n v="9.812167499999999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493600000"/>
    <m/>
    <s v="KRW"/>
    <n v="1207.8"/>
    <m/>
    <m/>
    <m/>
    <m/>
    <n v="0"/>
    <n v="0"/>
    <n v="0"/>
    <n v="0"/>
    <n v="0"/>
    <n v="6.1776832643727878E-5"/>
  </r>
  <r>
    <n v="216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618.344480007894"/>
    <x v="4"/>
    <m/>
    <m/>
    <d v="2017-01-16T00:00:00"/>
    <n v="4.3835616438356165E-2"/>
    <n v="1"/>
    <m/>
    <n v="1"/>
    <n v="1"/>
    <s v="11"/>
    <n v="0.01"/>
    <n v="121162.44410000001"/>
    <n v="277035.72409999999"/>
    <n v="42987.836731219599"/>
    <n v="155873.28"/>
    <m/>
    <n v="12116244.41"/>
    <s v="56243Z LN Equity"/>
    <x v="76"/>
    <n v="3.89683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634000000"/>
    <m/>
    <s v="KRW"/>
    <n v="1207.8"/>
    <m/>
    <m/>
    <m/>
    <m/>
    <n v="0"/>
    <n v="0"/>
    <n v="0"/>
    <n v="0"/>
    <n v="0"/>
    <n v="1.0746959182804899E-4"/>
  </r>
  <r>
    <n v="217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148.514347719916"/>
    <x v="4"/>
    <m/>
    <m/>
    <d v="2017-01-16T00:00:00"/>
    <n v="4.3835616438356165E-2"/>
    <n v="1"/>
    <m/>
    <n v="1"/>
    <n v="1"/>
    <s v="11"/>
    <n v="0.01"/>
    <n v="120253.35320000001"/>
    <n v="184920.20320000002"/>
    <n v="28694.203714305568"/>
    <n v="64666.85"/>
    <m/>
    <n v="12025335.32"/>
    <s v="56243Z LN Equity"/>
    <x v="76"/>
    <n v="1.6166712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524200000"/>
    <m/>
    <s v="KRW"/>
    <n v="1207.8"/>
    <m/>
    <m/>
    <m/>
    <m/>
    <n v="0"/>
    <n v="0"/>
    <n v="0"/>
    <n v="0"/>
    <n v="0"/>
    <n v="7.1735509285763915E-5"/>
  </r>
  <r>
    <n v="218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1419.37905706434"/>
    <x v="4"/>
    <m/>
    <m/>
    <d v="2017-01-16T00:00:00"/>
    <n v="4.3835616438356165E-2"/>
    <n v="1"/>
    <m/>
    <n v="1"/>
    <n v="1"/>
    <s v="11"/>
    <n v="0.01"/>
    <n v="118842.5236"/>
    <n v="118842.5236"/>
    <n v="18440.881651056756"/>
    <n v="-76877.55"/>
    <m/>
    <n v="11884252.359999999"/>
    <s v="56243Z LN Equity"/>
    <x v="76"/>
    <n v="-1.9219387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353800000"/>
    <m/>
    <s v="KRW"/>
    <n v="1207.8"/>
    <m/>
    <m/>
    <m/>
    <m/>
    <n v="0"/>
    <n v="0"/>
    <n v="0"/>
    <n v="0"/>
    <n v="0"/>
    <n v="4.6102204127641887E-5"/>
  </r>
  <r>
    <n v="219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1368.031499928562"/>
    <x v="4"/>
    <m/>
    <m/>
    <d v="2017-01-16T00:00:00"/>
    <n v="4.3835616438356165E-2"/>
    <n v="1"/>
    <m/>
    <n v="1"/>
    <n v="1"/>
    <s v="11"/>
    <n v="0.01"/>
    <n v="118743.1694"/>
    <n v="118743.1694"/>
    <n v="18425.464786888657"/>
    <n v="-86845.47"/>
    <m/>
    <n v="11874316.939999999"/>
    <s v="56243Z LN Equity"/>
    <x v="76"/>
    <n v="-2.17113674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341800000"/>
    <m/>
    <s v="KRW"/>
    <n v="1207.8"/>
    <m/>
    <m/>
    <m/>
    <m/>
    <n v="0"/>
    <n v="0"/>
    <n v="0"/>
    <n v="0"/>
    <n v="0"/>
    <n v="4.6063661967221641E-5"/>
  </r>
  <r>
    <n v="220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089.464672518145"/>
    <x v="4"/>
    <m/>
    <m/>
    <d v="2017-01-16T00:00:00"/>
    <n v="4.3835616438356165E-2"/>
    <n v="1"/>
    <m/>
    <n v="1"/>
    <n v="1"/>
    <s v="11"/>
    <n v="0.01"/>
    <n v="120139.0959"/>
    <n v="173342.84590000001"/>
    <n v="26897.736681007915"/>
    <n v="53203.75"/>
    <m/>
    <n v="12013909.59"/>
    <s v="56243Z LN Equity"/>
    <x v="76"/>
    <n v="1.3300937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510400000"/>
    <m/>
    <s v="KRW"/>
    <n v="1207.8"/>
    <m/>
    <m/>
    <m/>
    <m/>
    <n v="0"/>
    <n v="0"/>
    <n v="0"/>
    <n v="0"/>
    <n v="0"/>
    <n v="6.724434170251979E-5"/>
  </r>
  <r>
    <n v="22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3394.912814234325"/>
    <x v="4"/>
    <m/>
    <m/>
    <d v="2017-01-16T00:00:00"/>
    <n v="4.3835616438356165E-2"/>
    <n v="1"/>
    <m/>
    <n v="1"/>
    <n v="1"/>
    <s v="11"/>
    <n v="0.01"/>
    <n v="142014.40640000001"/>
    <n v="142014.40640000001"/>
    <n v="22036.479719852374"/>
    <n v="-752110.39"/>
    <m/>
    <n v="14201440.640000001"/>
    <s v="DBK GR Equity"/>
    <x v="76"/>
    <n v="-1.88027597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152500000"/>
    <m/>
    <s v="KRW"/>
    <n v="1207.8"/>
    <m/>
    <m/>
    <m/>
    <m/>
    <n v="0"/>
    <n v="0"/>
    <n v="0"/>
    <n v="0"/>
    <n v="0"/>
    <n v="5.5091199299630935E-5"/>
  </r>
  <r>
    <n v="22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3343.565257098526"/>
    <x v="4"/>
    <m/>
    <m/>
    <d v="2017-01-16T00:00:00"/>
    <n v="4.3835616438356165E-2"/>
    <n v="1"/>
    <m/>
    <n v="1"/>
    <n v="1"/>
    <s v="11"/>
    <n v="0.01"/>
    <n v="141915.05220000001"/>
    <n v="141915.05220000001"/>
    <n v="22021.062855684275"/>
    <n v="-762078.31"/>
    <m/>
    <n v="14191505.220000001"/>
    <s v="DBK GR Equity"/>
    <x v="76"/>
    <n v="-1.90519577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140500000"/>
    <m/>
    <s v="KRW"/>
    <n v="1207.8"/>
    <m/>
    <m/>
    <m/>
    <m/>
    <n v="0"/>
    <n v="0"/>
    <n v="0"/>
    <n v="0"/>
    <n v="0"/>
    <n v="5.505265713921069E-5"/>
  </r>
  <r>
    <n v="22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3362.820578104132"/>
    <x v="4"/>
    <m/>
    <m/>
    <d v="2017-01-16T00:00:00"/>
    <n v="4.3835616438356165E-2"/>
    <n v="1"/>
    <m/>
    <n v="1"/>
    <n v="1"/>
    <s v="11"/>
    <n v="0.01"/>
    <n v="141952.31"/>
    <n v="141952.31"/>
    <n v="22026.844175868042"/>
    <n v="-758340.34"/>
    <m/>
    <n v="14195231"/>
    <s v="DBK GR Equity"/>
    <x v="76"/>
    <n v="-1.8958508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145000000"/>
    <m/>
    <s v="KRW"/>
    <n v="1207.8"/>
    <m/>
    <m/>
    <m/>
    <m/>
    <n v="0"/>
    <n v="0"/>
    <n v="0"/>
    <n v="0"/>
    <n v="0"/>
    <n v="5.5067110439670104E-5"/>
  </r>
  <r>
    <n v="22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7855.9912564971"/>
    <x v="4"/>
    <m/>
    <m/>
    <d v="2017-01-16T00:00:00"/>
    <n v="4.3835616438356165E-2"/>
    <n v="1"/>
    <m/>
    <n v="1"/>
    <n v="1"/>
    <s v="11"/>
    <n v="0.01"/>
    <n v="228043.71579999998"/>
    <n v="228043.71579999998"/>
    <n v="35385.710829309763"/>
    <n v="-1121041.6499999999"/>
    <m/>
    <n v="22804371.579999998"/>
    <s v="DBK GR Equity"/>
    <x v="76"/>
    <n v="-2.802604124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7543120000"/>
    <m/>
    <s v="KRW"/>
    <n v="1207.8"/>
    <m/>
    <m/>
    <m/>
    <m/>
    <n v="0"/>
    <n v="0"/>
    <n v="0"/>
    <n v="0"/>
    <n v="0"/>
    <n v="8.8464277073274411E-5"/>
  </r>
  <r>
    <n v="22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7873.44946313383"/>
    <x v="4"/>
    <m/>
    <m/>
    <d v="2017-01-16T00:00:00"/>
    <n v="4.3835616438356165E-2"/>
    <n v="1"/>
    <m/>
    <n v="1"/>
    <n v="1"/>
    <s v="11"/>
    <n v="0.01"/>
    <n v="228077.4963"/>
    <n v="228077.4963"/>
    <n v="35390.952574299212"/>
    <n v="-1117652.56"/>
    <m/>
    <n v="22807749.629999999"/>
    <s v="DBK GR Equity"/>
    <x v="76"/>
    <n v="-2.7941314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7547200000"/>
    <m/>
    <s v="KRW"/>
    <n v="1207.8"/>
    <m/>
    <m/>
    <m/>
    <m/>
    <n v="0"/>
    <n v="0"/>
    <n v="0"/>
    <n v="0"/>
    <n v="0"/>
    <n v="8.8477381435748032E-5"/>
  </r>
  <r>
    <n v="22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2105.55777795509"/>
    <x v="4"/>
    <m/>
    <m/>
    <d v="2017-01-16T00:00:00"/>
    <n v="4.3835616438356165E-2"/>
    <n v="1"/>
    <m/>
    <n v="1"/>
    <n v="1"/>
    <s v="11"/>
    <n v="0.01"/>
    <n v="236266.35199999998"/>
    <n v="236266.35199999998"/>
    <n v="36661.623326205743"/>
    <n v="-1296088.6299999999"/>
    <m/>
    <n v="23626635.199999999"/>
    <s v="DBK GR Equity"/>
    <x v="76"/>
    <n v="-3.240221574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536250000"/>
    <m/>
    <s v="KRW"/>
    <n v="1207.8"/>
    <m/>
    <m/>
    <m/>
    <m/>
    <n v="0"/>
    <n v="0"/>
    <n v="0"/>
    <n v="0"/>
    <n v="0"/>
    <n v="9.1654058315514364E-5"/>
  </r>
  <r>
    <n v="22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2135.51056268539"/>
    <x v="4"/>
    <m/>
    <m/>
    <d v="2017-01-16T00:00:00"/>
    <n v="4.3835616438356165E-2"/>
    <n v="1"/>
    <m/>
    <n v="1"/>
    <n v="1"/>
    <s v="11"/>
    <n v="0.01"/>
    <n v="236324.30870000002"/>
    <n v="236324.30870000002"/>
    <n v="36670.616509901367"/>
    <n v="-1290274.01"/>
    <m/>
    <n v="23632430.870000001"/>
    <s v="DBK GR Equity"/>
    <x v="76"/>
    <n v="-3.2256850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543250000"/>
    <m/>
    <s v="KRW"/>
    <n v="1207.8"/>
    <m/>
    <m/>
    <m/>
    <m/>
    <n v="0"/>
    <n v="0"/>
    <n v="0"/>
    <n v="0"/>
    <n v="0"/>
    <n v="9.167654127475342E-5"/>
  </r>
  <r>
    <n v="22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8239.982611744446"/>
    <x v="4"/>
    <m/>
    <m/>
    <d v="2017-01-16T00:00:00"/>
    <n v="4.3835616438356165E-2"/>
    <n v="1"/>
    <m/>
    <n v="1"/>
    <n v="1"/>
    <s v="11"/>
    <n v="0.01"/>
    <n v="151389.30289999998"/>
    <n v="151389.30289999998"/>
    <n v="23491.189293584495"/>
    <n v="-811554.48"/>
    <m/>
    <n v="15138930.289999999"/>
    <s v="DBK GR Equity"/>
    <x v="76"/>
    <n v="-2.02888619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284800000"/>
    <m/>
    <s v="KRW"/>
    <n v="1207.8"/>
    <m/>
    <m/>
    <m/>
    <m/>
    <n v="0"/>
    <n v="0"/>
    <n v="0"/>
    <n v="0"/>
    <n v="0"/>
    <n v="5.8727973233961237E-5"/>
  </r>
  <r>
    <n v="22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6632.96161120094"/>
    <x v="4"/>
    <m/>
    <m/>
    <d v="2017-01-16T00:00:00"/>
    <n v="4.3835616438356165E-2"/>
    <n v="1"/>
    <m/>
    <n v="1"/>
    <n v="1"/>
    <s v="11"/>
    <n v="0.01"/>
    <n v="361122.70240000001"/>
    <n v="361122.70240000001"/>
    <n v="56035.674897669283"/>
    <n v="-1769616.55"/>
    <m/>
    <n v="36112270.240000002"/>
    <s v="DBK GR Equity"/>
    <x v="76"/>
    <n v="-4.4240413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3616400000"/>
    <m/>
    <s v="KRW"/>
    <n v="1207.8"/>
    <m/>
    <m/>
    <m/>
    <m/>
    <n v="0"/>
    <n v="0"/>
    <n v="0"/>
    <n v="0"/>
    <n v="0"/>
    <n v="1.4008918724417322E-4"/>
  </r>
  <r>
    <n v="23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8555.833552997705"/>
    <x v="4"/>
    <m/>
    <m/>
    <d v="2017-01-16T00:00:00"/>
    <n v="4.3835616438356165E-2"/>
    <n v="1"/>
    <m/>
    <n v="1"/>
    <n v="1"/>
    <s v="11"/>
    <n v="0.01"/>
    <n v="132651.1012"/>
    <n v="132651.1012"/>
    <n v="20583.568776652541"/>
    <n v="-691503.39"/>
    <m/>
    <n v="13265110.119999999"/>
    <s v="DBK GR Equity"/>
    <x v="76"/>
    <n v="-1.7287584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21600000"/>
    <m/>
    <s v="KRW"/>
    <n v="1207.8"/>
    <m/>
    <m/>
    <m/>
    <m/>
    <n v="0"/>
    <n v="0"/>
    <n v="0"/>
    <n v="0"/>
    <n v="0"/>
    <n v="5.1458921941631349E-5"/>
  </r>
  <r>
    <n v="23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3330.728341973925"/>
    <x v="4"/>
    <m/>
    <m/>
    <d v="2017-01-16T00:00:00"/>
    <n v="4.3835616438356165E-2"/>
    <n v="1"/>
    <m/>
    <n v="1"/>
    <n v="1"/>
    <s v="11"/>
    <n v="0.01"/>
    <n v="141890.21359999999"/>
    <n v="141890.21359999999"/>
    <n v="22017.20863188371"/>
    <n v="-764570.29"/>
    <m/>
    <n v="14189021.359999999"/>
    <s v="DBK GR Equity"/>
    <x v="76"/>
    <n v="-1.9114257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137500000"/>
    <m/>
    <s v="KRW"/>
    <n v="1207.8"/>
    <m/>
    <m/>
    <m/>
    <m/>
    <n v="0"/>
    <n v="0"/>
    <n v="0"/>
    <n v="0"/>
    <n v="0"/>
    <n v="5.5043021579709273E-5"/>
  </r>
  <r>
    <n v="23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3316.607766345653"/>
    <x v="4"/>
    <m/>
    <m/>
    <d v="2017-01-16T00:00:00"/>
    <n v="4.3835616438356165E-2"/>
    <n v="1"/>
    <m/>
    <n v="1"/>
    <n v="1"/>
    <s v="11"/>
    <n v="0.01"/>
    <n v="141862.89119999998"/>
    <n v="141862.89119999998"/>
    <n v="22012.968995013336"/>
    <n v="-767311.47"/>
    <m/>
    <n v="14186289.119999999"/>
    <s v="DBK GR Equity"/>
    <x v="76"/>
    <n v="-1.9182786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134200000"/>
    <m/>
    <s v="KRW"/>
    <n v="1207.8"/>
    <m/>
    <m/>
    <m/>
    <m/>
    <n v="0"/>
    <n v="0"/>
    <n v="0"/>
    <n v="0"/>
    <n v="0"/>
    <n v="5.5032422487533339E-5"/>
  </r>
  <r>
    <n v="23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8442.013105393984"/>
    <x v="4"/>
    <m/>
    <m/>
    <d v="2017-01-16T00:00:00"/>
    <n v="4.3835616438356165E-2"/>
    <n v="1"/>
    <m/>
    <n v="1"/>
    <n v="1"/>
    <s v="11"/>
    <n v="0.01"/>
    <n v="132430.86600000001"/>
    <n v="132430.86600000001"/>
    <n v="20549.394718953579"/>
    <n v="-713598.94"/>
    <m/>
    <n v="13243086.6"/>
    <s v="DBK GR Equity"/>
    <x v="76"/>
    <n v="-1.7839973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995000000"/>
    <m/>
    <s v="KRW"/>
    <n v="1207.8"/>
    <m/>
    <m/>
    <m/>
    <m/>
    <n v="0"/>
    <n v="0"/>
    <n v="0"/>
    <n v="0"/>
    <n v="0"/>
    <n v="5.1373486797383949E-5"/>
  </r>
  <r>
    <n v="23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8448.00369334883"/>
    <x v="4"/>
    <m/>
    <m/>
    <d v="2017-01-16T00:00:00"/>
    <n v="4.3835616438356165E-2"/>
    <n v="1"/>
    <m/>
    <n v="1"/>
    <n v="1"/>
    <s v="11"/>
    <n v="0.01"/>
    <n v="132442.45740000001"/>
    <n v="132442.45740000001"/>
    <n v="20551.19336500295"/>
    <n v="-712436.01"/>
    <m/>
    <n v="13244245.74"/>
    <s v="DBK GR Equity"/>
    <x v="76"/>
    <n v="-1.7810900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996400000"/>
    <m/>
    <s v="KRW"/>
    <n v="1207.8"/>
    <m/>
    <m/>
    <m/>
    <m/>
    <n v="0"/>
    <n v="0"/>
    <n v="0"/>
    <n v="0"/>
    <n v="0"/>
    <n v="5.1377983412507371E-5"/>
  </r>
  <r>
    <n v="23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8471.96589012428"/>
    <x v="4"/>
    <m/>
    <m/>
    <d v="2017-01-16T00:00:00"/>
    <n v="4.3835616438356165E-2"/>
    <n v="1"/>
    <m/>
    <n v="1"/>
    <n v="1"/>
    <s v="11"/>
    <n v="0.01"/>
    <n v="132488.82269999999"/>
    <n v="132488.82269999999"/>
    <n v="20558.387902649196"/>
    <n v="-707784.32"/>
    <m/>
    <n v="13248882.27"/>
    <s v="DBK GR Equity"/>
    <x v="76"/>
    <n v="-1.7694607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02000000"/>
    <m/>
    <s v="KRW"/>
    <n v="1207.8"/>
    <m/>
    <m/>
    <m/>
    <m/>
    <n v="0"/>
    <n v="0"/>
    <n v="0"/>
    <n v="0"/>
    <n v="0"/>
    <n v="5.1395969756622991E-5"/>
  </r>
  <r>
    <n v="23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8304.230512696115"/>
    <x v="4"/>
    <m/>
    <m/>
    <d v="2017-01-16T00:00:00"/>
    <n v="4.3835616438356165E-2"/>
    <n v="1"/>
    <m/>
    <n v="1"/>
    <n v="1"/>
    <s v="11"/>
    <n v="0.01"/>
    <n v="132164.26560000001"/>
    <n v="132164.26560000001"/>
    <n v="20508.026139125439"/>
    <n v="-740346.18"/>
    <m/>
    <n v="13216426.560000001"/>
    <s v="DBK GR Equity"/>
    <x v="76"/>
    <n v="-1.8508654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962800000"/>
    <m/>
    <s v="KRW"/>
    <n v="1207.8"/>
    <m/>
    <m/>
    <m/>
    <m/>
    <n v="0"/>
    <n v="0"/>
    <n v="0"/>
    <n v="0"/>
    <n v="0"/>
    <n v="5.1270065347813595E-5"/>
  </r>
  <r>
    <n v="23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8328.192709471565"/>
    <x v="4"/>
    <m/>
    <m/>
    <d v="2017-01-16T00:00:00"/>
    <n v="4.3835616438356165E-2"/>
    <n v="1"/>
    <m/>
    <n v="1"/>
    <n v="1"/>
    <s v="11"/>
    <n v="0.01"/>
    <n v="132210.63089999999"/>
    <n v="132210.63089999999"/>
    <n v="20515.220676771685"/>
    <n v="-735694.48"/>
    <m/>
    <n v="13221063.09"/>
    <s v="DBK GR Equity"/>
    <x v="76"/>
    <n v="-1.839236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968400000"/>
    <m/>
    <s v="KRW"/>
    <n v="1207.8"/>
    <m/>
    <m/>
    <m/>
    <m/>
    <n v="0"/>
    <n v="0"/>
    <n v="0"/>
    <n v="0"/>
    <n v="0"/>
    <n v="5.1288051691929214E-5"/>
  </r>
  <r>
    <n v="23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858.222920363856"/>
    <x v="4"/>
    <m/>
    <m/>
    <d v="2017-01-16T00:00:00"/>
    <n v="4.3835616438356165E-2"/>
    <n v="1"/>
    <m/>
    <n v="1"/>
    <n v="1"/>
    <s v="11"/>
    <n v="0.01"/>
    <n v="173869.84600000002"/>
    <n v="173869.84600000002"/>
    <n v="26979.511673492132"/>
    <n v="-342206.52"/>
    <m/>
    <n v="17386984.600000001"/>
    <s v="DBK GR Equity"/>
    <x v="76"/>
    <n v="-8.555163000000000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000"/>
    <m/>
    <s v="KRW"/>
    <n v="1207.8"/>
    <m/>
    <m/>
    <m/>
    <m/>
    <n v="0"/>
    <n v="0"/>
    <n v="0"/>
    <n v="0"/>
    <n v="0"/>
    <n v="6.7448779183730336E-5"/>
  </r>
  <r>
    <n v="23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9905.481964136343"/>
    <x v="4"/>
    <m/>
    <m/>
    <d v="2017-01-16T00:00:00"/>
    <n v="4.3835616438356165E-2"/>
    <n v="1"/>
    <m/>
    <n v="1"/>
    <n v="1"/>
    <s v="11"/>
    <n v="0.01"/>
    <n v="115913.2307"/>
    <n v="115913.2307"/>
    <n v="17986.341120833778"/>
    <n v="-219106.16"/>
    <m/>
    <n v="11591323.07"/>
    <s v="DBK GR Equity"/>
    <x v="76"/>
    <n v="-5.47765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000"/>
    <m/>
    <s v="KRW"/>
    <n v="1207.8"/>
    <m/>
    <m/>
    <m/>
    <m/>
    <n v="0"/>
    <n v="0"/>
    <n v="0"/>
    <n v="0"/>
    <n v="0"/>
    <n v="4.4965852802084444E-5"/>
  </r>
  <r>
    <n v="24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5626.518955623455"/>
    <x v="4"/>
    <m/>
    <m/>
    <d v="2017-01-16T00:00:00"/>
    <n v="4.3835616438356165E-2"/>
    <n v="1"/>
    <m/>
    <n v="1"/>
    <n v="1"/>
    <s v="11"/>
    <n v="0.01"/>
    <n v="107633.7142"/>
    <n v="107633.7142"/>
    <n v="16701.602466020562"/>
    <n v="-167261.78"/>
    <m/>
    <n v="10763371.42"/>
    <s v="DBK GR Equity"/>
    <x v="76"/>
    <n v="-4.181544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000"/>
    <m/>
    <s v="KRW"/>
    <n v="1207.8"/>
    <m/>
    <m/>
    <m/>
    <m/>
    <n v="0"/>
    <n v="0"/>
    <n v="0"/>
    <n v="0"/>
    <n v="0"/>
    <n v="4.1754006165051407E-5"/>
  </r>
  <r>
    <n v="24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5626.518955623455"/>
    <x v="4"/>
    <m/>
    <m/>
    <d v="2017-01-16T00:00:00"/>
    <n v="4.3835616438356165E-2"/>
    <n v="1"/>
    <m/>
    <n v="1"/>
    <n v="1"/>
    <s v="11"/>
    <n v="0.01"/>
    <n v="107633.7142"/>
    <n v="107633.7142"/>
    <n v="16701.602466020562"/>
    <n v="-168186.85"/>
    <m/>
    <n v="10763371.42"/>
    <s v="DBK GR Equity"/>
    <x v="76"/>
    <n v="-4.204671250000000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000"/>
    <m/>
    <s v="KRW"/>
    <n v="1207.8"/>
    <m/>
    <m/>
    <m/>
    <m/>
    <n v="0"/>
    <n v="0"/>
    <n v="0"/>
    <n v="0"/>
    <n v="0"/>
    <n v="4.1754006165051407E-5"/>
  </r>
  <r>
    <n v="24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5626.518955623455"/>
    <x v="4"/>
    <m/>
    <m/>
    <d v="2017-01-16T00:00:00"/>
    <n v="4.3835616438356165E-2"/>
    <n v="1"/>
    <m/>
    <n v="1"/>
    <n v="1"/>
    <s v="11"/>
    <n v="0.01"/>
    <n v="107633.7142"/>
    <n v="107633.7142"/>
    <n v="16701.602466020562"/>
    <n v="-141422.9"/>
    <m/>
    <n v="10763371.42"/>
    <s v="DBK GR Equity"/>
    <x v="76"/>
    <n v="-3.535572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000"/>
    <m/>
    <s v="KRW"/>
    <n v="1207.8"/>
    <m/>
    <m/>
    <m/>
    <m/>
    <n v="0"/>
    <n v="0"/>
    <n v="0"/>
    <n v="0"/>
    <n v="0"/>
    <n v="4.1754006165051407E-5"/>
  </r>
  <r>
    <n v="243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85000.33042874502"/>
    <x v="4"/>
    <m/>
    <m/>
    <d v="2017-02-13T00:00:00"/>
    <n v="0.12054794520547946"/>
    <n v="1"/>
    <m/>
    <n v="1"/>
    <n v="1"/>
    <s v="11"/>
    <n v="0.01"/>
    <n v="200529.8891"/>
    <n v="317644.38910000003"/>
    <n v="49289.113097521964"/>
    <n v="117114.5"/>
    <m/>
    <n v="20052988.91"/>
    <s v="56243Z LN Equity"/>
    <x v="76"/>
    <n v="2.927862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4220000000"/>
    <m/>
    <s v="KRW"/>
    <n v="1207.8"/>
    <m/>
    <m/>
    <m/>
    <m/>
    <n v="0"/>
    <n v="0"/>
    <n v="0"/>
    <n v="0"/>
    <n v="0"/>
    <n v="1.2322278274380492E-4"/>
  </r>
  <r>
    <n v="244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71854.49313960708"/>
    <x v="4"/>
    <m/>
    <m/>
    <d v="2017-02-13T00:00:00"/>
    <n v="0.12054794520547946"/>
    <n v="1"/>
    <m/>
    <n v="1"/>
    <n v="1"/>
    <s v="11"/>
    <n v="0.01"/>
    <n v="120919.02630000001"/>
    <n v="251489.23630000002"/>
    <n v="39023.769460941898"/>
    <n v="130570.21"/>
    <m/>
    <n v="12091902.630000001"/>
    <s v="56243Z LN Equity"/>
    <x v="76"/>
    <n v="3.264255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604600000"/>
    <m/>
    <s v="KRW"/>
    <n v="1207.8"/>
    <m/>
    <m/>
    <m/>
    <m/>
    <n v="0"/>
    <n v="0"/>
    <n v="0"/>
    <n v="0"/>
    <n v="0"/>
    <n v="9.7559423652354739E-5"/>
  </r>
  <r>
    <n v="245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72532.2809506488"/>
    <x v="4"/>
    <m/>
    <m/>
    <d v="2017-02-13T00:00:00"/>
    <n v="0.12054794520547946"/>
    <n v="1"/>
    <m/>
    <n v="1"/>
    <n v="1"/>
    <s v="11"/>
    <n v="0.01"/>
    <n v="121395.9265"/>
    <n v="299808.64650000003"/>
    <n v="46521.527821797383"/>
    <n v="178412.72"/>
    <m/>
    <n v="12139592.65"/>
    <s v="56243Z LN Equity"/>
    <x v="76"/>
    <n v="4.46031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662200000"/>
    <m/>
    <s v="KRW"/>
    <n v="1207.8"/>
    <m/>
    <m/>
    <m/>
    <m/>
    <n v="0"/>
    <n v="0"/>
    <n v="0"/>
    <n v="0"/>
    <n v="0"/>
    <n v="1.1630381955449346E-4"/>
  </r>
  <r>
    <n v="246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73443.05825955706"/>
    <x v="4"/>
    <m/>
    <m/>
    <d v="2017-02-13T00:00:00"/>
    <n v="0.12054794520547946"/>
    <n v="1"/>
    <m/>
    <n v="1"/>
    <n v="1"/>
    <s v="11"/>
    <n v="0.01"/>
    <n v="122036.7611"/>
    <n v="364737.87109999999"/>
    <n v="56596.643279405202"/>
    <n v="242701.11"/>
    <m/>
    <n v="12203676.109999999"/>
    <s v="56243Z LN Equity"/>
    <x v="76"/>
    <n v="6.06752774999999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739600000"/>
    <m/>
    <s v="KRW"/>
    <n v="1207.8"/>
    <m/>
    <m/>
    <m/>
    <m/>
    <n v="0"/>
    <n v="0"/>
    <n v="0"/>
    <n v="0"/>
    <n v="0"/>
    <n v="1.41491608198513E-4"/>
  </r>
  <r>
    <n v="247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74304.41350208508"/>
    <x v="4"/>
    <m/>
    <m/>
    <d v="2017-02-13T00:00:00"/>
    <n v="0.12054794520547946"/>
    <n v="1"/>
    <m/>
    <n v="1"/>
    <n v="1"/>
    <s v="11"/>
    <n v="0.01"/>
    <n v="122642.8217"/>
    <n v="426143.80169999995"/>
    <n v="66125.046619938134"/>
    <n v="303500.98"/>
    <m/>
    <n v="12264282.17"/>
    <s v="56243Z LN Equity"/>
    <x v="76"/>
    <n v="7.58752449999999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812800000"/>
    <m/>
    <s v="KRW"/>
    <n v="1207.8"/>
    <m/>
    <m/>
    <m/>
    <m/>
    <n v="0"/>
    <n v="0"/>
    <n v="0"/>
    <n v="0"/>
    <n v="0"/>
    <n v="1.6531261654984534E-4"/>
  </r>
  <r>
    <n v="248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18489.46679524801"/>
    <x v="4"/>
    <m/>
    <m/>
    <d v="2017-02-13T00:00:00"/>
    <n v="0.12054794520547946"/>
    <n v="1"/>
    <m/>
    <n v="1"/>
    <n v="1"/>
    <s v="11"/>
    <n v="0.01"/>
    <n v="153731.9921"/>
    <n v="576091.72210000001"/>
    <n v="89392.575532614981"/>
    <n v="422359.73"/>
    <m/>
    <n v="15373199.210000001"/>
    <s v="56243Z LN Equity"/>
    <x v="76"/>
    <n v="1.0558993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567750000"/>
    <m/>
    <s v="KRW"/>
    <n v="1207.8"/>
    <m/>
    <m/>
    <m/>
    <m/>
    <n v="0"/>
    <n v="0"/>
    <n v="0"/>
    <n v="0"/>
    <n v="0"/>
    <n v="2.2348143883153744E-4"/>
  </r>
  <r>
    <n v="249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18687.1547765219"/>
    <x v="4"/>
    <m/>
    <m/>
    <d v="2017-02-13T00:00:00"/>
    <n v="0.12054794520547946"/>
    <n v="1"/>
    <m/>
    <n v="1"/>
    <n v="1"/>
    <s v="11"/>
    <n v="0.01"/>
    <n v="153871.08789999998"/>
    <n v="590184.88789999997"/>
    <n v="91579.422418173024"/>
    <n v="436313.8"/>
    <m/>
    <n v="15387108.789999999"/>
    <s v="56243Z LN Equity"/>
    <x v="76"/>
    <n v="1.090784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584550000"/>
    <m/>
    <s v="KRW"/>
    <n v="1207.8"/>
    <m/>
    <m/>
    <m/>
    <m/>
    <n v="0"/>
    <n v="0"/>
    <n v="0"/>
    <n v="0"/>
    <n v="0"/>
    <n v="2.2894855604543255E-4"/>
  </r>
  <r>
    <n v="25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44446.95403368521"/>
    <x v="4"/>
    <m/>
    <m/>
    <d v="2017-02-13T00:00:00"/>
    <n v="0.12054794520547946"/>
    <n v="1"/>
    <m/>
    <n v="1"/>
    <n v="1"/>
    <s v="11"/>
    <n v="0.01"/>
    <n v="312718.57920000004"/>
    <n v="312718.57920000004"/>
    <n v="48524.771558400491"/>
    <n v="-1628140.7"/>
    <m/>
    <n v="31271857.920000002"/>
    <s v="DBK GR Equity"/>
    <x v="76"/>
    <n v="-4.070351750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770150000"/>
    <m/>
    <s v="KRW"/>
    <n v="1207.8"/>
    <m/>
    <m/>
    <m/>
    <m/>
    <n v="0"/>
    <n v="0"/>
    <n v="0"/>
    <n v="0"/>
    <n v="0"/>
    <n v="1.2131192889600123E-4"/>
  </r>
  <r>
    <n v="25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44485.78561666294"/>
    <x v="4"/>
    <m/>
    <m/>
    <d v="2017-02-13T00:00:00"/>
    <n v="0.12054794520547946"/>
    <n v="1"/>
    <m/>
    <n v="1"/>
    <n v="1"/>
    <s v="11"/>
    <n v="0.01"/>
    <n v="312745.90159999998"/>
    <n v="312745.90159999998"/>
    <n v="48529.011195270861"/>
    <n v="-1625399.73"/>
    <m/>
    <n v="31274590.16"/>
    <s v="DBK GR Equity"/>
    <x v="76"/>
    <n v="-4.0634993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773450000"/>
    <m/>
    <s v="KRW"/>
    <n v="1207.8"/>
    <m/>
    <m/>
    <m/>
    <m/>
    <n v="0"/>
    <n v="0"/>
    <n v="0"/>
    <n v="0"/>
    <n v="0"/>
    <n v="1.2132252798817715E-4"/>
  </r>
  <r>
    <n v="25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44078.05399539648"/>
    <x v="4"/>
    <m/>
    <m/>
    <d v="2017-02-13T00:00:00"/>
    <n v="0.12054794520547946"/>
    <n v="1"/>
    <m/>
    <n v="1"/>
    <n v="1"/>
    <s v="11"/>
    <n v="0.01"/>
    <n v="312459.01640000002"/>
    <n v="312459.01640000002"/>
    <n v="48484.49500813194"/>
    <n v="-1654179.99"/>
    <m/>
    <n v="31245901.640000001"/>
    <s v="DBK GR Equity"/>
    <x v="76"/>
    <n v="-4.13544997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738800000"/>
    <m/>
    <s v="KRW"/>
    <n v="1207.8"/>
    <m/>
    <m/>
    <m/>
    <m/>
    <n v="0"/>
    <n v="0"/>
    <n v="0"/>
    <n v="0"/>
    <n v="0"/>
    <n v="1.2121123752032985E-4"/>
  </r>
  <r>
    <n v="25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58463.15737273061"/>
    <x v="4"/>
    <m/>
    <m/>
    <d v="2017-02-13T00:00:00"/>
    <n v="0.12054794520547946"/>
    <n v="1"/>
    <m/>
    <n v="1"/>
    <n v="1"/>
    <s v="11"/>
    <n v="0.01"/>
    <n v="322580.55969999998"/>
    <n v="322580.55969999998"/>
    <n v="50055.062314070114"/>
    <n v="-1638788.99"/>
    <m/>
    <n v="32258055.969999999"/>
    <s v="DBK GR Equity"/>
    <x v="76"/>
    <n v="-4.09697247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8961280000"/>
    <m/>
    <s v="KRW"/>
    <n v="1207.8"/>
    <m/>
    <m/>
    <m/>
    <m/>
    <n v="0"/>
    <n v="0"/>
    <n v="0"/>
    <n v="0"/>
    <n v="0"/>
    <n v="1.2513765578517529E-4"/>
  </r>
  <r>
    <n v="25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18846.71335391467"/>
    <x v="4"/>
    <m/>
    <m/>
    <d v="2017-02-13T00:00:00"/>
    <n v="0.12054794520547946"/>
    <n v="1"/>
    <m/>
    <n v="1"/>
    <n v="1"/>
    <s v="11"/>
    <n v="0.01"/>
    <n v="646512.33649999998"/>
    <n v="646512.33649999998"/>
    <n v="100319.79397772298"/>
    <n v="-3142024.17"/>
    <m/>
    <n v="64651233.649999999"/>
    <s v="DBK GR Equity"/>
    <x v="76"/>
    <n v="-7.855060424999999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78085760000"/>
    <m/>
    <s v="KRW"/>
    <n v="1207.8"/>
    <m/>
    <m/>
    <m/>
    <m/>
    <n v="0"/>
    <n v="0"/>
    <n v="0"/>
    <n v="0"/>
    <n v="0"/>
    <n v="2.5079948494430743E-4"/>
  </r>
  <r>
    <n v="25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20255.00560993119"/>
    <x v="4"/>
    <m/>
    <m/>
    <d v="2017-02-13T00:00:00"/>
    <n v="0.12054794520547946"/>
    <n v="1"/>
    <m/>
    <n v="1"/>
    <n v="1"/>
    <s v="11"/>
    <n v="0.01"/>
    <n v="647503.22900000005"/>
    <n v="647503.22900000005"/>
    <n v="100473.5514945435"/>
    <n v="-3042618.05"/>
    <m/>
    <n v="64750322.899999999"/>
    <s v="DBK GR Equity"/>
    <x v="76"/>
    <n v="-7.606545124999999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78205440000"/>
    <m/>
    <s v="KRW"/>
    <n v="1207.8"/>
    <m/>
    <m/>
    <m/>
    <m/>
    <n v="0"/>
    <n v="0"/>
    <n v="0"/>
    <n v="0"/>
    <n v="0"/>
    <n v="2.5118387873635873E-4"/>
  </r>
  <r>
    <n v="25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44388.70665921847"/>
    <x v="4"/>
    <m/>
    <m/>
    <d v="2017-02-13T00:00:00"/>
    <n v="0.12054794520547946"/>
    <n v="1"/>
    <m/>
    <n v="1"/>
    <n v="1"/>
    <s v="11"/>
    <n v="0.01"/>
    <n v="312677.5956"/>
    <n v="312677.5956"/>
    <n v="48518.412103094925"/>
    <n v="-1632252.17"/>
    <m/>
    <n v="31267759.559999999"/>
    <s v="DBK GR Equity"/>
    <x v="76"/>
    <n v="-4.080630424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765200000"/>
    <m/>
    <s v="KRW"/>
    <n v="1207.8"/>
    <m/>
    <m/>
    <m/>
    <m/>
    <n v="0"/>
    <n v="0"/>
    <n v="0"/>
    <n v="0"/>
    <n v="0"/>
    <n v="1.2129603025773731E-4"/>
  </r>
  <r>
    <n v="25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43813.99911744881"/>
    <x v="4"/>
    <m/>
    <m/>
    <d v="2017-02-13T00:00:00"/>
    <n v="0.12054794520547946"/>
    <n v="1"/>
    <m/>
    <n v="1"/>
    <n v="1"/>
    <s v="11"/>
    <n v="0.01"/>
    <n v="312273.22399999999"/>
    <n v="312273.22399999999"/>
    <n v="48455.665464999736"/>
    <n v="-1672818.64"/>
    <m/>
    <n v="31227322.399999999"/>
    <s v="DBK GR Equity"/>
    <x v="76"/>
    <n v="-4.182046599999999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716360000"/>
    <m/>
    <s v="KRW"/>
    <n v="1207.8"/>
    <m/>
    <m/>
    <m/>
    <m/>
    <n v="0"/>
    <n v="0"/>
    <n v="0"/>
    <n v="0"/>
    <n v="0"/>
    <n v="1.2113916366249934E-4"/>
  </r>
  <r>
    <n v="25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1986.90714922282"/>
    <x v="4"/>
    <m/>
    <m/>
    <d v="2017-02-13T00:00:00"/>
    <n v="0.12054794520547946"/>
    <n v="1"/>
    <m/>
    <n v="1"/>
    <n v="1"/>
    <s v="11"/>
    <n v="0.01"/>
    <n v="135084.45110000001"/>
    <n v="135084.45110000001"/>
    <n v="20961.153467403008"/>
    <n v="-713026.09"/>
    <m/>
    <n v="13508445.109999999"/>
    <s v="DBK GR Equity"/>
    <x v="76"/>
    <n v="-1.78256522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315500000"/>
    <m/>
    <s v="KRW"/>
    <n v="1207.8"/>
    <m/>
    <m/>
    <m/>
    <m/>
    <n v="0"/>
    <n v="0"/>
    <n v="0"/>
    <n v="0"/>
    <n v="0"/>
    <n v="5.2402883668507519E-5"/>
  </r>
  <r>
    <n v="25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43612.07485753985"/>
    <x v="4"/>
    <m/>
    <m/>
    <d v="2017-02-13T00:00:00"/>
    <n v="0.12054794520547946"/>
    <n v="1"/>
    <m/>
    <n v="1"/>
    <n v="1"/>
    <s v="11"/>
    <n v="0.01"/>
    <n v="312131.14750000002"/>
    <n v="312131.14750000002"/>
    <n v="48433.619350170382"/>
    <n v="-1687071.72"/>
    <m/>
    <n v="31213114.75"/>
    <s v="DBK GR Equity"/>
    <x v="76"/>
    <n v="-4.2176792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699200000"/>
    <m/>
    <s v="KRW"/>
    <n v="1207.8"/>
    <m/>
    <m/>
    <m/>
    <m/>
    <n v="0"/>
    <n v="0"/>
    <n v="0"/>
    <n v="0"/>
    <n v="0"/>
    <n v="1.2108404837542596E-4"/>
  </r>
  <r>
    <n v="26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88357.41196503735"/>
    <x v="4"/>
    <m/>
    <m/>
    <d v="2017-02-13T00:00:00"/>
    <n v="0.12054794520547946"/>
    <n v="1"/>
    <m/>
    <n v="1"/>
    <n v="1"/>
    <s v="11"/>
    <n v="0.01"/>
    <n v="413975.82380000001"/>
    <n v="413975.82380000001"/>
    <n v="64236.932554455823"/>
    <n v="-979813.38"/>
    <m/>
    <n v="41397582.380000003"/>
    <s v="DBK GR Equity"/>
    <x v="76"/>
    <n v="-2.44953345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0000000000"/>
    <m/>
    <s v="KRW"/>
    <n v="1207.8"/>
    <m/>
    <m/>
    <m/>
    <m/>
    <n v="0"/>
    <n v="0"/>
    <n v="0"/>
    <n v="0"/>
    <n v="0"/>
    <n v="1.6059233138613957E-4"/>
  </r>
  <r>
    <n v="26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35384.48483707273"/>
    <x v="4"/>
    <m/>
    <m/>
    <d v="2017-02-13T00:00:00"/>
    <n v="0.12054794520547946"/>
    <n v="1"/>
    <m/>
    <n v="1"/>
    <n v="1"/>
    <s v="11"/>
    <n v="0.01"/>
    <n v="306342.10960000003"/>
    <n v="306342.10960000003"/>
    <n v="47535.330088435265"/>
    <n v="-986643.71"/>
    <m/>
    <n v="30634210.960000001"/>
    <s v="DBK GR Equity"/>
    <x v="76"/>
    <n v="-2.4666092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000000000"/>
    <m/>
    <s v="KRW"/>
    <n v="1207.8"/>
    <m/>
    <m/>
    <m/>
    <m/>
    <n v="0"/>
    <n v="0"/>
    <n v="0"/>
    <n v="0"/>
    <n v="0"/>
    <n v="1.1883832522108817E-4"/>
  </r>
  <r>
    <n v="26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29480.15066062624"/>
    <x v="4"/>
    <m/>
    <m/>
    <d v="2017-02-13T00:00:00"/>
    <n v="0.12054794520547946"/>
    <n v="1"/>
    <m/>
    <n v="1"/>
    <n v="1"/>
    <s v="11"/>
    <n v="0.01"/>
    <n v="231826.4613"/>
    <n v="231826.4613"/>
    <n v="35972.682226150479"/>
    <n v="-573007.46"/>
    <m/>
    <n v="23182646.129999999"/>
    <s v="DBK GR Equity"/>
    <x v="76"/>
    <n v="-1.43251864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000000000"/>
    <m/>
    <s v="KRW"/>
    <n v="1207.8"/>
    <m/>
    <m/>
    <m/>
    <m/>
    <n v="0"/>
    <n v="0"/>
    <n v="0"/>
    <n v="0"/>
    <n v="0"/>
    <n v="8.9931705565376202E-5"/>
  </r>
  <r>
    <n v="26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5945.85425592907"/>
    <x v="4"/>
    <m/>
    <m/>
    <d v="2017-02-13T00:00:00"/>
    <n v="0.12054794520547946"/>
    <n v="1"/>
    <m/>
    <n v="1"/>
    <n v="1"/>
    <s v="11"/>
    <n v="0.01"/>
    <n v="215267.4284"/>
    <n v="215267.4284"/>
    <n v="33403.204932041124"/>
    <n v="-664692.76"/>
    <m/>
    <n v="21526742.84"/>
    <s v="DBK GR Equity"/>
    <x v="76"/>
    <n v="-1.6617318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6000000000"/>
    <m/>
    <s v="KRW"/>
    <n v="1207.8"/>
    <m/>
    <m/>
    <m/>
    <m/>
    <n v="0"/>
    <n v="0"/>
    <n v="0"/>
    <n v="0"/>
    <n v="0"/>
    <n v="8.3508012330102814E-5"/>
  </r>
  <r>
    <n v="26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5945.85425592907"/>
    <x v="4"/>
    <m/>
    <m/>
    <d v="2017-02-13T00:00:00"/>
    <n v="0.12054794520547946"/>
    <n v="1"/>
    <m/>
    <n v="1"/>
    <n v="1"/>
    <s v="11"/>
    <n v="0.01"/>
    <n v="215267.4284"/>
    <n v="215267.4284"/>
    <n v="33403.204932041124"/>
    <n v="-584934.06000000006"/>
    <m/>
    <n v="21526742.84"/>
    <s v="DBK GR Equity"/>
    <x v="76"/>
    <n v="-1.46233515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6000000000"/>
    <m/>
    <s v="KRW"/>
    <n v="1207.8"/>
    <m/>
    <m/>
    <m/>
    <m/>
    <n v="0"/>
    <n v="0"/>
    <n v="0"/>
    <n v="0"/>
    <n v="0"/>
    <n v="8.3508012330102814E-5"/>
  </r>
  <r>
    <n v="26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58877.26130441102"/>
    <x v="4"/>
    <m/>
    <m/>
    <d v="2017-02-13T00:00:00"/>
    <n v="0.12054794520547946"/>
    <n v="1"/>
    <m/>
    <n v="1"/>
    <n v="1"/>
    <s v="11"/>
    <n v="0.01"/>
    <n v="182149.36250000002"/>
    <n v="182149.36250000002"/>
    <n v="28264.250328305345"/>
    <n v="-708696.83"/>
    <m/>
    <n v="18214936.25"/>
    <s v="DBK GR Equity"/>
    <x v="76"/>
    <n v="-1.7717420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000"/>
    <m/>
    <s v="KRW"/>
    <n v="1207.8"/>
    <m/>
    <m/>
    <m/>
    <m/>
    <n v="0"/>
    <n v="0"/>
    <n v="0"/>
    <n v="0"/>
    <n v="0"/>
    <n v="7.0660625820763366E-5"/>
  </r>
  <r>
    <n v="26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58877.26130441102"/>
    <x v="4"/>
    <m/>
    <m/>
    <d v="2017-02-13T00:00:00"/>
    <n v="0.12054794520547946"/>
    <n v="1"/>
    <m/>
    <n v="1"/>
    <n v="1"/>
    <s v="11"/>
    <n v="0.01"/>
    <n v="182149.36250000002"/>
    <n v="182149.36250000002"/>
    <n v="28264.250328305345"/>
    <n v="-708696.83"/>
    <m/>
    <n v="18214936.25"/>
    <s v="DBK GR Equity"/>
    <x v="76"/>
    <n v="-1.7717420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000"/>
    <m/>
    <s v="KRW"/>
    <n v="1207.8"/>
    <m/>
    <m/>
    <m/>
    <m/>
    <n v="0"/>
    <n v="0"/>
    <n v="0"/>
    <n v="0"/>
    <n v="0"/>
    <n v="7.0660625820763366E-5"/>
  </r>
  <r>
    <n v="26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58877.26130441102"/>
    <x v="4"/>
    <m/>
    <m/>
    <d v="2017-02-13T00:00:00"/>
    <n v="0.12054794520547946"/>
    <n v="1"/>
    <m/>
    <n v="1"/>
    <n v="1"/>
    <s v="11"/>
    <n v="0.01"/>
    <n v="182149.36250000002"/>
    <n v="182149.36250000002"/>
    <n v="28264.250328305345"/>
    <n v="-677629.92"/>
    <m/>
    <n v="18214936.25"/>
    <s v="DBK GR Equity"/>
    <x v="76"/>
    <n v="-1.6940748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000"/>
    <m/>
    <s v="KRW"/>
    <n v="1207.8"/>
    <m/>
    <m/>
    <m/>
    <m/>
    <n v="0"/>
    <n v="0"/>
    <n v="0"/>
    <n v="0"/>
    <n v="0"/>
    <n v="7.0660625820763366E-5"/>
  </r>
  <r>
    <n v="26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7110.11303100063"/>
    <x v="4"/>
    <m/>
    <m/>
    <d v="2017-02-13T00:00:00"/>
    <n v="0.12054794520547946"/>
    <n v="1"/>
    <m/>
    <n v="1"/>
    <n v="1"/>
    <s v="11"/>
    <n v="0.01"/>
    <n v="173869.84600000002"/>
    <n v="173869.84600000002"/>
    <n v="26979.511673492132"/>
    <n v="-594623.36"/>
    <m/>
    <n v="17386984.600000001"/>
    <s v="DBK GR Equity"/>
    <x v="76"/>
    <n v="-1.4865583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000"/>
    <m/>
    <s v="KRW"/>
    <n v="1207.8"/>
    <m/>
    <m/>
    <m/>
    <m/>
    <n v="0"/>
    <n v="0"/>
    <n v="0"/>
    <n v="0"/>
    <n v="0"/>
    <n v="6.7448779183730336E-5"/>
  </r>
  <r>
    <n v="26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7110.11303100063"/>
    <x v="4"/>
    <m/>
    <m/>
    <d v="2017-02-13T00:00:00"/>
    <n v="0.12054794520547946"/>
    <n v="1"/>
    <m/>
    <n v="1"/>
    <n v="1"/>
    <s v="11"/>
    <n v="0.01"/>
    <n v="173869.84600000002"/>
    <n v="173869.84600000002"/>
    <n v="26979.511673492132"/>
    <n v="-575433.19999999995"/>
    <m/>
    <n v="17386984.600000001"/>
    <s v="DBK GR Equity"/>
    <x v="76"/>
    <n v="-1.43858299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000"/>
    <m/>
    <s v="KRW"/>
    <n v="1207.8"/>
    <m/>
    <m/>
    <m/>
    <m/>
    <n v="0"/>
    <n v="0"/>
    <n v="0"/>
    <n v="0"/>
    <n v="0"/>
    <n v="6.7448779183730336E-5"/>
  </r>
  <r>
    <n v="27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7110.11303100063"/>
    <x v="4"/>
    <m/>
    <m/>
    <d v="2017-02-13T00:00:00"/>
    <n v="0.12054794520547946"/>
    <n v="1"/>
    <m/>
    <n v="1"/>
    <n v="1"/>
    <s v="11"/>
    <n v="0.01"/>
    <n v="173869.84600000002"/>
    <n v="173869.84600000002"/>
    <n v="26979.511673492132"/>
    <n v="-513806.8"/>
    <m/>
    <n v="17386984.600000001"/>
    <s v="DBK GR Equity"/>
    <x v="76"/>
    <n v="-1.28451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000"/>
    <m/>
    <s v="KRW"/>
    <n v="1207.8"/>
    <m/>
    <m/>
    <m/>
    <m/>
    <n v="0"/>
    <n v="0"/>
    <n v="0"/>
    <n v="0"/>
    <n v="0"/>
    <n v="6.7448779183730336E-5"/>
  </r>
  <r>
    <n v="27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7110.11303100063"/>
    <x v="4"/>
    <m/>
    <m/>
    <d v="2017-02-13T00:00:00"/>
    <n v="0.12054794520547946"/>
    <n v="1"/>
    <m/>
    <n v="1"/>
    <n v="1"/>
    <s v="11"/>
    <n v="0.01"/>
    <n v="173869.84600000002"/>
    <n v="173869.84600000002"/>
    <n v="26979.511673492132"/>
    <n v="-467862.94"/>
    <m/>
    <n v="17386984.600000001"/>
    <s v="DBK GR Equity"/>
    <x v="76"/>
    <n v="-1.1696573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000"/>
    <m/>
    <s v="KRW"/>
    <n v="1207.8"/>
    <m/>
    <m/>
    <m/>
    <m/>
    <n v="0"/>
    <n v="0"/>
    <n v="0"/>
    <n v="0"/>
    <n v="0"/>
    <n v="6.7448779183730336E-5"/>
  </r>
  <r>
    <n v="27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7110.11303100063"/>
    <x v="4"/>
    <m/>
    <m/>
    <d v="2017-02-13T00:00:00"/>
    <n v="0.12054794520547946"/>
    <n v="1"/>
    <m/>
    <n v="1"/>
    <n v="1"/>
    <s v="11"/>
    <n v="0.01"/>
    <n v="173869.84600000002"/>
    <n v="173869.84600000002"/>
    <n v="26979.511673492132"/>
    <n v="-464808.38"/>
    <m/>
    <n v="17386984.600000001"/>
    <s v="DBK GR Equity"/>
    <x v="76"/>
    <n v="-1.1620209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000"/>
    <m/>
    <s v="KRW"/>
    <n v="1207.8"/>
    <m/>
    <m/>
    <m/>
    <m/>
    <n v="0"/>
    <n v="0"/>
    <n v="0"/>
    <n v="0"/>
    <n v="0"/>
    <n v="6.7448779183730336E-5"/>
  </r>
  <r>
    <n v="27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7110.11303100063"/>
    <x v="4"/>
    <m/>
    <m/>
    <d v="2017-02-13T00:00:00"/>
    <n v="0.12054794520547946"/>
    <n v="1"/>
    <m/>
    <n v="1"/>
    <n v="1"/>
    <s v="11"/>
    <n v="0.01"/>
    <n v="173869.84600000002"/>
    <n v="173869.84600000002"/>
    <n v="26979.511673492132"/>
    <n v="-521487.04"/>
    <m/>
    <n v="17386984.600000001"/>
    <s v="DBK GR Equity"/>
    <x v="76"/>
    <n v="-1.303717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000"/>
    <m/>
    <s v="KRW"/>
    <n v="1207.8"/>
    <m/>
    <m/>
    <m/>
    <m/>
    <n v="0"/>
    <n v="0"/>
    <n v="0"/>
    <n v="0"/>
    <n v="0"/>
    <n v="6.7448779183730336E-5"/>
  </r>
  <r>
    <n v="27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7110.11303100063"/>
    <x v="4"/>
    <m/>
    <m/>
    <d v="2017-02-13T00:00:00"/>
    <n v="0.12054794520547946"/>
    <n v="1"/>
    <m/>
    <n v="1"/>
    <n v="1"/>
    <s v="11"/>
    <n v="0.01"/>
    <n v="173869.84600000002"/>
    <n v="173869.84600000002"/>
    <n v="26979.511673492132"/>
    <n v="-618823.97"/>
    <m/>
    <n v="17386984.600000001"/>
    <s v="DBK GR Equity"/>
    <x v="76"/>
    <n v="-1.5470599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000"/>
    <m/>
    <s v="KRW"/>
    <n v="1207.8"/>
    <m/>
    <m/>
    <m/>
    <m/>
    <n v="0"/>
    <n v="0"/>
    <n v="0"/>
    <n v="0"/>
    <n v="0"/>
    <n v="6.7448779183730336E-5"/>
  </r>
  <r>
    <n v="27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58877.26130441102"/>
    <x v="4"/>
    <m/>
    <m/>
    <d v="2017-02-13T00:00:00"/>
    <n v="0.12054794520547946"/>
    <n v="1"/>
    <m/>
    <n v="1"/>
    <n v="1"/>
    <s v="11"/>
    <n v="0.01"/>
    <n v="182149.36250000002"/>
    <n v="182149.36250000002"/>
    <n v="28264.250328305345"/>
    <n v="-568885.1"/>
    <m/>
    <n v="18214936.25"/>
    <s v="DBK GR Equity"/>
    <x v="76"/>
    <n v="-1.422212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000"/>
    <m/>
    <s v="KRW"/>
    <n v="1207.8"/>
    <m/>
    <m/>
    <m/>
    <m/>
    <n v="0"/>
    <n v="0"/>
    <n v="0"/>
    <n v="0"/>
    <n v="0"/>
    <n v="7.0660625820763366E-5"/>
  </r>
  <r>
    <n v="27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58877.26130441102"/>
    <x v="4"/>
    <m/>
    <m/>
    <d v="2017-02-13T00:00:00"/>
    <n v="0.12054794520547946"/>
    <n v="1"/>
    <m/>
    <n v="1"/>
    <n v="1"/>
    <s v="11"/>
    <n v="0.01"/>
    <n v="182149.36250000002"/>
    <n v="182149.36250000002"/>
    <n v="28264.250328305345"/>
    <n v="-602834.78"/>
    <m/>
    <n v="18214936.25"/>
    <s v="DBK GR Equity"/>
    <x v="76"/>
    <n v="-1.5070869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000"/>
    <m/>
    <s v="KRW"/>
    <n v="1207.8"/>
    <m/>
    <m/>
    <m/>
    <m/>
    <n v="0"/>
    <n v="0"/>
    <n v="0"/>
    <n v="0"/>
    <n v="0"/>
    <n v="7.0660625820763366E-5"/>
  </r>
  <r>
    <n v="27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724.00628327474"/>
    <x v="4"/>
    <m/>
    <m/>
    <d v="2017-03-13T00:00:00"/>
    <n v="0.19726027397260273"/>
    <n v="1"/>
    <m/>
    <n v="1"/>
    <n v="1"/>
    <s v="11"/>
    <n v="0.01"/>
    <n v="347739.69200000004"/>
    <n v="347739.69200000004"/>
    <n v="53959.023346984264"/>
    <n v="-827355.43"/>
    <m/>
    <n v="34773969.200000003"/>
    <s v="DBK GR Equity"/>
    <x v="76"/>
    <n v="-2.06838857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000000000"/>
    <m/>
    <s v="KRW"/>
    <n v="1207.8"/>
    <m/>
    <m/>
    <m/>
    <m/>
    <n v="0"/>
    <n v="0"/>
    <n v="0"/>
    <n v="0"/>
    <n v="0"/>
    <n v="1.3489755836746067E-4"/>
  </r>
  <r>
    <n v="27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724.00628327474"/>
    <x v="4"/>
    <m/>
    <m/>
    <d v="2017-03-13T00:00:00"/>
    <n v="0.19726027397260273"/>
    <n v="1"/>
    <m/>
    <n v="1"/>
    <n v="1"/>
    <s v="11"/>
    <n v="0.01"/>
    <n v="347739.69200000004"/>
    <n v="347739.69200000004"/>
    <n v="53959.023346984264"/>
    <n v="-835555.35"/>
    <m/>
    <n v="34773969.200000003"/>
    <s v="DBK GR Equity"/>
    <x v="76"/>
    <n v="-2.0888883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000000000"/>
    <m/>
    <s v="KRW"/>
    <n v="1207.8"/>
    <m/>
    <m/>
    <m/>
    <m/>
    <n v="0"/>
    <n v="0"/>
    <n v="0"/>
    <n v="0"/>
    <n v="0"/>
    <n v="1.3489755836746067E-4"/>
  </r>
  <r>
    <n v="27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005109.3645723229"/>
    <x v="4"/>
    <m/>
    <m/>
    <d v="2017-03-13T00:00:00"/>
    <n v="0.19726027397260273"/>
    <n v="1"/>
    <m/>
    <n v="1"/>
    <n v="1"/>
    <s v="11"/>
    <n v="0.01"/>
    <n v="1722139.4271000002"/>
    <n v="1722139.4271000002"/>
    <n v="267225.63944081194"/>
    <n v="-4984476.3600000003"/>
    <m/>
    <n v="172213942.71000001"/>
    <s v="DBK GR Equity"/>
    <x v="76"/>
    <n v="-1.24611909E-2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8000000000"/>
    <m/>
    <s v="KRW"/>
    <n v="1207.8"/>
    <m/>
    <m/>
    <m/>
    <m/>
    <n v="0"/>
    <n v="0"/>
    <n v="0"/>
    <n v="0"/>
    <n v="0"/>
    <n v="6.6806409860202987E-4"/>
  </r>
  <r>
    <n v="28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724.00628327474"/>
    <x v="4"/>
    <m/>
    <m/>
    <d v="2017-03-13T00:00:00"/>
    <n v="0.19726027397260273"/>
    <n v="1"/>
    <m/>
    <n v="1"/>
    <n v="1"/>
    <s v="11"/>
    <n v="0.01"/>
    <n v="347739.69200000004"/>
    <n v="347739.69200000004"/>
    <n v="53959.023346984264"/>
    <n v="-1092558.45"/>
    <m/>
    <n v="34773969.200000003"/>
    <s v="DBK GR Equity"/>
    <x v="76"/>
    <n v="-2.7313961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000000000"/>
    <m/>
    <s v="KRW"/>
    <n v="1207.8"/>
    <m/>
    <m/>
    <m/>
    <m/>
    <n v="0"/>
    <n v="0"/>
    <n v="0"/>
    <n v="0"/>
    <n v="0"/>
    <n v="1.3489755836746067E-4"/>
  </r>
  <r>
    <n v="28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724.00628327474"/>
    <x v="4"/>
    <m/>
    <m/>
    <d v="2017-03-13T00:00:00"/>
    <n v="0.19726027397260273"/>
    <n v="1"/>
    <m/>
    <n v="1"/>
    <n v="1"/>
    <s v="11"/>
    <n v="0.01"/>
    <n v="347739.69200000004"/>
    <n v="347739.69200000004"/>
    <n v="53959.023346984264"/>
    <n v="-1098722.6599999999"/>
    <m/>
    <n v="34773969.200000003"/>
    <s v="DBK GR Equity"/>
    <x v="76"/>
    <n v="-2.746806649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000000000"/>
    <m/>
    <s v="KRW"/>
    <n v="1207.8"/>
    <m/>
    <m/>
    <m/>
    <m/>
    <n v="0"/>
    <n v="0"/>
    <n v="0"/>
    <n v="0"/>
    <n v="0"/>
    <n v="1.3489755836746067E-4"/>
  </r>
  <r>
    <n v="28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87661.3520057742"/>
    <x v="4"/>
    <m/>
    <m/>
    <d v="2017-03-13T00:00:00"/>
    <n v="0.19726027397260273"/>
    <n v="1"/>
    <m/>
    <n v="1"/>
    <n v="1"/>
    <s v="11"/>
    <n v="0.01"/>
    <n v="1026660.0431"/>
    <n v="1026660.0431"/>
    <n v="159307.59274684341"/>
    <n v="-2971514.76"/>
    <m/>
    <n v="102666004.31"/>
    <s v="DBK GR Equity"/>
    <x v="76"/>
    <n v="-7.428786899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4000000000"/>
    <m/>
    <s v="KRW"/>
    <n v="1207.8"/>
    <m/>
    <m/>
    <m/>
    <m/>
    <n v="0"/>
    <n v="0"/>
    <n v="0"/>
    <n v="0"/>
    <n v="0"/>
    <n v="3.9826898186710852E-4"/>
  </r>
  <r>
    <n v="28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45427.3523881319"/>
    <x v="4"/>
    <m/>
    <m/>
    <d v="2017-03-13T00:00:00"/>
    <n v="0.19726027397260273"/>
    <n v="1"/>
    <m/>
    <n v="1"/>
    <n v="1"/>
    <s v="11"/>
    <n v="0.01"/>
    <n v="1051498.5925"/>
    <n v="1051498.5925"/>
    <n v="163161.808695766"/>
    <n v="-2858251.51"/>
    <m/>
    <n v="105149859.25"/>
    <s v="DBK GR Equity"/>
    <x v="76"/>
    <n v="-7.145628774999999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7000000000"/>
    <m/>
    <s v="KRW"/>
    <n v="1207.8"/>
    <m/>
    <m/>
    <m/>
    <m/>
    <n v="0"/>
    <n v="0"/>
    <n v="0"/>
    <n v="0"/>
    <n v="0"/>
    <n v="4.0790452173941502E-4"/>
  </r>
  <r>
    <n v="28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724.00628327474"/>
    <x v="4"/>
    <m/>
    <m/>
    <d v="2017-03-13T00:00:00"/>
    <n v="0.19726027397260273"/>
    <n v="1"/>
    <m/>
    <n v="1"/>
    <n v="1"/>
    <s v="11"/>
    <n v="0.01"/>
    <n v="347739.69200000004"/>
    <n v="347739.69200000004"/>
    <n v="53959.023346984264"/>
    <n v="-968186.13"/>
    <m/>
    <n v="34773969.200000003"/>
    <s v="DBK GR Equity"/>
    <x v="76"/>
    <n v="-2.4204653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000000000"/>
    <m/>
    <s v="KRW"/>
    <n v="1207.8"/>
    <m/>
    <m/>
    <m/>
    <m/>
    <n v="0"/>
    <n v="0"/>
    <n v="0"/>
    <n v="0"/>
    <n v="0"/>
    <n v="1.3489755836746067E-4"/>
  </r>
  <r>
    <n v="28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724.00628327474"/>
    <x v="4"/>
    <m/>
    <m/>
    <d v="2017-03-13T00:00:00"/>
    <n v="0.19726027397260273"/>
    <n v="1"/>
    <m/>
    <n v="1"/>
    <n v="1"/>
    <s v="11"/>
    <n v="0.01"/>
    <n v="347739.69200000004"/>
    <n v="347739.69200000004"/>
    <n v="53959.023346984264"/>
    <n v="-991153.12"/>
    <m/>
    <n v="34773969.200000003"/>
    <s v="DBK GR Equity"/>
    <x v="76"/>
    <n v="-2.4778828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000000000"/>
    <m/>
    <s v="KRW"/>
    <n v="1207.8"/>
    <m/>
    <m/>
    <m/>
    <m/>
    <n v="0"/>
    <n v="0"/>
    <n v="0"/>
    <n v="0"/>
    <n v="0"/>
    <n v="1.3489755836746067E-4"/>
  </r>
  <r>
    <n v="28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724.00628327474"/>
    <x v="4"/>
    <m/>
    <m/>
    <d v="2017-03-13T00:00:00"/>
    <n v="0.19726027397260273"/>
    <n v="1"/>
    <m/>
    <n v="1"/>
    <n v="1"/>
    <s v="11"/>
    <n v="0.01"/>
    <n v="347739.69200000004"/>
    <n v="347739.69200000004"/>
    <n v="53959.023346984264"/>
    <n v="-865958.24"/>
    <m/>
    <n v="34773969.200000003"/>
    <s v="DBK GR Equity"/>
    <x v="76"/>
    <n v="-2.16489559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000000000"/>
    <m/>
    <s v="KRW"/>
    <n v="1207.8"/>
    <m/>
    <m/>
    <m/>
    <m/>
    <n v="0"/>
    <n v="0"/>
    <n v="0"/>
    <n v="0"/>
    <n v="0"/>
    <n v="1.3489755836746067E-4"/>
  </r>
  <r>
    <n v="28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724.00628327474"/>
    <x v="4"/>
    <m/>
    <m/>
    <d v="2017-03-13T00:00:00"/>
    <n v="0.19726027397260273"/>
    <n v="1"/>
    <m/>
    <n v="1"/>
    <n v="1"/>
    <s v="11"/>
    <n v="0.01"/>
    <n v="347739.69200000004"/>
    <n v="347739.69200000004"/>
    <n v="53959.023346984264"/>
    <n v="-1071308.1399999999"/>
    <m/>
    <n v="34773969.200000003"/>
    <s v="DBK GR Equity"/>
    <x v="76"/>
    <n v="-2.6782703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000000000"/>
    <m/>
    <s v="KRW"/>
    <n v="1207.8"/>
    <m/>
    <m/>
    <m/>
    <m/>
    <n v="0"/>
    <n v="0"/>
    <n v="0"/>
    <n v="0"/>
    <n v="0"/>
    <n v="1.3489755836746067E-4"/>
  </r>
  <r>
    <n v="28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8724.00628327474"/>
    <x v="4"/>
    <m/>
    <m/>
    <d v="2017-03-13T00:00:00"/>
    <n v="0.19726027397260273"/>
    <n v="1"/>
    <m/>
    <n v="1"/>
    <n v="1"/>
    <s v="11"/>
    <n v="0.01"/>
    <n v="347739.69200000004"/>
    <n v="347739.69200000004"/>
    <n v="53959.023346984264"/>
    <n v="-999428.44"/>
    <m/>
    <n v="34773969.200000003"/>
    <s v="DBK GR Equity"/>
    <x v="76"/>
    <n v="-2.49857109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000000000"/>
    <m/>
    <s v="KRW"/>
    <n v="1207.8"/>
    <m/>
    <m/>
    <m/>
    <m/>
    <n v="0"/>
    <n v="0"/>
    <n v="0"/>
    <n v="0"/>
    <n v="0"/>
    <n v="1.3489755836746067E-4"/>
  </r>
  <r>
    <n v="28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67128.6772662436"/>
    <x v="4"/>
    <m/>
    <m/>
    <d v="2017-03-13T00:00:00"/>
    <n v="0.19726027397260273"/>
    <n v="1"/>
    <m/>
    <n v="1"/>
    <n v="1"/>
    <s v="11"/>
    <n v="0.01"/>
    <n v="587845.66980000003"/>
    <n v="587845.66980000003"/>
    <n v="91216.444227947955"/>
    <n v="-1828716.86"/>
    <m/>
    <n v="58784566.979999997"/>
    <s v="DBK GR Equity"/>
    <x v="76"/>
    <n v="-4.5717921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71000000000"/>
    <m/>
    <s v="KRW"/>
    <n v="1207.8"/>
    <m/>
    <m/>
    <m/>
    <m/>
    <n v="0"/>
    <n v="0"/>
    <n v="0"/>
    <n v="0"/>
    <n v="0"/>
    <n v="2.2804111056986989E-4"/>
  </r>
  <r>
    <n v="29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67128.6772662436"/>
    <x v="4"/>
    <m/>
    <m/>
    <d v="2017-03-13T00:00:00"/>
    <n v="0.19726027397260273"/>
    <n v="1"/>
    <m/>
    <n v="1"/>
    <n v="1"/>
    <s v="11"/>
    <n v="0.01"/>
    <n v="587845.66980000003"/>
    <n v="587845.66980000003"/>
    <n v="91216.444227947955"/>
    <n v="-1806858.66"/>
    <m/>
    <n v="58784566.979999997"/>
    <s v="DBK GR Equity"/>
    <x v="76"/>
    <n v="-4.517146649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71000000000"/>
    <m/>
    <s v="KRW"/>
    <n v="1207.8"/>
    <m/>
    <m/>
    <m/>
    <m/>
    <n v="0"/>
    <n v="0"/>
    <n v="0"/>
    <n v="0"/>
    <n v="0"/>
    <n v="2.2804111056986989E-4"/>
  </r>
  <r>
    <n v="29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851066.6967309909"/>
    <x v="4"/>
    <m/>
    <m/>
    <d v="2017-03-13T00:00:00"/>
    <n v="0.19726027397260273"/>
    <n v="1"/>
    <m/>
    <n v="1"/>
    <n v="1"/>
    <s v="11"/>
    <n v="0.01"/>
    <n v="1655903.2953000001"/>
    <n v="1655903.2953000001"/>
    <n v="256947.73023334038"/>
    <n v="-4559420.28"/>
    <m/>
    <n v="165590329.53"/>
    <s v="DBK GR Equity"/>
    <x v="76"/>
    <n v="-1.1398550700000001E-2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0000"/>
    <m/>
    <s v="KRW"/>
    <n v="1207.8"/>
    <m/>
    <m/>
    <m/>
    <m/>
    <n v="0"/>
    <n v="0"/>
    <n v="0"/>
    <n v="0"/>
    <n v="0"/>
    <n v="6.4236932558335092E-4"/>
  </r>
  <r>
    <n v="29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59043.34158358"/>
    <x v="4"/>
    <m/>
    <m/>
    <d v="2017-03-13T00:00:00"/>
    <n v="0.19726027397260273"/>
    <n v="1"/>
    <m/>
    <n v="1"/>
    <n v="1"/>
    <s v="11"/>
    <n v="0.01"/>
    <n v="455373.40619999997"/>
    <n v="455373.40619999997"/>
    <n v="70660.625813004808"/>
    <n v="-1245831.6599999999"/>
    <m/>
    <n v="45537340.619999997"/>
    <s v="DBK GR Equity"/>
    <x v="76"/>
    <n v="-3.1145791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5000000000"/>
    <m/>
    <s v="KRW"/>
    <n v="1207.8"/>
    <m/>
    <m/>
    <m/>
    <m/>
    <n v="0"/>
    <n v="0"/>
    <n v="0"/>
    <n v="0"/>
    <n v="0"/>
    <n v="1.7665156453251202E-4"/>
  </r>
  <r>
    <n v="29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67128.6772662436"/>
    <x v="4"/>
    <m/>
    <m/>
    <d v="2017-03-13T00:00:00"/>
    <n v="0.19726027397260273"/>
    <n v="1"/>
    <m/>
    <n v="1"/>
    <n v="1"/>
    <s v="11"/>
    <n v="0.01"/>
    <n v="587845.66980000003"/>
    <n v="587845.66980000003"/>
    <n v="91216.444227947955"/>
    <n v="-1596886.8"/>
    <m/>
    <n v="58784566.979999997"/>
    <s v="DBK GR Equity"/>
    <x v="76"/>
    <n v="-3.9922170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71000000000"/>
    <m/>
    <s v="KRW"/>
    <n v="1207.8"/>
    <m/>
    <m/>
    <m/>
    <m/>
    <n v="0"/>
    <n v="0"/>
    <n v="0"/>
    <n v="0"/>
    <n v="0"/>
    <n v="2.2804111056986989E-4"/>
  </r>
  <r>
    <n v="29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67128.6772662436"/>
    <x v="4"/>
    <m/>
    <m/>
    <d v="2017-03-13T00:00:00"/>
    <n v="0.19726027397260273"/>
    <n v="1"/>
    <m/>
    <n v="1"/>
    <n v="1"/>
    <s v="11"/>
    <n v="0.01"/>
    <n v="587845.66980000003"/>
    <n v="587845.66980000003"/>
    <n v="91216.444227947955"/>
    <n v="-1854759.05"/>
    <m/>
    <n v="58784566.979999997"/>
    <s v="DBK GR Equity"/>
    <x v="76"/>
    <n v="-4.636897624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71000000000"/>
    <m/>
    <s v="KRW"/>
    <n v="1207.8"/>
    <m/>
    <m/>
    <m/>
    <m/>
    <n v="0"/>
    <n v="0"/>
    <n v="0"/>
    <n v="0"/>
    <n v="0"/>
    <n v="2.2804111056986989E-4"/>
  </r>
  <r>
    <n v="29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25525.7020308881"/>
    <x v="4"/>
    <m/>
    <m/>
    <d v="2017-03-13T00:00:00"/>
    <n v="0.19726027397260273"/>
    <n v="1"/>
    <m/>
    <n v="1"/>
    <n v="1"/>
    <s v="11"/>
    <n v="0.01"/>
    <n v="698952.67430000007"/>
    <n v="698952.67430000007"/>
    <n v="108456.99970019754"/>
    <n v="-2567707.7999999998"/>
    <m/>
    <n v="69895267.430000007"/>
    <s v="DBK GR Equity"/>
    <x v="76"/>
    <n v="-6.41926949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4419504000"/>
    <m/>
    <s v="KRW"/>
    <n v="1207.8"/>
    <m/>
    <m/>
    <m/>
    <m/>
    <n v="0"/>
    <n v="0"/>
    <n v="0"/>
    <n v="0"/>
    <n v="0"/>
    <n v="2.7114249925049385E-4"/>
  </r>
  <r>
    <n v="29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3617.33667994529"/>
    <x v="4"/>
    <m/>
    <m/>
    <d v="2017-03-13T00:00:00"/>
    <n v="0.19726027397260273"/>
    <n v="1"/>
    <m/>
    <n v="1"/>
    <n v="1"/>
    <s v="11"/>
    <n v="0.01"/>
    <n v="182149.36250000002"/>
    <n v="182149.36250000002"/>
    <n v="28264.250328305345"/>
    <n v="-157893.70000000001"/>
    <m/>
    <n v="18214936.25"/>
    <s v="DBK GR Equity"/>
    <x v="76"/>
    <n v="-3.94734250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000"/>
    <m/>
    <s v="KRW"/>
    <n v="1207.8"/>
    <m/>
    <m/>
    <m/>
    <m/>
    <n v="0"/>
    <n v="0"/>
    <n v="0"/>
    <n v="0"/>
    <n v="0"/>
    <n v="7.0660625820763366E-5"/>
  </r>
  <r>
    <n v="29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72783.89124358189"/>
    <x v="4"/>
    <m/>
    <m/>
    <d v="2017-06-19T00:00:00"/>
    <n v="0.46575342465753422"/>
    <n v="1"/>
    <m/>
    <n v="1"/>
    <n v="1"/>
    <s v="11"/>
    <n v="0.01"/>
    <n v="49677.098899999997"/>
    <n v="49677.098899999997"/>
    <n v="7708.4319133622103"/>
    <n v="-190438.02"/>
    <m/>
    <n v="4967709.8899999997"/>
    <s v="DBK GR Equity"/>
    <x v="76"/>
    <n v="-4.760950499999999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6000000000"/>
    <m/>
    <s v="KRW"/>
    <n v="1207.8"/>
    <m/>
    <m/>
    <m/>
    <m/>
    <n v="0"/>
    <n v="0"/>
    <n v="0"/>
    <n v="0"/>
    <n v="0"/>
    <n v="1.9271079783405525E-5"/>
  </r>
  <r>
    <n v="29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6003.37505610959"/>
    <x v="4"/>
    <m/>
    <m/>
    <d v="2017-03-15T00:00:00"/>
    <n v="0.20273972602739726"/>
    <n v="1"/>
    <m/>
    <n v="1"/>
    <n v="1"/>
    <s v="11"/>
    <n v="0.01"/>
    <n v="69449.899999999994"/>
    <n v="361148.68999999994"/>
    <n v="56039.707412643525"/>
    <n v="291698.78999999998"/>
    <m/>
    <n v="6944990"/>
    <s v="DBK GR Equity"/>
    <x v="77"/>
    <n v="7.292469749999999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NZD"/>
    <n v="0.69449899999999998"/>
    <m/>
    <m/>
    <m/>
    <m/>
    <n v="0"/>
    <n v="0"/>
    <n v="0"/>
    <n v="0"/>
    <n v="0"/>
    <n v="1.4009926853160882E-4"/>
  </r>
  <r>
    <n v="29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6003.37505610959"/>
    <x v="4"/>
    <m/>
    <m/>
    <d v="2017-03-15T00:00:00"/>
    <n v="0.20273972602739726"/>
    <n v="1"/>
    <m/>
    <n v="1"/>
    <n v="1"/>
    <s v="11"/>
    <n v="0.01"/>
    <n v="69449.899999999994"/>
    <n v="386648.68999999994"/>
    <n v="59996.561136860029"/>
    <n v="317198.78999999998"/>
    <m/>
    <n v="6944990"/>
    <s v="DBK GR Equity"/>
    <x v="77"/>
    <n v="7.929969749999999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NZD"/>
    <n v="0.69449899999999998"/>
    <m/>
    <m/>
    <m/>
    <m/>
    <n v="0"/>
    <n v="0"/>
    <n v="0"/>
    <n v="0"/>
    <n v="0"/>
    <n v="1.4999140284215008E-4"/>
  </r>
  <r>
    <n v="30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6003.37505610959"/>
    <x v="4"/>
    <m/>
    <m/>
    <d v="2017-03-15T00:00:00"/>
    <n v="0.20273972602739726"/>
    <n v="1"/>
    <m/>
    <n v="1"/>
    <n v="1"/>
    <s v="11"/>
    <n v="0.01"/>
    <n v="69449.899999999994"/>
    <n v="235048.69"/>
    <n v="36472.677819557241"/>
    <n v="165598.79"/>
    <m/>
    <n v="6944990"/>
    <s v="DBK GR Equity"/>
    <x v="77"/>
    <n v="4.13996975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NZD"/>
    <n v="0.69449899999999998"/>
    <m/>
    <m/>
    <m/>
    <m/>
    <n v="0"/>
    <n v="0"/>
    <n v="0"/>
    <n v="0"/>
    <n v="0"/>
    <n v="9.1181694548893096E-5"/>
  </r>
  <r>
    <n v="30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2603.71256172057"/>
    <x v="4"/>
    <m/>
    <m/>
    <d v="2017-03-15T00:00:00"/>
    <n v="0.20273972602739726"/>
    <n v="1"/>
    <m/>
    <n v="1"/>
    <n v="1"/>
    <s v="11"/>
    <n v="0.01"/>
    <n v="76394.89"/>
    <n v="199758.55"/>
    <n v="30996.680882807366"/>
    <n v="123363.66"/>
    <m/>
    <n v="7639489"/>
    <s v="DBK GR Equity"/>
    <x v="77"/>
    <n v="3.084091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000000"/>
    <m/>
    <s v="NZD"/>
    <n v="0.69449899999999998"/>
    <m/>
    <m/>
    <m/>
    <m/>
    <n v="0"/>
    <n v="0"/>
    <n v="0"/>
    <n v="0"/>
    <n v="0"/>
    <n v="7.7491702207018411E-5"/>
  </r>
  <r>
    <n v="30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6003.37505610959"/>
    <x v="4"/>
    <m/>
    <m/>
    <d v="2017-03-15T00:00:00"/>
    <n v="0.20273972602739726"/>
    <n v="1"/>
    <m/>
    <n v="1"/>
    <n v="1"/>
    <s v="11"/>
    <n v="0.01"/>
    <n v="69449.899999999994"/>
    <n v="151948.69"/>
    <n v="23577.989800639938"/>
    <n v="82498.789999999994"/>
    <m/>
    <n v="6944990"/>
    <s v="DBK GR Equity"/>
    <x v="77"/>
    <n v="2.0624697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NZD"/>
    <n v="0.69449899999999998"/>
    <m/>
    <m/>
    <m/>
    <m/>
    <n v="0"/>
    <n v="0"/>
    <n v="0"/>
    <n v="0"/>
    <n v="0"/>
    <n v="5.8944974501599848E-5"/>
  </r>
  <r>
    <n v="30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9403.03755049862"/>
    <x v="4"/>
    <m/>
    <m/>
    <d v="2017-03-15T00:00:00"/>
    <n v="0.20273972602739726"/>
    <n v="1"/>
    <m/>
    <n v="1"/>
    <n v="1"/>
    <s v="11"/>
    <n v="0.01"/>
    <n v="62504.91"/>
    <n v="263518.82"/>
    <n v="40890.408796789707"/>
    <n v="201013.91"/>
    <m/>
    <n v="6250491"/>
    <s v="DBK GR Equity"/>
    <x v="77"/>
    <n v="5.025347750000000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9000000"/>
    <m/>
    <s v="NZD"/>
    <n v="0.69449899999999998"/>
    <m/>
    <m/>
    <m/>
    <m/>
    <n v="0"/>
    <n v="0"/>
    <n v="0"/>
    <n v="0"/>
    <n v="0"/>
    <n v="1.0222602199197426E-4"/>
  </r>
  <r>
    <n v="30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6202.36253927671"/>
    <x v="4"/>
    <m/>
    <m/>
    <d v="2017-03-15T00:00:00"/>
    <n v="0.20273972602739726"/>
    <n v="1"/>
    <m/>
    <n v="1"/>
    <n v="1"/>
    <s v="11"/>
    <n v="0.01"/>
    <n v="48614.93"/>
    <n v="200619.08"/>
    <n v="31130.209954779915"/>
    <n v="152004.15"/>
    <m/>
    <n v="4861493"/>
    <s v="DBK GR Equity"/>
    <x v="77"/>
    <n v="3.8001037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000000"/>
    <m/>
    <s v="NZD"/>
    <n v="0.69449899999999998"/>
    <m/>
    <m/>
    <m/>
    <m/>
    <n v="0"/>
    <n v="0"/>
    <n v="0"/>
    <n v="0"/>
    <n v="0"/>
    <n v="7.7825524886949789E-5"/>
  </r>
  <r>
    <n v="30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98010.12516832881"/>
    <x v="4"/>
    <m/>
    <m/>
    <d v="2017-03-15T00:00:00"/>
    <n v="0.20273972602739726"/>
    <n v="1"/>
    <m/>
    <n v="1"/>
    <n v="1"/>
    <s v="11"/>
    <n v="0.01"/>
    <n v="208349.7"/>
    <n v="804896.06"/>
    <n v="124896.31265169363"/>
    <n v="596546.36"/>
    <m/>
    <n v="20834970"/>
    <s v="DBK GR Equity"/>
    <x v="77"/>
    <n v="1.491365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"/>
    <m/>
    <s v="NZD"/>
    <n v="0.69449899999999998"/>
    <m/>
    <m/>
    <m/>
    <m/>
    <n v="0"/>
    <n v="0"/>
    <n v="0"/>
    <n v="0"/>
    <n v="0"/>
    <n v="3.1224078162923408E-4"/>
  </r>
  <r>
    <n v="30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9005.06258416441"/>
    <x v="4"/>
    <m/>
    <m/>
    <d v="2017-03-15T00:00:00"/>
    <n v="0.20273972602739726"/>
    <n v="1"/>
    <m/>
    <n v="1"/>
    <n v="1"/>
    <s v="11"/>
    <n v="0.01"/>
    <n v="104174.85"/>
    <n v="466948.03"/>
    <n v="72456.668687100318"/>
    <n v="362773.18"/>
    <m/>
    <n v="10417485"/>
    <s v="DBK GR Equity"/>
    <x v="77"/>
    <n v="9.069329499999999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NZD"/>
    <n v="0.69449899999999998"/>
    <m/>
    <m/>
    <m/>
    <m/>
    <n v="0"/>
    <n v="0"/>
    <n v="0"/>
    <n v="0"/>
    <n v="0"/>
    <n v="1.8114167171775079E-4"/>
  </r>
  <r>
    <n v="30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4398.34364340824"/>
    <x v="4"/>
    <m/>
    <m/>
    <d v="2017-05-17T00:00:00"/>
    <n v="0.37534246575342467"/>
    <n v="1"/>
    <m/>
    <n v="1"/>
    <n v="1"/>
    <s v="11"/>
    <n v="0.01"/>
    <n v="41669.94"/>
    <n v="183472.61000000002"/>
    <n v="28469.57961451849"/>
    <n v="141802.67000000001"/>
    <m/>
    <n v="4166994"/>
    <s v="DBK GR Equity"/>
    <x v="77"/>
    <n v="3.545066750000000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6000000"/>
    <m/>
    <s v="NZD"/>
    <n v="0.69449899999999998"/>
    <m/>
    <m/>
    <m/>
    <m/>
    <n v="0"/>
    <n v="0"/>
    <n v="0"/>
    <n v="0"/>
    <n v="0"/>
    <n v="7.1173949036296223E-5"/>
  </r>
  <r>
    <n v="30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7330.57273901376"/>
    <x v="4"/>
    <m/>
    <m/>
    <d v="2017-05-17T00:00:00"/>
    <n v="0.37534246575342467"/>
    <n v="1"/>
    <m/>
    <n v="1"/>
    <n v="1"/>
    <s v="11"/>
    <n v="0.01"/>
    <n v="69449.899999999994"/>
    <n v="325537.69"/>
    <n v="50513.92239409162"/>
    <n v="256087.79"/>
    <m/>
    <n v="6944990"/>
    <s v="DBK GR Equity"/>
    <x v="77"/>
    <n v="6.4021947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NZD"/>
    <n v="0.69449899999999998"/>
    <m/>
    <m/>
    <m/>
    <m/>
    <n v="0"/>
    <n v="0"/>
    <n v="0"/>
    <n v="0"/>
    <n v="0"/>
    <n v="1.2628480598522905E-4"/>
  </r>
  <r>
    <n v="30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68796.68728681648"/>
    <x v="4"/>
    <m/>
    <m/>
    <d v="2017-05-17T00:00:00"/>
    <n v="0.37534246575342467"/>
    <n v="1"/>
    <m/>
    <n v="1"/>
    <n v="1"/>
    <s v="11"/>
    <n v="0.01"/>
    <n v="83339.88"/>
    <n v="400785.22000000003"/>
    <n v="62190.136877173696"/>
    <n v="317445.34000000003"/>
    <m/>
    <n v="8333988"/>
    <s v="DBK GR Equity"/>
    <x v="77"/>
    <n v="7.936133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NZD"/>
    <n v="0.69449899999999998"/>
    <m/>
    <m/>
    <m/>
    <m/>
    <n v="0"/>
    <n v="0"/>
    <n v="0"/>
    <n v="0"/>
    <n v="0"/>
    <n v="1.5547534219293425E-4"/>
  </r>
  <r>
    <n v="31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21991.71821704111"/>
    <x v="4"/>
    <m/>
    <m/>
    <d v="2017-05-17T00:00:00"/>
    <n v="0.37534246575342467"/>
    <n v="1"/>
    <m/>
    <n v="1"/>
    <n v="1"/>
    <s v="11"/>
    <n v="0.01"/>
    <n v="208349.7"/>
    <n v="208349.7"/>
    <n v="32329.775936642764"/>
    <n v="-251436.64"/>
    <m/>
    <n v="20834970"/>
    <s v="DBK GR Equity"/>
    <x v="77"/>
    <n v="-6.285916000000000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"/>
    <m/>
    <s v="NZD"/>
    <n v="0.69449899999999998"/>
    <m/>
    <m/>
    <m/>
    <m/>
    <n v="0"/>
    <n v="0"/>
    <n v="0"/>
    <n v="0"/>
    <n v="0"/>
    <n v="8.0824439841606913E-5"/>
  </r>
  <r>
    <n v="31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21991.71821704111"/>
    <x v="4"/>
    <m/>
    <m/>
    <d v="2017-05-17T00:00:00"/>
    <n v="0.37534246575342467"/>
    <n v="1"/>
    <m/>
    <n v="1"/>
    <n v="1"/>
    <s v="11"/>
    <n v="0.01"/>
    <n v="208349.7"/>
    <n v="208349.7"/>
    <n v="32329.775936642764"/>
    <n v="-252636.64"/>
    <m/>
    <n v="20834970"/>
    <s v="DBK GR Equity"/>
    <x v="77"/>
    <n v="-6.31591600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"/>
    <m/>
    <s v="NZD"/>
    <n v="0.69449899999999998"/>
    <m/>
    <m/>
    <m/>
    <m/>
    <n v="0"/>
    <n v="0"/>
    <n v="0"/>
    <n v="0"/>
    <n v="0"/>
    <n v="8.0824439841606913E-5"/>
  </r>
  <r>
    <n v="31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21991.71821704111"/>
    <x v="4"/>
    <m/>
    <m/>
    <d v="2017-05-17T00:00:00"/>
    <n v="0.37534246575342467"/>
    <n v="1"/>
    <m/>
    <n v="1"/>
    <n v="1"/>
    <s v="11"/>
    <n v="0.01"/>
    <n v="208349.7"/>
    <n v="208349.7"/>
    <n v="32329.775936642764"/>
    <n v="-84336.639999999999"/>
    <m/>
    <n v="20834970"/>
    <s v="DBK GR Equity"/>
    <x v="77"/>
    <n v="-2.10841600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"/>
    <m/>
    <s v="NZD"/>
    <n v="0.69449899999999998"/>
    <m/>
    <m/>
    <m/>
    <m/>
    <n v="0"/>
    <n v="0"/>
    <n v="0"/>
    <n v="0"/>
    <n v="0"/>
    <n v="8.0824439841606913E-5"/>
  </r>
  <r>
    <n v="31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21991.71821704111"/>
    <x v="4"/>
    <m/>
    <m/>
    <d v="2017-05-17T00:00:00"/>
    <n v="0.37534246575342467"/>
    <n v="1"/>
    <m/>
    <n v="1"/>
    <n v="1"/>
    <s v="11"/>
    <n v="0.01"/>
    <n v="208349.7"/>
    <n v="208349.7"/>
    <n v="32329.775936642764"/>
    <n v="-91986.64"/>
    <m/>
    <n v="20834970"/>
    <s v="DBK GR Equity"/>
    <x v="77"/>
    <n v="-2.29966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"/>
    <m/>
    <s v="NZD"/>
    <n v="0.69449899999999998"/>
    <m/>
    <m/>
    <m/>
    <m/>
    <n v="0"/>
    <n v="0"/>
    <n v="0"/>
    <n v="0"/>
    <n v="0"/>
    <n v="8.0824439841606913E-5"/>
  </r>
  <r>
    <n v="31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1258.66094313993"/>
    <x v="4"/>
    <m/>
    <m/>
    <d v="2017-05-17T00:00:00"/>
    <n v="0.37534246575342467"/>
    <n v="1"/>
    <m/>
    <n v="1"/>
    <n v="1"/>
    <s v="11"/>
    <n v="0.01"/>
    <n v="201404.71"/>
    <n v="201404.71"/>
    <n v="31252.11673875467"/>
    <n v="-153445.42000000001"/>
    <m/>
    <n v="20140471"/>
    <s v="DBK GR Equity"/>
    <x v="77"/>
    <n v="-3.83613550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9000000"/>
    <m/>
    <s v="NZD"/>
    <n v="0.69449899999999998"/>
    <m/>
    <m/>
    <m/>
    <m/>
    <n v="0"/>
    <n v="0"/>
    <n v="0"/>
    <n v="0"/>
    <n v="0"/>
    <n v="7.8130291846886677E-5"/>
  </r>
  <r>
    <n v="31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52724.77549094253"/>
    <x v="4"/>
    <m/>
    <m/>
    <d v="2017-05-17T00:00:00"/>
    <n v="0.37534246575342467"/>
    <n v="1"/>
    <m/>
    <n v="1"/>
    <n v="1"/>
    <s v="11"/>
    <n v="0.01"/>
    <n v="215294.69"/>
    <n v="215294.69"/>
    <n v="33407.435134530853"/>
    <n v="-169452.86"/>
    <m/>
    <n v="21529469"/>
    <s v="DBK GR Equity"/>
    <x v="77"/>
    <n v="-4.236321499999999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1000000"/>
    <m/>
    <s v="NZD"/>
    <n v="0.69449899999999998"/>
    <m/>
    <m/>
    <m/>
    <m/>
    <n v="0"/>
    <n v="0"/>
    <n v="0"/>
    <n v="0"/>
    <n v="0"/>
    <n v="8.3518587836327137E-5"/>
  </r>
  <r>
    <n v="31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4430.25081913429"/>
    <x v="4"/>
    <m/>
    <m/>
    <d v="2017-06-21T00:00:00"/>
    <n v="0.47123287671232877"/>
    <n v="1"/>
    <m/>
    <n v="1"/>
    <n v="1"/>
    <s v="11"/>
    <n v="0.01"/>
    <n v="76394.89"/>
    <n v="76394.89"/>
    <n v="11854.251176769012"/>
    <n v="-171109.75"/>
    <m/>
    <n v="7639489"/>
    <s v="DBK GR Equity"/>
    <x v="77"/>
    <n v="-4.2777437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000000"/>
    <m/>
    <s v="NZD"/>
    <n v="0.69449899999999998"/>
    <m/>
    <m/>
    <m/>
    <m/>
    <n v="0"/>
    <n v="0"/>
    <n v="0"/>
    <n v="0"/>
    <n v="0"/>
    <n v="2.963562794192253E-5"/>
  </r>
  <r>
    <n v="31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4430.25081913429"/>
    <x v="4"/>
    <m/>
    <m/>
    <d v="2017-06-21T00:00:00"/>
    <n v="0.47123287671232877"/>
    <n v="1"/>
    <m/>
    <n v="1"/>
    <n v="1"/>
    <s v="11"/>
    <n v="0.01"/>
    <n v="76394.89"/>
    <n v="76394.89"/>
    <n v="11854.251176769012"/>
    <n v="-143939.75"/>
    <m/>
    <n v="7639489"/>
    <s v="DBK GR Equity"/>
    <x v="77"/>
    <n v="-3.5984937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000000"/>
    <m/>
    <s v="NZD"/>
    <n v="0.69449899999999998"/>
    <m/>
    <m/>
    <m/>
    <m/>
    <n v="0"/>
    <n v="0"/>
    <n v="0"/>
    <n v="0"/>
    <n v="0"/>
    <n v="2.963562794192253E-5"/>
  </r>
  <r>
    <n v="31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4430.25081913429"/>
    <x v="4"/>
    <m/>
    <m/>
    <d v="2017-06-21T00:00:00"/>
    <n v="0.47123287671232877"/>
    <n v="1"/>
    <m/>
    <n v="1"/>
    <n v="1"/>
    <s v="11"/>
    <n v="0.01"/>
    <n v="76394.89"/>
    <n v="76394.89"/>
    <n v="11854.251176769012"/>
    <n v="-145864.75"/>
    <m/>
    <n v="7639489"/>
    <s v="DBK GR Equity"/>
    <x v="77"/>
    <n v="-3.6466187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000000"/>
    <m/>
    <s v="NZD"/>
    <n v="0.69449899999999998"/>
    <m/>
    <m/>
    <m/>
    <m/>
    <n v="0"/>
    <n v="0"/>
    <n v="0"/>
    <n v="0"/>
    <n v="0"/>
    <n v="2.963562794192253E-5"/>
  </r>
  <r>
    <n v="31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840851.1842377381"/>
    <x v="4"/>
    <m/>
    <m/>
    <d v="2017-09-20T00:00:00"/>
    <n v="0.72054794520547949"/>
    <n v="1"/>
    <m/>
    <n v="1"/>
    <n v="1"/>
    <s v="11"/>
    <n v="0.01"/>
    <n v="687554.01"/>
    <n v="687554.01"/>
    <n v="106688.26059092111"/>
    <n v="-3409499.93"/>
    <m/>
    <n v="68755401"/>
    <s v="DBK GR Equity"/>
    <x v="77"/>
    <n v="-8.523749825000001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99000000"/>
    <m/>
    <s v="NZD"/>
    <n v="0.69449899999999998"/>
    <m/>
    <m/>
    <m/>
    <m/>
    <n v="0"/>
    <n v="0"/>
    <n v="0"/>
    <n v="0"/>
    <n v="0"/>
    <n v="2.6672065147730279E-4"/>
  </r>
  <r>
    <n v="32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840851.1842377381"/>
    <x v="4"/>
    <m/>
    <m/>
    <d v="2017-09-20T00:00:00"/>
    <n v="0.72054794520547949"/>
    <n v="1"/>
    <m/>
    <n v="1"/>
    <n v="1"/>
    <s v="11"/>
    <n v="0.01"/>
    <n v="687554.01"/>
    <n v="687554.01"/>
    <n v="106688.26059092111"/>
    <n v="-3293669.93"/>
    <m/>
    <n v="68755401"/>
    <s v="DBK GR Equity"/>
    <x v="77"/>
    <n v="-8.234174825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99000000"/>
    <m/>
    <s v="NZD"/>
    <n v="0.69449899999999998"/>
    <m/>
    <m/>
    <m/>
    <m/>
    <n v="0"/>
    <n v="0"/>
    <n v="0"/>
    <n v="0"/>
    <n v="0"/>
    <n v="2.6672065147730279E-4"/>
  </r>
  <r>
    <n v="32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616921.1387233529"/>
    <x v="4"/>
    <m/>
    <m/>
    <d v="2017-10-18T00:00:00"/>
    <n v="0.79726027397260268"/>
    <n v="1"/>
    <m/>
    <n v="1"/>
    <n v="1"/>
    <s v="11"/>
    <n v="0.01"/>
    <n v="916738.68"/>
    <n v="916738.68"/>
    <n v="142251.01412122816"/>
    <n v="-2589787.88"/>
    <m/>
    <n v="91673868"/>
    <s v="DBK GR Equity"/>
    <x v="77"/>
    <n v="-6.4744696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2000000"/>
    <m/>
    <s v="NZD"/>
    <n v="0.69449899999999998"/>
    <m/>
    <m/>
    <m/>
    <m/>
    <n v="0"/>
    <n v="0"/>
    <n v="0"/>
    <n v="0"/>
    <n v="0"/>
    <n v="3.5562753530307039E-4"/>
  </r>
  <r>
    <n v="32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58391.1678916712"/>
    <x v="4"/>
    <m/>
    <m/>
    <d v="2017-10-18T00:00:00"/>
    <n v="0.79726027397260268"/>
    <n v="1"/>
    <m/>
    <n v="1"/>
    <n v="1"/>
    <s v="11"/>
    <n v="0.01"/>
    <n v="208349.7"/>
    <n v="208349.7"/>
    <n v="32329.775936642764"/>
    <n v="-926988.15"/>
    <m/>
    <n v="20834970"/>
    <s v="DBK GR Equity"/>
    <x v="77"/>
    <n v="-2.31747037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"/>
    <m/>
    <s v="NZD"/>
    <n v="0.69449899999999998"/>
    <m/>
    <m/>
    <m/>
    <m/>
    <n v="0"/>
    <n v="0"/>
    <n v="0"/>
    <n v="0"/>
    <n v="0"/>
    <n v="8.0824439841606913E-5"/>
  </r>
  <r>
    <n v="32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58391.1678916712"/>
    <x v="4"/>
    <m/>
    <m/>
    <d v="2017-10-18T00:00:00"/>
    <n v="0.79726027397260268"/>
    <n v="1"/>
    <m/>
    <n v="1"/>
    <n v="1"/>
    <s v="11"/>
    <n v="0.01"/>
    <n v="208349.7"/>
    <n v="208349.7"/>
    <n v="32329.775936642764"/>
    <n v="-971238.15"/>
    <m/>
    <n v="20834970"/>
    <s v="DBK GR Equity"/>
    <x v="77"/>
    <n v="-2.42809537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"/>
    <m/>
    <s v="NZD"/>
    <n v="0.69449899999999998"/>
    <m/>
    <m/>
    <m/>
    <m/>
    <n v="0"/>
    <n v="0"/>
    <n v="0"/>
    <n v="0"/>
    <n v="0"/>
    <n v="8.0824439841606913E-5"/>
  </r>
  <r>
    <n v="32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70873.81752417"/>
    <x v="4"/>
    <m/>
    <m/>
    <d v="2017-10-18T00:00:00"/>
    <n v="0.79726027397260268"/>
    <n v="1"/>
    <m/>
    <n v="1"/>
    <n v="1"/>
    <s v="11"/>
    <n v="0.01"/>
    <n v="145844.79"/>
    <n v="145844.79"/>
    <n v="22630.843155649934"/>
    <n v="-675141.71"/>
    <m/>
    <n v="14584479"/>
    <s v="DBK GR Equity"/>
    <x v="77"/>
    <n v="-1.6878542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"/>
    <m/>
    <s v="NZD"/>
    <n v="0.69449899999999998"/>
    <m/>
    <m/>
    <m/>
    <m/>
    <n v="0"/>
    <n v="0"/>
    <n v="0"/>
    <n v="0"/>
    <n v="0"/>
    <n v="5.6577107889124837E-5"/>
  </r>
  <r>
    <n v="32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58391.1678916712"/>
    <x v="4"/>
    <m/>
    <m/>
    <d v="2017-10-18T00:00:00"/>
    <n v="0.79726027397260268"/>
    <n v="1"/>
    <m/>
    <n v="1"/>
    <n v="1"/>
    <s v="11"/>
    <n v="0.01"/>
    <n v="208349.7"/>
    <n v="208349.7"/>
    <n v="32329.775936642764"/>
    <n v="-698088.15"/>
    <m/>
    <n v="20834970"/>
    <s v="DBK GR Equity"/>
    <x v="77"/>
    <n v="-1.7452203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"/>
    <m/>
    <s v="NZD"/>
    <n v="0.69449899999999998"/>
    <m/>
    <m/>
    <m/>
    <m/>
    <n v="0"/>
    <n v="0"/>
    <n v="0"/>
    <n v="0"/>
    <n v="0"/>
    <n v="8.0824439841606913E-5"/>
  </r>
  <r>
    <n v="32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27831.7566988932"/>
    <x v="4"/>
    <m/>
    <m/>
    <d v="2017-10-18T00:00:00"/>
    <n v="0.79726027397260268"/>
    <n v="1"/>
    <m/>
    <n v="1"/>
    <n v="1"/>
    <s v="11"/>
    <n v="0.01"/>
    <n v="194459.72"/>
    <n v="194459.72"/>
    <n v="30174.457540866581"/>
    <n v="-1023808.94"/>
    <m/>
    <n v="19445972"/>
    <s v="DBK GR Equity"/>
    <x v="77"/>
    <n v="-2.559522349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000000"/>
    <m/>
    <s v="NZD"/>
    <n v="0.69449899999999998"/>
    <m/>
    <m/>
    <m/>
    <m/>
    <n v="0"/>
    <n v="0"/>
    <n v="0"/>
    <n v="0"/>
    <n v="0"/>
    <n v="7.5436143852166453E-5"/>
  </r>
  <r>
    <n v="32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27831.7566988932"/>
    <x v="4"/>
    <m/>
    <m/>
    <d v="2017-10-18T00:00:00"/>
    <n v="0.79726027397260268"/>
    <n v="1"/>
    <m/>
    <n v="1"/>
    <n v="1"/>
    <s v="11"/>
    <n v="0.01"/>
    <n v="194459.72"/>
    <n v="194459.72"/>
    <n v="30174.457540866581"/>
    <n v="-985168.94"/>
    <m/>
    <n v="19445972"/>
    <s v="DBK GR Equity"/>
    <x v="77"/>
    <n v="-2.462922349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000000"/>
    <m/>
    <s v="NZD"/>
    <n v="0.69449899999999998"/>
    <m/>
    <m/>
    <m/>
    <m/>
    <n v="0"/>
    <n v="0"/>
    <n v="0"/>
    <n v="0"/>
    <n v="0"/>
    <n v="7.5436143852166453E-5"/>
  </r>
  <r>
    <n v="32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97272.3455061154"/>
    <x v="4"/>
    <m/>
    <m/>
    <d v="2017-10-18T00:00:00"/>
    <n v="0.79726027397260268"/>
    <n v="1"/>
    <m/>
    <n v="1"/>
    <n v="1"/>
    <s v="11"/>
    <n v="0.01"/>
    <n v="180569.74"/>
    <n v="180569.74"/>
    <n v="28019.139145090394"/>
    <n v="-932219.73"/>
    <m/>
    <n v="18056974"/>
    <s v="DBK GR Equity"/>
    <x v="77"/>
    <n v="-2.3305493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6000000"/>
    <m/>
    <s v="NZD"/>
    <n v="0.69449899999999998"/>
    <m/>
    <m/>
    <m/>
    <m/>
    <n v="0"/>
    <n v="0"/>
    <n v="0"/>
    <n v="0"/>
    <n v="0"/>
    <n v="7.004784786272598E-5"/>
  </r>
  <r>
    <n v="32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009264.0067607127"/>
    <x v="4"/>
    <m/>
    <m/>
    <d v="2017-11-15T00:00:00"/>
    <n v="0.87397260273972599"/>
    <n v="1"/>
    <m/>
    <n v="1"/>
    <n v="1"/>
    <s v="11"/>
    <n v="0.01"/>
    <n v="486149.3"/>
    <n v="486149.3"/>
    <n v="75436.143852166439"/>
    <n v="-980841.88"/>
    <m/>
    <n v="48614930"/>
    <s v="DBK GR Equity"/>
    <x v="77"/>
    <n v="-2.4521046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8859035963041609E-4"/>
  </r>
  <r>
    <n v="33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009264.0067607127"/>
    <x v="4"/>
    <m/>
    <m/>
    <d v="2017-11-15T00:00:00"/>
    <n v="0.87397260273972599"/>
    <n v="1"/>
    <m/>
    <n v="1"/>
    <n v="1"/>
    <s v="11"/>
    <n v="0.01"/>
    <n v="486149.3"/>
    <n v="486149.3"/>
    <n v="75436.143852166439"/>
    <n v="-967191.88"/>
    <m/>
    <n v="48614930"/>
    <s v="DBK GR Equity"/>
    <x v="77"/>
    <n v="-2.41797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8859035963041609E-4"/>
  </r>
  <r>
    <n v="33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58730.97258755064"/>
    <x v="4"/>
    <m/>
    <m/>
    <d v="2017-11-15T00:00:00"/>
    <n v="0.87397260273972599"/>
    <n v="1"/>
    <m/>
    <n v="1"/>
    <n v="1"/>
    <s v="11"/>
    <n v="0.01"/>
    <n v="83339.88"/>
    <n v="83339.88"/>
    <n v="12931.910374657105"/>
    <n v="-201624.32000000001"/>
    <m/>
    <n v="8333988"/>
    <s v="DBK GR Equity"/>
    <x v="77"/>
    <n v="-5.04060800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NZD"/>
    <n v="0.69449899999999998"/>
    <m/>
    <m/>
    <m/>
    <m/>
    <n v="0"/>
    <n v="0"/>
    <n v="0"/>
    <n v="0"/>
    <n v="0"/>
    <n v="3.2329775936642767E-5"/>
  </r>
  <r>
    <n v="33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88096.458881326"/>
    <x v="4"/>
    <m/>
    <m/>
    <d v="2017-11-15T00:00:00"/>
    <n v="0.87397260273972599"/>
    <n v="1"/>
    <m/>
    <n v="1"/>
    <n v="1"/>
    <s v="11"/>
    <n v="0.01"/>
    <n v="125009.82"/>
    <n v="125009.82"/>
    <n v="19397.865561985658"/>
    <n v="-390096.48"/>
    <m/>
    <n v="12500982"/>
    <s v="DBK GR Equity"/>
    <x v="77"/>
    <n v="-9.752411999999999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00000"/>
    <m/>
    <s v="NZD"/>
    <n v="0.69449899999999998"/>
    <m/>
    <m/>
    <m/>
    <m/>
    <n v="0"/>
    <n v="0"/>
    <n v="0"/>
    <n v="0"/>
    <n v="0"/>
    <n v="4.8494663904964147E-5"/>
  </r>
  <r>
    <n v="33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44974.6301167342"/>
    <x v="4"/>
    <m/>
    <m/>
    <d v="2017-11-15T00:00:00"/>
    <n v="0.87397260273972599"/>
    <n v="1"/>
    <m/>
    <n v="1"/>
    <n v="1"/>
    <s v="11"/>
    <n v="0.01"/>
    <n v="111119.84"/>
    <n v="111119.84"/>
    <n v="17242.547166209471"/>
    <n v="-287712.43"/>
    <m/>
    <n v="11111984"/>
    <s v="DBK GR Equity"/>
    <x v="77"/>
    <n v="-7.19281075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00000"/>
    <m/>
    <s v="NZD"/>
    <n v="0.69449899999999998"/>
    <m/>
    <m/>
    <m/>
    <m/>
    <n v="0"/>
    <n v="0"/>
    <n v="0"/>
    <n v="0"/>
    <n v="0"/>
    <n v="4.310636791552368E-5"/>
  </r>
  <r>
    <n v="33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16535.5444990303"/>
    <x v="4"/>
    <m/>
    <m/>
    <d v="2017-11-15T00:00:00"/>
    <n v="0.87397260273972599"/>
    <n v="1"/>
    <m/>
    <n v="1"/>
    <n v="1"/>
    <s v="11"/>
    <n v="0.01"/>
    <n v="118064.83"/>
    <n v="118064.83"/>
    <n v="18320.206364097565"/>
    <n v="-382109.46"/>
    <m/>
    <n v="11806483"/>
    <s v="DBK GR Equity"/>
    <x v="77"/>
    <n v="-9.552736500000000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NZD"/>
    <n v="0.69449899999999998"/>
    <m/>
    <m/>
    <m/>
    <m/>
    <n v="0"/>
    <n v="0"/>
    <n v="0"/>
    <n v="0"/>
    <n v="0"/>
    <n v="4.580051591024391E-5"/>
  </r>
  <r>
    <n v="33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92394.13384623505"/>
    <x v="4"/>
    <m/>
    <m/>
    <d v="2017-06-19T00:00:00"/>
    <n v="0.46575342465753422"/>
    <n v="1"/>
    <m/>
    <n v="1"/>
    <n v="1"/>
    <s v="11"/>
    <n v="0.01"/>
    <n v="71459.506299999994"/>
    <n v="71459.506299999994"/>
    <n v="11088.424064071663"/>
    <n v="-16372.72"/>
    <m/>
    <n v="7145950.6299999999"/>
    <s v="DBK GR Equity"/>
    <x v="78"/>
    <n v="-4.09318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1000000"/>
    <m/>
    <s v="TWD"/>
    <n v="32.326000000000001"/>
    <m/>
    <m/>
    <m/>
    <m/>
    <n v="0"/>
    <n v="0"/>
    <n v="0"/>
    <n v="0"/>
    <n v="0"/>
    <n v="2.772106016017916E-5"/>
  </r>
  <r>
    <n v="33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92394.13384623505"/>
    <x v="4"/>
    <m/>
    <m/>
    <d v="2017-06-19T00:00:00"/>
    <n v="0.46575342465753422"/>
    <n v="1"/>
    <m/>
    <n v="1"/>
    <n v="1"/>
    <s v="11"/>
    <n v="0.01"/>
    <n v="71459.506299999994"/>
    <n v="71459.506299999994"/>
    <n v="11088.424064071663"/>
    <n v="-27543.54"/>
    <m/>
    <n v="7145950.6299999999"/>
    <s v="DBK GR Equity"/>
    <x v="78"/>
    <n v="-6.885885000000000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1000000"/>
    <m/>
    <s v="TWD"/>
    <n v="32.326000000000001"/>
    <m/>
    <m/>
    <m/>
    <m/>
    <n v="0"/>
    <n v="0"/>
    <n v="0"/>
    <n v="0"/>
    <n v="0"/>
    <n v="2.772106016017916E-5"/>
  </r>
  <r>
    <n v="33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92394.13384623505"/>
    <x v="4"/>
    <m/>
    <m/>
    <d v="2017-06-19T00:00:00"/>
    <n v="0.46575342465753422"/>
    <n v="1"/>
    <m/>
    <n v="1"/>
    <n v="1"/>
    <s v="11"/>
    <n v="0.01"/>
    <n v="71459.506299999994"/>
    <n v="71459.506299999994"/>
    <n v="11088.424064071663"/>
    <n v="-25306.6"/>
    <m/>
    <n v="7145950.6299999999"/>
    <s v="DBK GR Equity"/>
    <x v="78"/>
    <n v="-6.326649999999999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1000000"/>
    <m/>
    <s v="TWD"/>
    <n v="32.326000000000001"/>
    <m/>
    <m/>
    <m/>
    <m/>
    <n v="0"/>
    <n v="0"/>
    <n v="0"/>
    <n v="0"/>
    <n v="0"/>
    <n v="2.772106016017916E-5"/>
  </r>
  <r>
    <n v="33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5761.66283716494"/>
    <x v="4"/>
    <m/>
    <m/>
    <d v="2017-06-19T00:00:00"/>
    <n v="0.46575342465753422"/>
    <n v="1"/>
    <m/>
    <n v="1"/>
    <n v="1"/>
    <s v="11"/>
    <n v="0.01"/>
    <n v="55682.732199999999"/>
    <n v="55682.732199999999"/>
    <n v="8640.3304423576465"/>
    <n v="-36848.46"/>
    <m/>
    <n v="5568273.2199999997"/>
    <s v="DBK GR Equity"/>
    <x v="78"/>
    <n v="-9.212114999999999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000000"/>
    <m/>
    <s v="TWD"/>
    <n v="32.326000000000001"/>
    <m/>
    <m/>
    <m/>
    <m/>
    <n v="0"/>
    <n v="0"/>
    <n v="0"/>
    <n v="0"/>
    <n v="0"/>
    <n v="2.1600826105894117E-5"/>
  </r>
  <r>
    <n v="33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5761.66283716494"/>
    <x v="4"/>
    <m/>
    <m/>
    <d v="2017-06-19T00:00:00"/>
    <n v="0.46575342465753422"/>
    <n v="1"/>
    <m/>
    <n v="1"/>
    <n v="1"/>
    <s v="11"/>
    <n v="0.01"/>
    <n v="55682.732199999999"/>
    <n v="66292.482199999999"/>
    <n v="10286.653140416707"/>
    <n v="10609.75"/>
    <m/>
    <n v="5568273.2199999997"/>
    <s v="DBK GR Equity"/>
    <x v="78"/>
    <n v="2.6524375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000000"/>
    <m/>
    <s v="TWD"/>
    <n v="32.326000000000001"/>
    <m/>
    <m/>
    <m/>
    <m/>
    <n v="0"/>
    <n v="0"/>
    <n v="0"/>
    <n v="0"/>
    <n v="0"/>
    <n v="2.5716632851041769E-5"/>
  </r>
  <r>
    <n v="34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13609.9044026351"/>
    <x v="4"/>
    <m/>
    <m/>
    <d v="2017-11-13T00:00:00"/>
    <n v="0.86849315068493149"/>
    <n v="1"/>
    <m/>
    <n v="1"/>
    <n v="1"/>
    <s v="11"/>
    <n v="0.01"/>
    <n v="98991.523900000015"/>
    <n v="98991.523900000015"/>
    <n v="15360.587451356145"/>
    <n v="-209555.17"/>
    <m/>
    <n v="9899152.3900000006"/>
    <s v="DBK GR Equity"/>
    <x v="78"/>
    <n v="-5.238879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20000000"/>
    <m/>
    <s v="TWD"/>
    <n v="32.326000000000001"/>
    <m/>
    <m/>
    <m/>
    <m/>
    <n v="0"/>
    <n v="0"/>
    <n v="0"/>
    <n v="0"/>
    <n v="0"/>
    <n v="3.8401468628390359E-5"/>
  </r>
  <r>
    <n v="34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13609.9044026351"/>
    <x v="4"/>
    <m/>
    <m/>
    <d v="2017-11-13T00:00:00"/>
    <n v="0.86849315068493149"/>
    <n v="1"/>
    <m/>
    <n v="1"/>
    <n v="1"/>
    <s v="11"/>
    <n v="0.01"/>
    <n v="98991.523900000015"/>
    <n v="98991.523900000015"/>
    <n v="15360.587451356145"/>
    <n v="-214407.28"/>
    <m/>
    <n v="9899152.3900000006"/>
    <s v="DBK GR Equity"/>
    <x v="78"/>
    <n v="-5.360182000000000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20000000"/>
    <m/>
    <s v="TWD"/>
    <n v="32.326000000000001"/>
    <m/>
    <m/>
    <m/>
    <m/>
    <n v="0"/>
    <n v="0"/>
    <n v="0"/>
    <n v="0"/>
    <n v="0"/>
    <n v="3.8401468628390359E-5"/>
  </r>
  <r>
    <n v="342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50711.29213041096"/>
    <x v="4"/>
    <m/>
    <m/>
    <d v="2017-01-18T00:00:00"/>
    <n v="4.9315068493150684E-2"/>
    <n v="1"/>
    <m/>
    <n v="1"/>
    <n v="1"/>
    <s v="11"/>
    <n v="0.01"/>
    <n v="431209"/>
    <n v="431209"/>
    <n v="66911.017159438139"/>
    <n v="-898525.53"/>
    <m/>
    <n v="43120900"/>
    <s v="56243Z LN Equity"/>
    <x v="79"/>
    <n v="-2.2463138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3120900"/>
    <m/>
    <s v="USD"/>
    <n v="1"/>
    <m/>
    <m/>
    <m/>
    <m/>
    <n v="0"/>
    <n v="0"/>
    <n v="0"/>
    <n v="0"/>
    <n v="0"/>
    <n v="1.6727754289859535E-4"/>
  </r>
  <r>
    <n v="343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51723.14573975891"/>
    <x v="4"/>
    <m/>
    <m/>
    <d v="2017-01-18T00:00:00"/>
    <n v="4.9315068493150684E-2"/>
    <n v="1"/>
    <m/>
    <n v="1"/>
    <n v="1"/>
    <s v="11"/>
    <n v="0.01"/>
    <n v="432949.33"/>
    <n v="432949.33"/>
    <n v="67181.065443432875"/>
    <n v="-724492.53"/>
    <m/>
    <n v="43294933"/>
    <s v="56243Z LN Equity"/>
    <x v="79"/>
    <n v="-1.8112313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3294933"/>
    <m/>
    <s v="USD"/>
    <n v="1"/>
    <m/>
    <m/>
    <m/>
    <m/>
    <n v="0"/>
    <n v="0"/>
    <n v="0"/>
    <n v="0"/>
    <n v="0"/>
    <n v="1.679526636085822E-4"/>
  </r>
  <r>
    <n v="34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9554.52363835622"/>
    <x v="4"/>
    <m/>
    <m/>
    <d v="2017-01-18T00:00:00"/>
    <n v="4.9315068493150684E-2"/>
    <n v="1"/>
    <m/>
    <n v="1"/>
    <n v="1"/>
    <s v="11"/>
    <n v="0.01"/>
    <n v="412020"/>
    <n v="2646003.96"/>
    <n v="410582.3773889257"/>
    <n v="2233983.96"/>
    <m/>
    <n v="41202000"/>
    <s v="DBK GR Equity"/>
    <x v="79"/>
    <n v="5.584959900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1202000"/>
    <m/>
    <s v="USD"/>
    <n v="1"/>
    <m/>
    <m/>
    <m/>
    <m/>
    <n v="0"/>
    <n v="0"/>
    <n v="0"/>
    <n v="0"/>
    <n v="0"/>
    <n v="1.0264559434723143E-3"/>
  </r>
  <r>
    <n v="34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0559.20840328769"/>
    <x v="4"/>
    <m/>
    <m/>
    <d v="2017-01-18T00:00:00"/>
    <n v="4.9315068493150684E-2"/>
    <n v="1"/>
    <m/>
    <n v="1"/>
    <n v="1"/>
    <s v="11"/>
    <n v="0.01"/>
    <n v="413748"/>
    <n v="2820531.96"/>
    <n v="437664.01530186913"/>
    <n v="2406783.96"/>
    <m/>
    <n v="41374800"/>
    <s v="DBK GR Equity"/>
    <x v="79"/>
    <n v="6.016959899999999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1374800"/>
    <m/>
    <s v="USD"/>
    <n v="1"/>
    <m/>
    <m/>
    <m/>
    <m/>
    <n v="0"/>
    <n v="0"/>
    <n v="0"/>
    <n v="0"/>
    <n v="0"/>
    <n v="1.0941600382546729E-3"/>
  </r>
  <r>
    <n v="34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2681.4443189041"/>
    <x v="4"/>
    <m/>
    <m/>
    <d v="2017-01-18T00:00:00"/>
    <n v="4.9315068493150684E-2"/>
    <n v="1"/>
    <m/>
    <n v="1"/>
    <n v="1"/>
    <s v="11"/>
    <n v="0.01"/>
    <n v="331401"/>
    <n v="2441414.15"/>
    <n v="378836.02634440624"/>
    <n v="2110013.15"/>
    <m/>
    <n v="33140100"/>
    <s v="DBK GR Equity"/>
    <x v="79"/>
    <n v="5.275032874999999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3140100"/>
    <m/>
    <s v="USD"/>
    <n v="1"/>
    <m/>
    <m/>
    <m/>
    <m/>
    <n v="0"/>
    <n v="0"/>
    <n v="0"/>
    <n v="0"/>
    <n v="0"/>
    <n v="9.4709006586101558E-4"/>
  </r>
  <r>
    <n v="34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2681.4443189041"/>
    <x v="4"/>
    <m/>
    <m/>
    <d v="2017-01-18T00:00:00"/>
    <n v="4.9315068493150684E-2"/>
    <n v="1"/>
    <m/>
    <n v="1"/>
    <n v="1"/>
    <s v="11"/>
    <n v="0.01"/>
    <n v="331401"/>
    <n v="2441414.15"/>
    <n v="378836.02634440624"/>
    <n v="2110013.15"/>
    <m/>
    <n v="33140100"/>
    <s v="DBK GR Equity"/>
    <x v="79"/>
    <n v="5.275032874999999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3140100"/>
    <m/>
    <s v="USD"/>
    <n v="1"/>
    <m/>
    <m/>
    <m/>
    <m/>
    <n v="0"/>
    <n v="0"/>
    <n v="0"/>
    <n v="0"/>
    <n v="0"/>
    <n v="9.4709006586101558E-4"/>
  </r>
  <r>
    <n v="34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0166.63713402746"/>
    <x v="4"/>
    <m/>
    <m/>
    <d v="2017-01-18T00:00:00"/>
    <n v="4.9315068493150684E-2"/>
    <n v="1"/>
    <m/>
    <n v="1"/>
    <n v="1"/>
    <s v="11"/>
    <n v="0.01"/>
    <n v="413072.8"/>
    <n v="1309076.9099999999"/>
    <n v="203130.42535762067"/>
    <n v="896004.11"/>
    <m/>
    <n v="41307280"/>
    <s v="DBK GR Equity"/>
    <x v="79"/>
    <n v="2.2400102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1307280"/>
    <m/>
    <s v="USD"/>
    <n v="1"/>
    <m/>
    <m/>
    <m/>
    <m/>
    <n v="0"/>
    <n v="0"/>
    <n v="0"/>
    <n v="0"/>
    <n v="0"/>
    <n v="5.0782606339405169E-4"/>
  </r>
  <r>
    <n v="34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6970.04180717818"/>
    <x v="4"/>
    <m/>
    <m/>
    <d v="2017-01-18T00:00:00"/>
    <n v="4.9315068493150684E-2"/>
    <n v="1"/>
    <m/>
    <n v="1"/>
    <n v="1"/>
    <s v="11"/>
    <n v="0.01"/>
    <n v="1387942.05"/>
    <n v="5237350.75"/>
    <n v="812683.56157512066"/>
    <n v="3849408.7"/>
    <m/>
    <n v="138794205"/>
    <s v="DBK GR Equity"/>
    <x v="79"/>
    <n v="9.623521750000000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8794205"/>
    <m/>
    <s v="USD"/>
    <n v="1"/>
    <m/>
    <m/>
    <m/>
    <m/>
    <n v="0"/>
    <n v="0"/>
    <n v="0"/>
    <n v="0"/>
    <n v="0"/>
    <n v="2.0317089039378015E-3"/>
  </r>
  <r>
    <n v="35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84222.14851927682"/>
    <x v="4"/>
    <m/>
    <m/>
    <d v="2017-01-18T00:00:00"/>
    <n v="4.9315068493150684E-2"/>
    <n v="1"/>
    <m/>
    <n v="1"/>
    <n v="1"/>
    <s v="11"/>
    <n v="0.01"/>
    <n v="832834.24"/>
    <n v="3293706.45"/>
    <n v="511086.8483591532"/>
    <n v="2460872.21"/>
    <m/>
    <n v="83283424"/>
    <s v="DBK GR Equity"/>
    <x v="79"/>
    <n v="6.1521805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3283424"/>
    <m/>
    <s v="USD"/>
    <n v="1"/>
    <m/>
    <m/>
    <m/>
    <m/>
    <n v="0"/>
    <n v="0"/>
    <n v="0"/>
    <n v="0"/>
    <n v="0"/>
    <n v="1.2777171208978829E-3"/>
  </r>
  <r>
    <n v="35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2795.46924256443"/>
    <x v="4"/>
    <m/>
    <m/>
    <d v="2017-01-18T00:00:00"/>
    <n v="4.9315068493150684E-2"/>
    <n v="1"/>
    <m/>
    <n v="1"/>
    <n v="1"/>
    <s v="11"/>
    <n v="0.01"/>
    <n v="417594.24"/>
    <n v="1765742.35"/>
    <n v="273991.53700408997"/>
    <n v="1348148.11"/>
    <m/>
    <n v="41759424"/>
    <s v="DBK GR Equity"/>
    <x v="79"/>
    <n v="3.37037027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1759424"/>
    <m/>
    <s v="USD"/>
    <n v="1"/>
    <m/>
    <m/>
    <m/>
    <m/>
    <n v="0"/>
    <n v="0"/>
    <n v="0"/>
    <n v="0"/>
    <n v="0"/>
    <n v="6.8497884251022493E-4"/>
  </r>
  <r>
    <n v="35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90055.34361315076"/>
    <x v="4"/>
    <m/>
    <m/>
    <d v="2017-01-18T00:00:00"/>
    <n v="4.9315068493150684E-2"/>
    <n v="1"/>
    <m/>
    <n v="1"/>
    <n v="1"/>
    <s v="11"/>
    <n v="0.01"/>
    <n v="842867"/>
    <n v="3585385.28"/>
    <n v="556346.86658505944"/>
    <n v="2742518.28"/>
    <m/>
    <n v="84286700"/>
    <s v="DBK GR Equity"/>
    <x v="79"/>
    <n v="6.8562956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4286700"/>
    <m/>
    <s v="USD"/>
    <n v="1"/>
    <m/>
    <m/>
    <m/>
    <m/>
    <n v="0"/>
    <n v="0"/>
    <n v="0"/>
    <n v="0"/>
    <n v="0"/>
    <n v="1.3908671664626486E-3"/>
  </r>
  <r>
    <n v="35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39226.26722691511"/>
    <x v="4"/>
    <m/>
    <m/>
    <d v="2017-01-18T00:00:00"/>
    <n v="4.9315068493150684E-2"/>
    <n v="1"/>
    <m/>
    <n v="1"/>
    <n v="1"/>
    <s v="11"/>
    <n v="0.01"/>
    <n v="927438.16"/>
    <n v="4189143.25"/>
    <n v="650032.43411917298"/>
    <n v="3261705.09"/>
    <m/>
    <n v="92743816"/>
    <s v="DBK GR Equity"/>
    <x v="79"/>
    <n v="8.1542627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92743816"/>
    <m/>
    <s v="USD"/>
    <n v="1"/>
    <m/>
    <m/>
    <m/>
    <m/>
    <n v="0"/>
    <n v="0"/>
    <n v="0"/>
    <n v="0"/>
    <n v="0"/>
    <n v="1.6250810852979324E-3"/>
  </r>
  <r>
    <n v="354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470733.47645424667"/>
    <x v="4"/>
    <m/>
    <m/>
    <d v="2017-02-15T00:00:00"/>
    <n v="0.12602739726027398"/>
    <n v="1"/>
    <m/>
    <n v="1"/>
    <n v="1"/>
    <s v="11"/>
    <n v="0.01"/>
    <n v="316813.5"/>
    <n v="316813.5"/>
    <n v="49160.183425767216"/>
    <n v="-769729.2"/>
    <m/>
    <n v="31681350"/>
    <s v="56243Z LN Equity"/>
    <x v="79"/>
    <n v="-1.9243229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1681350"/>
    <m/>
    <s v="USD"/>
    <n v="1"/>
    <m/>
    <m/>
    <m/>
    <m/>
    <n v="0"/>
    <n v="0"/>
    <n v="0"/>
    <n v="0"/>
    <n v="0"/>
    <n v="1.2290045856441805E-4"/>
  </r>
  <r>
    <n v="35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23850.6866292659"/>
    <x v="4"/>
    <m/>
    <m/>
    <d v="2017-05-17T00:00:00"/>
    <n v="0.37534246575342467"/>
    <n v="1"/>
    <m/>
    <n v="1"/>
    <n v="1"/>
    <s v="11"/>
    <n v="0.01"/>
    <n v="231367.57"/>
    <n v="1059241.68"/>
    <n v="164363.30926875849"/>
    <n v="827874.11"/>
    <m/>
    <n v="23136757"/>
    <s v="DBK GR Equity"/>
    <x v="79"/>
    <n v="2.06968527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136757"/>
    <m/>
    <s v="USD"/>
    <n v="1"/>
    <m/>
    <m/>
    <m/>
    <m/>
    <n v="0"/>
    <n v="0"/>
    <n v="0"/>
    <n v="0"/>
    <n v="0"/>
    <n v="4.1090827317189621E-4"/>
  </r>
  <r>
    <n v="35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23474.8090707891"/>
    <x v="4"/>
    <m/>
    <m/>
    <d v="2017-05-17T00:00:00"/>
    <n v="0.37534246575342467"/>
    <n v="1"/>
    <m/>
    <n v="1"/>
    <n v="1"/>
    <s v="11"/>
    <n v="0.01"/>
    <n v="231282.63"/>
    <n v="1050662.74"/>
    <n v="163032.10884958869"/>
    <n v="819380.11"/>
    <m/>
    <n v="23128263"/>
    <s v="DBK GR Equity"/>
    <x v="79"/>
    <n v="2.0484502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128263"/>
    <m/>
    <s v="USD"/>
    <n v="1"/>
    <m/>
    <m/>
    <m/>
    <m/>
    <n v="0"/>
    <n v="0"/>
    <n v="0"/>
    <n v="0"/>
    <n v="0"/>
    <n v="4.0758027212397174E-4"/>
  </r>
  <r>
    <n v="35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90189.99720164412"/>
    <x v="4"/>
    <m/>
    <m/>
    <d v="2017-05-17T00:00:00"/>
    <n v="0.37534246575342467"/>
    <n v="1"/>
    <m/>
    <n v="1"/>
    <n v="1"/>
    <s v="11"/>
    <n v="0.01"/>
    <n v="223761"/>
    <n v="1010619.5"/>
    <n v="156818.5698957183"/>
    <n v="786858.5"/>
    <m/>
    <n v="22376100"/>
    <s v="DBK GR Equity"/>
    <x v="79"/>
    <n v="1.96714625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376100"/>
    <m/>
    <s v="USD"/>
    <n v="1"/>
    <m/>
    <m/>
    <m/>
    <m/>
    <n v="0"/>
    <n v="0"/>
    <n v="0"/>
    <n v="0"/>
    <n v="0"/>
    <n v="3.9204642473929577E-4"/>
  </r>
  <r>
    <n v="35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33279.1773570414"/>
    <x v="4"/>
    <m/>
    <m/>
    <d v="2017-05-17T00:00:00"/>
    <n v="0.37534246575342467"/>
    <n v="1"/>
    <m/>
    <n v="1"/>
    <n v="1"/>
    <s v="11"/>
    <n v="0.01"/>
    <n v="233498.2"/>
    <n v="1274435.31"/>
    <n v="197755.06284888272"/>
    <n v="1040937.11"/>
    <m/>
    <n v="23349820"/>
    <s v="DBK GR Equity"/>
    <x v="79"/>
    <n v="2.6023427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349820"/>
    <m/>
    <s v="USD"/>
    <n v="1"/>
    <m/>
    <m/>
    <m/>
    <m/>
    <n v="0"/>
    <n v="0"/>
    <n v="0"/>
    <n v="0"/>
    <n v="0"/>
    <n v="4.943876571222068E-4"/>
  </r>
  <r>
    <n v="35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11221.58733326034"/>
    <x v="4"/>
    <m/>
    <m/>
    <d v="2017-06-21T00:00:00"/>
    <n v="0.47123287671232877"/>
    <n v="1"/>
    <m/>
    <n v="1"/>
    <n v="1"/>
    <s v="11"/>
    <n v="0.01"/>
    <n v="164014.39999999999"/>
    <n v="745970.76"/>
    <n v="115752.83058284756"/>
    <n v="581956.36"/>
    <m/>
    <n v="16401440"/>
    <s v="DBK GR Equity"/>
    <x v="79"/>
    <n v="1.454890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401440"/>
    <m/>
    <s v="USD"/>
    <n v="1"/>
    <m/>
    <m/>
    <m/>
    <m/>
    <n v="0"/>
    <n v="0"/>
    <n v="0"/>
    <n v="0"/>
    <n v="0"/>
    <n v="2.8938207645711888E-4"/>
  </r>
  <r>
    <n v="36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08005.81311355636"/>
    <x v="4"/>
    <m/>
    <m/>
    <d v="2017-06-21T00:00:00"/>
    <n v="0.47123287671232877"/>
    <n v="1"/>
    <m/>
    <n v="1"/>
    <n v="1"/>
    <s v="11"/>
    <n v="0.01"/>
    <n v="163435.58000000002"/>
    <n v="687509.94"/>
    <n v="106681.42221666126"/>
    <n v="524074.36"/>
    <m/>
    <n v="16343558"/>
    <s v="DBK GR Equity"/>
    <x v="79"/>
    <n v="1.310185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343558"/>
    <m/>
    <s v="USD"/>
    <n v="1"/>
    <m/>
    <m/>
    <m/>
    <m/>
    <n v="0"/>
    <n v="0"/>
    <n v="0"/>
    <n v="0"/>
    <n v="0"/>
    <n v="2.6670355554165312E-4"/>
  </r>
  <r>
    <n v="361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17354.45613617274"/>
    <x v="4"/>
    <m/>
    <m/>
    <d v="2017-01-18T00:00:00"/>
    <n v="4.9315068493150684E-2"/>
    <n v="1"/>
    <m/>
    <n v="1"/>
    <n v="1"/>
    <s v="11"/>
    <n v="0.01"/>
    <n v="201842.9136"/>
    <n v="763263.10359999991"/>
    <n v="118436.09623673347"/>
    <n v="561420.18999999994"/>
    <m/>
    <n v="20184291.359999999"/>
    <s v="56243Z LN Equity"/>
    <x v="80"/>
    <n v="1.40355047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184291.359999999"/>
    <m/>
    <s v="USD"/>
    <n v="1"/>
    <m/>
    <m/>
    <m/>
    <m/>
    <n v="0"/>
    <n v="0"/>
    <n v="0"/>
    <n v="0"/>
    <n v="0"/>
    <n v="2.9609024059183367E-4"/>
  </r>
  <r>
    <n v="362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16375.72218103838"/>
    <x v="4"/>
    <m/>
    <m/>
    <d v="2017-01-18T00:00:00"/>
    <n v="4.9315068493150684E-2"/>
    <n v="1"/>
    <m/>
    <n v="1"/>
    <n v="1"/>
    <s v="11"/>
    <n v="0.01"/>
    <n v="200159.54750000002"/>
    <n v="593243.12750000006"/>
    <n v="92053.971702518393"/>
    <n v="393083.58"/>
    <m/>
    <n v="20015954.75"/>
    <s v="56243Z LN Equity"/>
    <x v="80"/>
    <n v="9.82708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15954.75"/>
    <m/>
    <s v="USD"/>
    <n v="1"/>
    <m/>
    <m/>
    <m/>
    <m/>
    <n v="0"/>
    <n v="0"/>
    <n v="0"/>
    <n v="0"/>
    <n v="0"/>
    <n v="2.3013492925629599E-4"/>
  </r>
  <r>
    <n v="363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16697.31892536045"/>
    <x v="4"/>
    <m/>
    <m/>
    <d v="2017-01-18T00:00:00"/>
    <n v="4.9315068493150684E-2"/>
    <n v="1"/>
    <m/>
    <n v="1"/>
    <n v="1"/>
    <s v="11"/>
    <n v="0.01"/>
    <n v="200712.67540000001"/>
    <n v="649109.04539999994"/>
    <n v="100722.72720445516"/>
    <n v="448396.37"/>
    <m/>
    <n v="20071267.539999999"/>
    <s v="56243Z LN Equity"/>
    <x v="80"/>
    <n v="1.1209909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71267.539999999"/>
    <m/>
    <s v="USD"/>
    <n v="1"/>
    <m/>
    <m/>
    <m/>
    <m/>
    <n v="0"/>
    <n v="0"/>
    <n v="0"/>
    <n v="0"/>
    <n v="0"/>
    <n v="2.5180681801113792E-4"/>
  </r>
  <r>
    <n v="364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16790.74478258904"/>
    <x v="4"/>
    <m/>
    <m/>
    <d v="2017-01-18T00:00:00"/>
    <n v="4.9315068493150684E-2"/>
    <n v="1"/>
    <m/>
    <n v="1"/>
    <n v="1"/>
    <s v="11"/>
    <n v="0.01"/>
    <n v="200873.36250000002"/>
    <n v="665338.4425"/>
    <n v="103241.05466943257"/>
    <n v="464465.08"/>
    <m/>
    <n v="20087336.25"/>
    <s v="56243Z LN Equity"/>
    <x v="80"/>
    <n v="1.1611627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87336.25"/>
    <m/>
    <s v="USD"/>
    <n v="1"/>
    <m/>
    <m/>
    <m/>
    <m/>
    <n v="0"/>
    <n v="0"/>
    <n v="0"/>
    <n v="0"/>
    <n v="0"/>
    <n v="2.5810263667358144E-4"/>
  </r>
  <r>
    <n v="365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87770.370578268848"/>
    <x v="4"/>
    <m/>
    <m/>
    <d v="2017-01-18T00:00:00"/>
    <n v="4.9315068493150684E-2"/>
    <n v="1"/>
    <m/>
    <n v="1"/>
    <n v="1"/>
    <s v="11"/>
    <n v="0.01"/>
    <n v="150959.9883"/>
    <n v="600902.79830000002"/>
    <n v="93242.528444920448"/>
    <n v="449942.81"/>
    <m/>
    <n v="15095998.83"/>
    <s v="56243Z LN Equity"/>
    <x v="80"/>
    <n v="1.1248570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95998.83"/>
    <m/>
    <s v="USD"/>
    <n v="1"/>
    <m/>
    <m/>
    <m/>
    <m/>
    <n v="0"/>
    <n v="0"/>
    <n v="0"/>
    <n v="0"/>
    <n v="0"/>
    <n v="2.3310632111230112E-4"/>
  </r>
  <r>
    <n v="36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7354.45613617274"/>
    <x v="4"/>
    <m/>
    <m/>
    <d v="2017-01-18T00:00:00"/>
    <n v="4.9315068493150684E-2"/>
    <n v="1"/>
    <m/>
    <n v="1"/>
    <n v="1"/>
    <s v="11"/>
    <n v="0.01"/>
    <n v="201842.9136"/>
    <n v="763263.10359999991"/>
    <n v="118436.09623673347"/>
    <n v="561420.18999999994"/>
    <m/>
    <n v="20184291.359999999"/>
    <s v="DBK GR Equity"/>
    <x v="80"/>
    <n v="1.40355047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184291.359999999"/>
    <m/>
    <s v="USD"/>
    <n v="1"/>
    <m/>
    <m/>
    <m/>
    <m/>
    <n v="0"/>
    <n v="0"/>
    <n v="0"/>
    <n v="0"/>
    <n v="0"/>
    <n v="2.9609024059183367E-4"/>
  </r>
  <r>
    <n v="36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6375.72218103838"/>
    <x v="4"/>
    <m/>
    <m/>
    <d v="2017-01-18T00:00:00"/>
    <n v="4.9315068493150684E-2"/>
    <n v="1"/>
    <m/>
    <n v="1"/>
    <n v="1"/>
    <s v="11"/>
    <n v="0.01"/>
    <n v="200159.54750000002"/>
    <n v="593243.12750000006"/>
    <n v="92053.971702518393"/>
    <n v="393083.58"/>
    <m/>
    <n v="20015954.75"/>
    <s v="DBK GR Equity"/>
    <x v="80"/>
    <n v="9.82708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15954.75"/>
    <m/>
    <s v="USD"/>
    <n v="1"/>
    <m/>
    <m/>
    <m/>
    <m/>
    <n v="0"/>
    <n v="0"/>
    <n v="0"/>
    <n v="0"/>
    <n v="0"/>
    <n v="2.3013492925629599E-4"/>
  </r>
  <r>
    <n v="36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6697.31892536045"/>
    <x v="4"/>
    <m/>
    <m/>
    <d v="2017-01-18T00:00:00"/>
    <n v="4.9315068493150684E-2"/>
    <n v="1"/>
    <m/>
    <n v="1"/>
    <n v="1"/>
    <s v="11"/>
    <n v="0.01"/>
    <n v="200712.67540000001"/>
    <n v="649109.04539999994"/>
    <n v="100722.72720445516"/>
    <n v="448396.37"/>
    <m/>
    <n v="20071267.539999999"/>
    <s v="DBK GR Equity"/>
    <x v="80"/>
    <n v="1.1209909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71267.539999999"/>
    <m/>
    <s v="USD"/>
    <n v="1"/>
    <m/>
    <m/>
    <m/>
    <m/>
    <n v="0"/>
    <n v="0"/>
    <n v="0"/>
    <n v="0"/>
    <n v="0"/>
    <n v="2.5180681801113792E-4"/>
  </r>
  <r>
    <n v="36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6790.74478258904"/>
    <x v="4"/>
    <m/>
    <m/>
    <d v="2017-01-18T00:00:00"/>
    <n v="4.9315068493150684E-2"/>
    <n v="1"/>
    <m/>
    <n v="1"/>
    <n v="1"/>
    <s v="11"/>
    <n v="0.01"/>
    <n v="200873.36250000002"/>
    <n v="665338.4425"/>
    <n v="103241.05466943257"/>
    <n v="464465.08"/>
    <m/>
    <n v="20087336.25"/>
    <s v="DBK GR Equity"/>
    <x v="80"/>
    <n v="1.1611627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87336.25"/>
    <m/>
    <s v="USD"/>
    <n v="1"/>
    <m/>
    <m/>
    <m/>
    <m/>
    <n v="0"/>
    <n v="0"/>
    <n v="0"/>
    <n v="0"/>
    <n v="0"/>
    <n v="2.5810263667358144E-4"/>
  </r>
  <r>
    <n v="37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7770.370578268848"/>
    <x v="4"/>
    <m/>
    <m/>
    <d v="2017-01-18T00:00:00"/>
    <n v="4.9315068493150684E-2"/>
    <n v="1"/>
    <m/>
    <n v="1"/>
    <n v="1"/>
    <s v="11"/>
    <n v="0.01"/>
    <n v="150959.9883"/>
    <n v="600902.79830000002"/>
    <n v="93242.528444920448"/>
    <n v="449942.81"/>
    <m/>
    <n v="15095998.83"/>
    <s v="DBK GR Equity"/>
    <x v="80"/>
    <n v="1.1248570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95998.83"/>
    <m/>
    <s v="USD"/>
    <n v="1"/>
    <m/>
    <m/>
    <m/>
    <m/>
    <n v="0"/>
    <n v="0"/>
    <n v="0"/>
    <n v="0"/>
    <n v="0"/>
    <n v="2.3310632111230112E-4"/>
  </r>
  <r>
    <n v="37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0840.998598091945"/>
    <x v="4"/>
    <m/>
    <m/>
    <d v="2017-01-18T00:00:00"/>
    <n v="4.9315068493150684E-2"/>
    <n v="1"/>
    <m/>
    <n v="1"/>
    <n v="1"/>
    <s v="11"/>
    <n v="0.01"/>
    <n v="87443.592899999989"/>
    <n v="152237.26289999997"/>
    <n v="23622.767869427109"/>
    <n v="64793.67"/>
    <m/>
    <n v="8744359.2899999991"/>
    <s v="DBK GR Equity"/>
    <x v="80"/>
    <n v="1.6198417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744359.2899999991"/>
    <m/>
    <s v="USD"/>
    <n v="1"/>
    <m/>
    <m/>
    <m/>
    <m/>
    <n v="0"/>
    <n v="0"/>
    <n v="0"/>
    <n v="0"/>
    <n v="0"/>
    <n v="5.9056919673567775E-5"/>
  </r>
  <r>
    <n v="372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439954.93613459624"/>
    <x v="4"/>
    <m/>
    <m/>
    <d v="2017-02-15T00:00:00"/>
    <n v="0.12602739726027398"/>
    <n v="1"/>
    <m/>
    <n v="1"/>
    <n v="1"/>
    <s v="11"/>
    <n v="0.01"/>
    <n v="296098.897"/>
    <n v="1674942.307"/>
    <n v="259902.02765885199"/>
    <n v="1378843.41"/>
    <m/>
    <n v="29609889.699999999"/>
    <s v="56243Z LN Equity"/>
    <x v="80"/>
    <n v="3.447108524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9609889.699999999"/>
    <m/>
    <s v="USD"/>
    <n v="1"/>
    <m/>
    <m/>
    <m/>
    <m/>
    <n v="0"/>
    <n v="0"/>
    <n v="0"/>
    <n v="0"/>
    <n v="0"/>
    <n v="6.4975506914712999E-4"/>
  </r>
  <r>
    <n v="37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2513.12086005398"/>
    <x v="4"/>
    <m/>
    <m/>
    <d v="2017-02-15T00:00:00"/>
    <n v="0.12602739726027398"/>
    <n v="1"/>
    <m/>
    <n v="1"/>
    <n v="1"/>
    <s v="11"/>
    <n v="0.01"/>
    <n v="284360.18960000004"/>
    <n v="1618574.7096000002"/>
    <n v="251155.42618052551"/>
    <n v="1334214.52"/>
    <m/>
    <n v="28436018.960000001"/>
    <s v="DBK GR Equity"/>
    <x v="80"/>
    <n v="3.3355363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436018.960000001"/>
    <m/>
    <s v="USD"/>
    <n v="1"/>
    <m/>
    <m/>
    <m/>
    <m/>
    <n v="0"/>
    <n v="0"/>
    <n v="0"/>
    <n v="0"/>
    <n v="0"/>
    <n v="6.2788856545131376E-4"/>
  </r>
  <r>
    <n v="374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417612.2325419212"/>
    <x v="4"/>
    <m/>
    <m/>
    <d v="2017-02-15T00:00:00"/>
    <n v="0.12602739726027398"/>
    <n v="1"/>
    <m/>
    <n v="1"/>
    <n v="1"/>
    <s v="11"/>
    <n v="0.01"/>
    <n v="281061.78899999999"/>
    <n v="1708901.949"/>
    <n v="265171.5702439798"/>
    <n v="1427840.16"/>
    <m/>
    <n v="28106178.899999999"/>
    <s v="56243Z LN Equity"/>
    <x v="80"/>
    <n v="3.569600399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106178.899999999"/>
    <m/>
    <s v="USD"/>
    <n v="1"/>
    <m/>
    <m/>
    <m/>
    <m/>
    <n v="0"/>
    <n v="0"/>
    <n v="0"/>
    <n v="0"/>
    <n v="0"/>
    <n v="6.6292892560994949E-4"/>
  </r>
  <r>
    <n v="37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13864.00177365448"/>
    <x v="4"/>
    <m/>
    <m/>
    <d v="2017-02-15T00:00:00"/>
    <n v="0.12602739726027398"/>
    <n v="1"/>
    <m/>
    <n v="1"/>
    <n v="1"/>
    <s v="11"/>
    <n v="0.01"/>
    <n v="278539.15110000002"/>
    <n v="1595270.7511"/>
    <n v="247539.33382837992"/>
    <n v="1316731.6000000001"/>
    <m/>
    <n v="27853915.109999999"/>
    <s v="DBK GR Equity"/>
    <x v="80"/>
    <n v="3.29182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7853915.109999999"/>
    <m/>
    <s v="USD"/>
    <n v="1"/>
    <m/>
    <m/>
    <m/>
    <m/>
    <n v="0"/>
    <n v="0"/>
    <n v="0"/>
    <n v="0"/>
    <n v="0"/>
    <n v="6.188483345709498E-4"/>
  </r>
  <r>
    <n v="37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17919.67080883053"/>
    <x v="4"/>
    <m/>
    <m/>
    <d v="2017-02-15T00:00:00"/>
    <n v="0.12602739726027398"/>
    <n v="1"/>
    <m/>
    <n v="1"/>
    <n v="1"/>
    <s v="11"/>
    <n v="0.01"/>
    <n v="281268.70140000002"/>
    <n v="1870955.3314"/>
    <n v="290317.51258403162"/>
    <n v="1589686.63"/>
    <m/>
    <n v="28126870.140000001"/>
    <s v="DBK GR Equity"/>
    <x v="80"/>
    <n v="3.9742165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126870.140000001"/>
    <m/>
    <s v="USD"/>
    <n v="1"/>
    <m/>
    <m/>
    <m/>
    <m/>
    <n v="0"/>
    <n v="0"/>
    <n v="0"/>
    <n v="0"/>
    <n v="0"/>
    <n v="7.2579378146007901E-4"/>
  </r>
  <r>
    <n v="37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15821.11657779815"/>
    <x v="4"/>
    <m/>
    <m/>
    <d v="2017-02-15T00:00:00"/>
    <n v="0.12602739726027398"/>
    <n v="1"/>
    <m/>
    <n v="1"/>
    <n v="1"/>
    <s v="11"/>
    <n v="0.01"/>
    <n v="279856.33039999998"/>
    <n v="1869461.0904000001"/>
    <n v="290085.65011086583"/>
    <n v="1589604.76"/>
    <m/>
    <n v="27985633.039999999"/>
    <s v="DBK GR Equity"/>
    <x v="80"/>
    <n v="3.974011900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7985633.039999999"/>
    <m/>
    <s v="USD"/>
    <n v="1"/>
    <m/>
    <m/>
    <m/>
    <m/>
    <n v="0"/>
    <n v="0"/>
    <n v="0"/>
    <n v="0"/>
    <n v="0"/>
    <n v="7.2521412527716458E-4"/>
  </r>
  <r>
    <n v="37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39954.93613459624"/>
    <x v="4"/>
    <m/>
    <m/>
    <d v="2017-02-15T00:00:00"/>
    <n v="0.12602739726027398"/>
    <n v="1"/>
    <m/>
    <n v="1"/>
    <n v="1"/>
    <s v="11"/>
    <n v="0.01"/>
    <n v="296098.897"/>
    <n v="1674942.307"/>
    <n v="259902.02765885199"/>
    <n v="1378843.41"/>
    <m/>
    <n v="29609889.699999999"/>
    <s v="DBK GR Equity"/>
    <x v="80"/>
    <n v="3.447108524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9609889.699999999"/>
    <m/>
    <s v="USD"/>
    <n v="1"/>
    <m/>
    <m/>
    <m/>
    <m/>
    <n v="0"/>
    <n v="0"/>
    <n v="0"/>
    <n v="0"/>
    <n v="0"/>
    <n v="6.4975506914712999E-4"/>
  </r>
  <r>
    <n v="37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17612.2325419212"/>
    <x v="4"/>
    <m/>
    <m/>
    <d v="2017-02-15T00:00:00"/>
    <n v="0.12602739726027398"/>
    <n v="1"/>
    <m/>
    <n v="1"/>
    <n v="1"/>
    <s v="11"/>
    <n v="0.01"/>
    <n v="281061.78899999999"/>
    <n v="1708901.949"/>
    <n v="265171.5702439798"/>
    <n v="1427840.16"/>
    <m/>
    <n v="28106178.899999999"/>
    <s v="DBK GR Equity"/>
    <x v="80"/>
    <n v="3.569600399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106178.899999999"/>
    <m/>
    <s v="USD"/>
    <n v="1"/>
    <m/>
    <m/>
    <m/>
    <m/>
    <n v="0"/>
    <n v="0"/>
    <n v="0"/>
    <n v="0"/>
    <n v="0"/>
    <n v="6.6292892560994949E-4"/>
  </r>
  <r>
    <n v="38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1327.70019111782"/>
    <x v="4"/>
    <m/>
    <m/>
    <d v="2017-03-15T00:00:00"/>
    <n v="0.20273972602739726"/>
    <n v="1"/>
    <m/>
    <n v="1"/>
    <n v="1"/>
    <s v="11"/>
    <n v="0.01"/>
    <n v="100962.91500000001"/>
    <n v="787198.22500000009"/>
    <n v="122150.12659952426"/>
    <n v="686235.31"/>
    <m/>
    <n v="10096291.5"/>
    <s v="DBK GR Equity"/>
    <x v="80"/>
    <n v="1.71558827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96291.5"/>
    <m/>
    <s v="USD"/>
    <n v="1"/>
    <m/>
    <m/>
    <m/>
    <m/>
    <n v="0"/>
    <n v="0"/>
    <n v="0"/>
    <n v="0"/>
    <n v="0"/>
    <n v="3.0537531649881065E-4"/>
  </r>
  <r>
    <n v="38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282.691065070137"/>
    <x v="4"/>
    <m/>
    <m/>
    <d v="2017-03-15T00:00:00"/>
    <n v="0.20273972602739726"/>
    <n v="1"/>
    <m/>
    <n v="1"/>
    <n v="1"/>
    <s v="11"/>
    <n v="0.01"/>
    <n v="5138.6405000000004"/>
    <n v="27432.590500000002"/>
    <n v="4256.7352111698501"/>
    <n v="22293.95"/>
    <m/>
    <n v="513864.05"/>
    <s v="DBK GR Equity"/>
    <x v="80"/>
    <n v="5.573487499999999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513864.05"/>
    <m/>
    <s v="USD"/>
    <n v="1"/>
    <m/>
    <m/>
    <m/>
    <m/>
    <n v="0"/>
    <n v="0"/>
    <n v="0"/>
    <n v="0"/>
    <n v="0"/>
    <n v="1.0641838027924626E-5"/>
  </r>
  <r>
    <n v="38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64261.86745664844"/>
    <x v="4"/>
    <m/>
    <m/>
    <d v="2017-03-15T00:00:00"/>
    <n v="0.20273972602739726"/>
    <n v="1"/>
    <m/>
    <n v="1"/>
    <n v="1"/>
    <s v="11"/>
    <n v="0.01"/>
    <n v="194230.63089999999"/>
    <n v="656732.74089999998"/>
    <n v="101905.70163314017"/>
    <n v="462502.11"/>
    <m/>
    <n v="19423063.09"/>
    <s v="DBK GR Equity"/>
    <x v="80"/>
    <n v="1.1562552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9423063.09"/>
    <m/>
    <s v="USD"/>
    <n v="1"/>
    <m/>
    <m/>
    <m/>
    <m/>
    <n v="0"/>
    <n v="0"/>
    <n v="0"/>
    <n v="0"/>
    <n v="0"/>
    <n v="2.547642540828504E-4"/>
  </r>
  <r>
    <n v="38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28234.0758061195"/>
    <x v="4"/>
    <m/>
    <m/>
    <d v="2017-04-19T00:00:00"/>
    <n v="0.29863013698630136"/>
    <n v="1"/>
    <m/>
    <n v="1"/>
    <n v="1"/>
    <s v="11"/>
    <n v="0.01"/>
    <n v="661281.79969999997"/>
    <n v="5558744.4097000007"/>
    <n v="862554.4517446704"/>
    <n v="4897462.6100000003"/>
    <m/>
    <n v="66128179.969999999"/>
    <s v="DBK GR Equity"/>
    <x v="80"/>
    <n v="1.2243656525E-2"/>
    <n v="0.15517073428299999"/>
    <d v="2017-05-29T10:12:30"/>
    <m/>
    <m/>
    <m/>
    <m/>
    <m/>
    <m/>
    <m/>
    <m/>
    <m/>
    <m/>
    <m/>
    <m/>
    <m/>
    <m/>
    <m/>
    <m/>
    <m/>
    <m/>
    <m/>
    <m/>
    <m/>
    <m/>
    <n v="66128179.969999999"/>
    <m/>
    <s v="USD"/>
    <n v="1"/>
    <m/>
    <m/>
    <m/>
    <m/>
    <n v="0"/>
    <n v="0"/>
    <n v="0"/>
    <n v="0"/>
    <n v="0"/>
    <n v="2.156386129361676E-3"/>
  </r>
  <r>
    <n v="38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2368.05621274596"/>
    <x v="4"/>
    <m/>
    <m/>
    <d v="2017-06-21T00:00:00"/>
    <n v="0.47123287671232877"/>
    <n v="1"/>
    <m/>
    <n v="1"/>
    <n v="1"/>
    <s v="11"/>
    <n v="0.01"/>
    <n v="160620.87789999999"/>
    <n v="545296.36789999995"/>
    <n v="84614.037808895897"/>
    <n v="384675.49"/>
    <m/>
    <n v="16062087.789999999"/>
    <s v="DBK GR Equity"/>
    <x v="80"/>
    <n v="9.616887249999999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62087.789999999"/>
    <m/>
    <s v="USD"/>
    <n v="1"/>
    <m/>
    <m/>
    <m/>
    <m/>
    <n v="0"/>
    <n v="0"/>
    <n v="0"/>
    <n v="0"/>
    <n v="0"/>
    <n v="2.1153509452223975E-4"/>
  </r>
  <r>
    <n v="38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3727.34667483636"/>
    <x v="4"/>
    <m/>
    <m/>
    <d v="2017-06-21T00:00:00"/>
    <n v="0.47123287671232877"/>
    <n v="1"/>
    <m/>
    <n v="1"/>
    <n v="1"/>
    <s v="11"/>
    <n v="0.01"/>
    <n v="160865.54199999999"/>
    <n v="570007.44200000004"/>
    <n v="88448.473321914527"/>
    <n v="409141.9"/>
    <m/>
    <n v="16086554.199999999"/>
    <s v="DBK GR Equity"/>
    <x v="80"/>
    <n v="1.02285475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86554.199999999"/>
    <m/>
    <s v="USD"/>
    <n v="1"/>
    <m/>
    <m/>
    <m/>
    <m/>
    <n v="0"/>
    <n v="0"/>
    <n v="0"/>
    <n v="0"/>
    <n v="0"/>
    <n v="2.2112118330478632E-4"/>
  </r>
  <r>
    <n v="38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6381.59100280551"/>
    <x v="4"/>
    <m/>
    <m/>
    <d v="2017-06-21T00:00:00"/>
    <n v="0.47123287671232877"/>
    <n v="1"/>
    <m/>
    <n v="1"/>
    <n v="1"/>
    <s v="11"/>
    <n v="0.01"/>
    <n v="161343.29"/>
    <n v="618259.99"/>
    <n v="95935.856626100227"/>
    <n v="456916.7"/>
    <m/>
    <n v="16134329"/>
    <s v="DBK GR Equity"/>
    <x v="80"/>
    <n v="1.142291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134329"/>
    <m/>
    <s v="USD"/>
    <n v="1"/>
    <m/>
    <m/>
    <m/>
    <m/>
    <n v="0"/>
    <n v="0"/>
    <n v="0"/>
    <n v="0"/>
    <n v="0"/>
    <n v="2.3983964156525057E-4"/>
  </r>
  <r>
    <n v="38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94771.85216435499"/>
    <x v="4"/>
    <m/>
    <m/>
    <d v="2017-06-21T00:00:00"/>
    <n v="0.47123287671232877"/>
    <n v="1"/>
    <m/>
    <n v="1"/>
    <n v="1"/>
    <s v="11"/>
    <n v="0.01"/>
    <n v="161053.54670000001"/>
    <n v="588995.91669999994"/>
    <n v="91394.928884027686"/>
    <n v="427942.37"/>
    <m/>
    <n v="16105354.67"/>
    <s v="DBK GR Equity"/>
    <x v="80"/>
    <n v="1.0698559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105354.67"/>
    <m/>
    <s v="USD"/>
    <n v="1"/>
    <m/>
    <m/>
    <m/>
    <m/>
    <n v="0"/>
    <n v="0"/>
    <n v="0"/>
    <n v="0"/>
    <n v="0"/>
    <n v="2.2848732221006921E-4"/>
  </r>
  <r>
    <n v="38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74724.7548627127"/>
    <x v="4"/>
    <m/>
    <m/>
    <d v="2017-06-21T00:00:00"/>
    <n v="0.47123287671232877"/>
    <n v="1"/>
    <m/>
    <n v="1"/>
    <n v="1"/>
    <s v="11"/>
    <n v="0.01"/>
    <n v="229442.7818"/>
    <n v="836876.89179999998"/>
    <n v="129858.80180508073"/>
    <n v="607434.11"/>
    <m/>
    <n v="22944278.18"/>
    <s v="DBK GR Equity"/>
    <x v="80"/>
    <n v="1.5185852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944278.18"/>
    <m/>
    <s v="USD"/>
    <n v="1"/>
    <m/>
    <m/>
    <m/>
    <m/>
    <n v="0"/>
    <n v="0"/>
    <n v="0"/>
    <n v="0"/>
    <n v="0"/>
    <n v="3.246470045127018E-4"/>
  </r>
  <r>
    <n v="38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32728.5732959642"/>
    <x v="4"/>
    <m/>
    <m/>
    <d v="2017-11-15T00:00:00"/>
    <n v="0.87397260273972599"/>
    <n v="1"/>
    <m/>
    <n v="1"/>
    <n v="1"/>
    <s v="11"/>
    <n v="0.01"/>
    <n v="158456.3824"/>
    <n v="551434.66240000003"/>
    <n v="85566.521473706205"/>
    <n v="392978.28"/>
    <m/>
    <n v="15845638.24"/>
    <s v="DBK GR Equity"/>
    <x v="80"/>
    <n v="9.82445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845638.24"/>
    <m/>
    <s v="USD"/>
    <n v="1"/>
    <m/>
    <m/>
    <m/>
    <m/>
    <n v="0"/>
    <n v="0"/>
    <n v="0"/>
    <n v="0"/>
    <n v="0"/>
    <n v="2.1391630368426551E-4"/>
  </r>
  <r>
    <n v="390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85169.84112394741"/>
    <x v="4"/>
    <m/>
    <m/>
    <d v="2017-02-13T00:00:00"/>
    <n v="0.12054794520547946"/>
    <n v="1"/>
    <m/>
    <n v="1"/>
    <n v="1"/>
    <s v="11"/>
    <n v="0.01"/>
    <n v="200649.15899999999"/>
    <n v="1032404.439"/>
    <n v="160198.95487665868"/>
    <n v="831755.28"/>
    <m/>
    <n v="20064915.899999999"/>
    <s v="56243Z LN Equity"/>
    <x v="81"/>
    <n v="2.0793882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64915.899999999"/>
    <m/>
    <s v="USD"/>
    <n v="1"/>
    <m/>
    <m/>
    <m/>
    <m/>
    <n v="0"/>
    <n v="0"/>
    <n v="0"/>
    <n v="0"/>
    <n v="0"/>
    <n v="4.0049738719164673E-4"/>
  </r>
  <r>
    <n v="39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3649.86830582577"/>
    <x v="4"/>
    <m/>
    <m/>
    <d v="2017-02-13T00:00:00"/>
    <n v="0.12054794520547946"/>
    <n v="1"/>
    <m/>
    <n v="1"/>
    <n v="1"/>
    <s v="11"/>
    <n v="0.01"/>
    <n v="115146.147"/>
    <n v="598977.54700000002"/>
    <n v="92943.785787020141"/>
    <n v="483831.4"/>
    <m/>
    <n v="11514614.699999999"/>
    <s v="DBK GR Equity"/>
    <x v="81"/>
    <n v="1.209578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514614.699999999"/>
    <m/>
    <s v="USD"/>
    <n v="1"/>
    <m/>
    <m/>
    <m/>
    <m/>
    <n v="0"/>
    <n v="0"/>
    <n v="0"/>
    <n v="0"/>
    <n v="0"/>
    <n v="2.3235946446755035E-4"/>
  </r>
  <r>
    <n v="39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3589.49433568641"/>
    <x v="4"/>
    <m/>
    <m/>
    <d v="2017-02-13T00:00:00"/>
    <n v="0.12054794520547946"/>
    <n v="1"/>
    <m/>
    <n v="1"/>
    <n v="1"/>
    <s v="11"/>
    <n v="0.01"/>
    <n v="115103.66710000001"/>
    <n v="594687.07709999999"/>
    <n v="92278.030422218028"/>
    <n v="479583.41"/>
    <m/>
    <n v="11510366.710000001"/>
    <s v="DBK GR Equity"/>
    <x v="81"/>
    <n v="1.1989585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510366.710000001"/>
    <m/>
    <s v="USD"/>
    <n v="1"/>
    <m/>
    <m/>
    <m/>
    <m/>
    <n v="0"/>
    <n v="0"/>
    <n v="0"/>
    <n v="0"/>
    <n v="0"/>
    <n v="2.3069507605554508E-4"/>
  </r>
  <r>
    <n v="39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9081.72875228626"/>
    <x v="4"/>
    <m/>
    <m/>
    <d v="2017-02-13T00:00:00"/>
    <n v="0.12054794520547946"/>
    <n v="1"/>
    <m/>
    <n v="1"/>
    <n v="1"/>
    <s v="11"/>
    <n v="0.01"/>
    <n v="111931.9454"/>
    <n v="698604.08539999998"/>
    <n v="108402.90890462162"/>
    <n v="586672.14"/>
    <m/>
    <n v="11193194.539999999"/>
    <s v="DBK GR Equity"/>
    <x v="81"/>
    <n v="1.4666803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193194.539999999"/>
    <m/>
    <s v="USD"/>
    <n v="1"/>
    <m/>
    <m/>
    <m/>
    <m/>
    <n v="0"/>
    <n v="0"/>
    <n v="0"/>
    <n v="0"/>
    <n v="0"/>
    <n v="2.7100727226155404E-4"/>
  </r>
  <r>
    <n v="39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8820.99729298544"/>
    <x v="4"/>
    <m/>
    <m/>
    <d v="2017-02-13T00:00:00"/>
    <n v="0.12054794520547946"/>
    <n v="1"/>
    <m/>
    <n v="1"/>
    <n v="1"/>
    <s v="11"/>
    <n v="0.01"/>
    <n v="111748.49140000001"/>
    <n v="680075.23140000005"/>
    <n v="105527.77302401914"/>
    <n v="568326.74"/>
    <m/>
    <n v="11174849.140000001"/>
    <s v="DBK GR Equity"/>
    <x v="81"/>
    <n v="1.4208168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174849.140000001"/>
    <m/>
    <s v="USD"/>
    <n v="1"/>
    <m/>
    <m/>
    <m/>
    <m/>
    <n v="0"/>
    <n v="0"/>
    <n v="0"/>
    <n v="0"/>
    <n v="0"/>
    <n v="2.6381943256004788E-4"/>
  </r>
  <r>
    <n v="39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85169.84112394741"/>
    <x v="4"/>
    <m/>
    <m/>
    <d v="2017-02-13T00:00:00"/>
    <n v="0.12054794520547946"/>
    <n v="1"/>
    <m/>
    <n v="1"/>
    <n v="1"/>
    <s v="11"/>
    <n v="0.01"/>
    <n v="200649.15899999999"/>
    <n v="1032404.439"/>
    <n v="160198.95487665868"/>
    <n v="831755.28"/>
    <m/>
    <n v="20064915.899999999"/>
    <s v="DBK GR Equity"/>
    <x v="81"/>
    <n v="2.0793882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64915.899999999"/>
    <m/>
    <s v="USD"/>
    <n v="1"/>
    <m/>
    <m/>
    <m/>
    <m/>
    <n v="0"/>
    <n v="0"/>
    <n v="0"/>
    <n v="0"/>
    <n v="0"/>
    <n v="4.0049738719164673E-4"/>
  </r>
  <r>
    <n v="39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49352.2278474523"/>
    <x v="4"/>
    <m/>
    <m/>
    <d v="2017-03-15T00:00:00"/>
    <n v="0.20273972602739726"/>
    <n v="1"/>
    <m/>
    <n v="1"/>
    <n v="1"/>
    <s v="11"/>
    <n v="0.01"/>
    <n v="439011.60000000003"/>
    <n v="1087560.4100000001"/>
    <n v="168757.54739682053"/>
    <n v="648548.81000000006"/>
    <m/>
    <n v="43901160"/>
    <s v="DBK GR Equity"/>
    <x v="82"/>
    <n v="1.6213720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3901160"/>
    <m/>
    <s v="USD"/>
    <n v="1"/>
    <m/>
    <m/>
    <m/>
    <m/>
    <n v="0"/>
    <n v="0"/>
    <n v="0"/>
    <n v="0"/>
    <n v="0"/>
    <n v="4.2189386849205134E-4"/>
  </r>
  <r>
    <n v="39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26349.22668199998"/>
    <x v="4"/>
    <m/>
    <m/>
    <d v="2017-03-15T00:00:00"/>
    <n v="0.20273972602739726"/>
    <n v="1"/>
    <m/>
    <n v="1"/>
    <n v="1"/>
    <s v="11"/>
    <n v="0.01"/>
    <n v="387551.52500000002"/>
    <n v="637330.64500000002"/>
    <n v="98895.064165707998"/>
    <n v="249779.12"/>
    <m/>
    <n v="38755152.5"/>
    <s v="DBK GR Equity"/>
    <x v="82"/>
    <n v="6.244478000000000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8755152.5"/>
    <m/>
    <s v="USD"/>
    <n v="1"/>
    <m/>
    <m/>
    <m/>
    <m/>
    <n v="0"/>
    <n v="0"/>
    <n v="0"/>
    <n v="0"/>
    <n v="0"/>
    <n v="2.4723766041427001E-4"/>
  </r>
  <r>
    <n v="39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2917.22291349043"/>
    <x v="4"/>
    <m/>
    <m/>
    <d v="2017-03-15T00:00:00"/>
    <n v="0.20273972602739726"/>
    <n v="1"/>
    <m/>
    <n v="1"/>
    <n v="1"/>
    <s v="11"/>
    <n v="0.01"/>
    <n v="63975.12"/>
    <n v="131836.70000000001"/>
    <n v="20457.197544447587"/>
    <n v="67861.58"/>
    <m/>
    <n v="6397512"/>
    <s v="DBK GR Equity"/>
    <x v="82"/>
    <n v="1.69653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6397512"/>
    <m/>
    <s v="USD"/>
    <n v="1"/>
    <m/>
    <m/>
    <m/>
    <m/>
    <n v="0"/>
    <n v="0"/>
    <n v="0"/>
    <n v="0"/>
    <n v="0"/>
    <n v="5.1142993861118965E-5"/>
  </r>
  <r>
    <n v="399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90855.7930955335"/>
    <x v="4"/>
    <m/>
    <m/>
    <d v="2017-01-18T00:00:00"/>
    <n v="4.9315068493150684E-2"/>
    <n v="1"/>
    <m/>
    <n v="1"/>
    <n v="1"/>
    <s v="11"/>
    <n v="0.01"/>
    <n v="500255.23229999997"/>
    <n v="500255.23229999997"/>
    <n v="77624.971724903735"/>
    <n v="-526991.9"/>
    <m/>
    <n v="50025523.229999997"/>
    <s v="56243Z LN Equity"/>
    <x v="83"/>
    <n v="-1.3174797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50025523.229999997"/>
    <m/>
    <s v="USD"/>
    <n v="1"/>
    <m/>
    <m/>
    <m/>
    <m/>
    <n v="0"/>
    <n v="0"/>
    <n v="0"/>
    <n v="0"/>
    <n v="0"/>
    <n v="1.9406242931225933E-4"/>
  </r>
  <r>
    <n v="40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4678.969161680783"/>
    <x v="4"/>
    <m/>
    <m/>
    <d v="2017-01-18T00:00:00"/>
    <n v="4.9315068493150684E-2"/>
    <n v="1"/>
    <m/>
    <n v="1"/>
    <n v="1"/>
    <s v="11"/>
    <n v="0.01"/>
    <n v="145642.95570000002"/>
    <n v="145642.95570000002"/>
    <n v="22599.524379115443"/>
    <n v="-8240.68"/>
    <m/>
    <n v="14564295.57"/>
    <s v="DBK GR Equity"/>
    <x v="83"/>
    <n v="-2.06017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564295.57"/>
    <m/>
    <s v="USD"/>
    <n v="1"/>
    <m/>
    <m/>
    <m/>
    <m/>
    <n v="0"/>
    <n v="0"/>
    <n v="0"/>
    <n v="0"/>
    <n v="0"/>
    <n v="5.6498810947788603E-5"/>
  </r>
  <r>
    <n v="40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4708.447356894801"/>
    <x v="4"/>
    <m/>
    <m/>
    <d v="2017-01-18T00:00:00"/>
    <n v="4.9315068493150684E-2"/>
    <n v="1"/>
    <m/>
    <n v="1"/>
    <n v="1"/>
    <s v="11"/>
    <n v="0.01"/>
    <n v="145693.65650000001"/>
    <n v="145693.65650000001"/>
    <n v="22607.391659480178"/>
    <n v="-3170.6"/>
    <m/>
    <n v="14569365.65"/>
    <s v="DBK GR Equity"/>
    <x v="83"/>
    <n v="-7.9264999999999994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569365.65"/>
    <m/>
    <s v="USD"/>
    <n v="1"/>
    <m/>
    <m/>
    <m/>
    <m/>
    <n v="0"/>
    <n v="0"/>
    <n v="0"/>
    <n v="0"/>
    <n v="0"/>
    <n v="5.6518479148700442E-5"/>
  </r>
  <r>
    <n v="40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4708.447356894801"/>
    <x v="4"/>
    <m/>
    <m/>
    <d v="2017-01-18T00:00:00"/>
    <n v="4.9315068493150684E-2"/>
    <n v="1"/>
    <m/>
    <n v="1"/>
    <n v="1"/>
    <s v="11"/>
    <n v="0.01"/>
    <n v="145693.65650000001"/>
    <n v="145693.65650000001"/>
    <n v="22607.391659480178"/>
    <n v="-3170.6"/>
    <m/>
    <n v="14569365.65"/>
    <s v="DBK GR Equity"/>
    <x v="83"/>
    <n v="-7.9264999999999994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569365.65"/>
    <m/>
    <s v="USD"/>
    <n v="1"/>
    <m/>
    <m/>
    <m/>
    <m/>
    <n v="0"/>
    <n v="0"/>
    <n v="0"/>
    <n v="0"/>
    <n v="0"/>
    <n v="5.6518479148700442E-5"/>
  </r>
  <r>
    <n v="403"/>
    <s v="BNP PARIBAS"/>
    <s v="FX Forward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2495.204106561097"/>
    <x v="4"/>
    <m/>
    <m/>
    <d v="2017-01-18T00:00:00"/>
    <n v="4.9315068493150684E-2"/>
    <n v="1"/>
    <m/>
    <n v="1"/>
    <n v="1"/>
    <s v="11"/>
    <n v="0.01"/>
    <n v="38690.457000000002"/>
    <n v="38921.226999999999"/>
    <n v="6039.4353727853249"/>
    <n v="230.77"/>
    <m/>
    <n v="3869045.7"/>
    <s v="BNP FP Equity"/>
    <x v="83"/>
    <n v="5.7692499999999999E-7"/>
    <n v="0.15517073428299999"/>
    <d v="2017-05-29T10:12:30"/>
    <m/>
    <m/>
    <m/>
    <m/>
    <m/>
    <m/>
    <m/>
    <m/>
    <m/>
    <m/>
    <m/>
    <m/>
    <m/>
    <m/>
    <m/>
    <m/>
    <m/>
    <m/>
    <m/>
    <m/>
    <m/>
    <m/>
    <n v="3869045.7"/>
    <m/>
    <s v="USD"/>
    <n v="1"/>
    <m/>
    <m/>
    <m/>
    <m/>
    <n v="0"/>
    <n v="0"/>
    <n v="0"/>
    <n v="0"/>
    <n v="0"/>
    <n v="1.5098588431963312E-5"/>
  </r>
  <r>
    <n v="404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743394.22005842766"/>
    <x v="4"/>
    <m/>
    <m/>
    <d v="2017-02-15T00:00:00"/>
    <n v="0.12602739726027398"/>
    <n v="1"/>
    <m/>
    <n v="1"/>
    <n v="1"/>
    <s v="11"/>
    <n v="0.01"/>
    <n v="500319.89759999997"/>
    <n v="500319.89759999997"/>
    <n v="77635.005886987361"/>
    <n v="-398329.1"/>
    <m/>
    <n v="50031989.759999998"/>
    <s v="56243Z LN Equity"/>
    <x v="83"/>
    <n v="-9.958227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50031989.759999998"/>
    <m/>
    <s v="USD"/>
    <n v="1"/>
    <m/>
    <m/>
    <m/>
    <m/>
    <n v="0"/>
    <n v="0"/>
    <n v="0"/>
    <n v="0"/>
    <n v="0"/>
    <n v="1.940875147174684E-4"/>
  </r>
  <r>
    <n v="405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744254.74599673343"/>
    <x v="4"/>
    <m/>
    <m/>
    <d v="2017-02-15T00:00:00"/>
    <n v="0.12602739726027398"/>
    <n v="1"/>
    <m/>
    <n v="1"/>
    <n v="1"/>
    <s v="11"/>
    <n v="0.01"/>
    <n v="500899.04960000003"/>
    <n v="500899.04960000003"/>
    <n v="77724.873328088841"/>
    <n v="-211436.1"/>
    <m/>
    <n v="50089904.960000001"/>
    <s v="56243Z LN Equity"/>
    <x v="83"/>
    <n v="-5.285902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50089904.960000001"/>
    <m/>
    <s v="USD"/>
    <n v="1"/>
    <m/>
    <m/>
    <m/>
    <m/>
    <n v="0"/>
    <n v="0"/>
    <n v="0"/>
    <n v="0"/>
    <n v="0"/>
    <n v="1.943121833202221E-4"/>
  </r>
  <r>
    <n v="40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70083.62300338788"/>
    <x v="4"/>
    <m/>
    <m/>
    <d v="2017-02-15T00:00:00"/>
    <n v="0.12602739726027398"/>
    <n v="1"/>
    <m/>
    <n v="1"/>
    <n v="1"/>
    <s v="11"/>
    <n v="0.01"/>
    <n v="249074.03820000001"/>
    <n v="263762.92820000002"/>
    <n v="40928.287245428211"/>
    <n v="14688.89"/>
    <m/>
    <n v="24907403.82"/>
    <s v="DBK GR Equity"/>
    <x v="83"/>
    <n v="3.6722225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4907403.82"/>
    <m/>
    <s v="USD"/>
    <n v="1"/>
    <m/>
    <m/>
    <m/>
    <m/>
    <n v="0"/>
    <n v="0"/>
    <n v="0"/>
    <n v="0"/>
    <n v="0"/>
    <n v="1.0232071811357053E-4"/>
  </r>
  <r>
    <n v="40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1776.797835601312"/>
    <x v="4"/>
    <m/>
    <m/>
    <d v="2017-02-15T00:00:00"/>
    <n v="0.12602739726027398"/>
    <n v="1"/>
    <m/>
    <n v="1"/>
    <n v="1"/>
    <s v="11"/>
    <n v="0.01"/>
    <n v="34846.870600000002"/>
    <n v="37133.400600000001"/>
    <n v="5762.0170375267926"/>
    <n v="2286.5300000000002"/>
    <m/>
    <n v="3484687.06"/>
    <s v="DBK GR Equity"/>
    <x v="83"/>
    <n v="5.7163250000000007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3484687.06"/>
    <m/>
    <s v="USD"/>
    <n v="1"/>
    <m/>
    <m/>
    <m/>
    <m/>
    <n v="0"/>
    <n v="0"/>
    <n v="0"/>
    <n v="0"/>
    <n v="0"/>
    <n v="1.4405042593816981E-5"/>
  </r>
  <r>
    <n v="40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70121.83563155588"/>
    <x v="4"/>
    <m/>
    <m/>
    <d v="2017-02-15T00:00:00"/>
    <n v="0.12602739726027398"/>
    <n v="1"/>
    <m/>
    <n v="1"/>
    <n v="1"/>
    <s v="11"/>
    <n v="0.01"/>
    <n v="249099.7561"/>
    <n v="266360.43609999999"/>
    <n v="41331.344453577098"/>
    <n v="17260.68"/>
    <m/>
    <n v="24909975.609999999"/>
    <s v="DBK GR Equity"/>
    <x v="83"/>
    <n v="4.315170000000000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4909975.609999999"/>
    <m/>
    <s v="USD"/>
    <n v="1"/>
    <m/>
    <m/>
    <m/>
    <m/>
    <n v="0"/>
    <n v="0"/>
    <n v="0"/>
    <n v="0"/>
    <n v="0"/>
    <n v="1.0332836113394275E-4"/>
  </r>
  <r>
    <n v="40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70109.89335875609"/>
    <x v="4"/>
    <m/>
    <m/>
    <d v="2017-02-15T00:00:00"/>
    <n v="0.12602739726027398"/>
    <n v="1"/>
    <m/>
    <n v="1"/>
    <n v="1"/>
    <s v="11"/>
    <n v="0.01"/>
    <n v="249091.71870000003"/>
    <n v="265548.65870000003"/>
    <n v="41205.380358344759"/>
    <n v="16456.939999999999"/>
    <m/>
    <n v="24909171.870000001"/>
    <s v="DBK GR Equity"/>
    <x v="83"/>
    <n v="4.1142349999999998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4909171.870000001"/>
    <m/>
    <s v="USD"/>
    <n v="1"/>
    <m/>
    <m/>
    <m/>
    <m/>
    <n v="0"/>
    <n v="0"/>
    <n v="0"/>
    <n v="0"/>
    <n v="0"/>
    <n v="1.0301345089586189E-4"/>
  </r>
  <r>
    <n v="41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83178.1521597623"/>
    <x v="4"/>
    <m/>
    <m/>
    <d v="2017-02-15T00:00:00"/>
    <n v="0.12602739726027398"/>
    <n v="1"/>
    <m/>
    <n v="1"/>
    <n v="1"/>
    <s v="11"/>
    <n v="0.01"/>
    <n v="796303.70530000003"/>
    <n v="847373.12530000007"/>
    <n v="131487.51006448155"/>
    <n v="51069.42"/>
    <m/>
    <n v="79630370.530000001"/>
    <s v="DBK GR Equity"/>
    <x v="83"/>
    <n v="1.276735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9630370.530000001"/>
    <m/>
    <s v="USD"/>
    <n v="1"/>
    <m/>
    <m/>
    <m/>
    <m/>
    <n v="0"/>
    <n v="0"/>
    <n v="0"/>
    <n v="0"/>
    <n v="0"/>
    <n v="3.2871877516120387E-4"/>
  </r>
  <r>
    <n v="41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36480.89429341943"/>
    <x v="4"/>
    <m/>
    <m/>
    <d v="2017-02-15T00:00:00"/>
    <n v="0.12602739726027398"/>
    <n v="1"/>
    <m/>
    <n v="1"/>
    <n v="1"/>
    <s v="11"/>
    <n v="0.01"/>
    <n v="428364.98759999999"/>
    <n v="444234.94760000001"/>
    <n v="68932.263013262025"/>
    <n v="15869.96"/>
    <m/>
    <n v="42836498.759999998"/>
    <s v="DBK GR Equity"/>
    <x v="83"/>
    <n v="3.967489999999999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836498.759999998"/>
    <m/>
    <s v="USD"/>
    <n v="1"/>
    <m/>
    <m/>
    <m/>
    <m/>
    <n v="0"/>
    <n v="0"/>
    <n v="0"/>
    <n v="0"/>
    <n v="0"/>
    <n v="1.7233065753315507E-4"/>
  </r>
  <r>
    <n v="41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0416.58870996092"/>
    <x v="4"/>
    <m/>
    <m/>
    <d v="2017-02-15T00:00:00"/>
    <n v="0.12602739726027398"/>
    <n v="1"/>
    <m/>
    <n v="1"/>
    <n v="1"/>
    <s v="11"/>
    <n v="0.01"/>
    <n v="148344.9859"/>
    <n v="150396.8559"/>
    <n v="23337.190563857537"/>
    <n v="2051.87"/>
    <m/>
    <n v="14834498.59"/>
    <s v="DBK GR Equity"/>
    <x v="83"/>
    <n v="5.1296750000000001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834498.59"/>
    <m/>
    <s v="USD"/>
    <n v="1"/>
    <m/>
    <m/>
    <m/>
    <m/>
    <n v="0"/>
    <n v="0"/>
    <n v="0"/>
    <n v="0"/>
    <n v="0"/>
    <n v="5.8342976409643844E-5"/>
  </r>
  <r>
    <n v="41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0283.0356644069"/>
    <x v="4"/>
    <m/>
    <m/>
    <d v="2017-02-15T00:00:00"/>
    <n v="0.12602739726027398"/>
    <n v="1"/>
    <m/>
    <n v="1"/>
    <n v="1"/>
    <s v="11"/>
    <n v="0.01"/>
    <n v="148255.10190000001"/>
    <n v="148255.10190000001"/>
    <n v="23004.853023023988"/>
    <n v="-6936.53"/>
    <m/>
    <n v="14825510.189999999"/>
    <s v="DBK GR Equity"/>
    <x v="83"/>
    <n v="-1.7341324999999998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825510.189999999"/>
    <m/>
    <s v="USD"/>
    <n v="1"/>
    <m/>
    <m/>
    <m/>
    <m/>
    <n v="0"/>
    <n v="0"/>
    <n v="0"/>
    <n v="0"/>
    <n v="0"/>
    <n v="5.7512132557559968E-5"/>
  </r>
  <r>
    <n v="41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4267.27839596893"/>
    <x v="4"/>
    <m/>
    <m/>
    <d v="2017-02-15T00:00:00"/>
    <n v="0.12602739726027398"/>
    <n v="1"/>
    <m/>
    <n v="1"/>
    <n v="1"/>
    <s v="11"/>
    <n v="0.01"/>
    <n v="150936.5808"/>
    <n v="154192.34080000001"/>
    <n v="23926.13874275058"/>
    <n v="3255.76"/>
    <m/>
    <n v="15093658.08"/>
    <s v="DBK GR Equity"/>
    <x v="83"/>
    <n v="8.1394000000000004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93658.08"/>
    <m/>
    <s v="USD"/>
    <n v="1"/>
    <m/>
    <m/>
    <m/>
    <m/>
    <n v="0"/>
    <n v="0"/>
    <n v="0"/>
    <n v="0"/>
    <n v="0"/>
    <n v="5.9815346856876448E-5"/>
  </r>
  <r>
    <n v="41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62461.35766193864"/>
    <x v="4"/>
    <m/>
    <m/>
    <d v="2017-02-15T00:00:00"/>
    <n v="0.12602739726027398"/>
    <n v="1"/>
    <m/>
    <n v="1"/>
    <n v="1"/>
    <s v="11"/>
    <n v="0.01"/>
    <n v="176641.997"/>
    <n v="176641.997"/>
    <n v="27409.668379705483"/>
    <n v="-5758.57"/>
    <m/>
    <n v="17664199.699999999"/>
    <s v="DBK GR Equity"/>
    <x v="83"/>
    <n v="-1.439642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664199.699999999"/>
    <m/>
    <s v="USD"/>
    <n v="1"/>
    <m/>
    <m/>
    <m/>
    <m/>
    <n v="0"/>
    <n v="0"/>
    <n v="0"/>
    <n v="0"/>
    <n v="0"/>
    <n v="6.8524170949263707E-5"/>
  </r>
  <r>
    <n v="41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62573.07929257647"/>
    <x v="4"/>
    <m/>
    <m/>
    <d v="2017-02-15T00:00:00"/>
    <n v="0.12602739726027398"/>
    <n v="1"/>
    <m/>
    <n v="1"/>
    <n v="1"/>
    <s v="11"/>
    <n v="0.01"/>
    <n v="176717.18800000002"/>
    <n v="178477.71800000002"/>
    <n v="27694.518555214207"/>
    <n v="1760.53"/>
    <m/>
    <n v="17671718.800000001"/>
    <s v="DBK GR Equity"/>
    <x v="83"/>
    <n v="4.4013249999999997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671718.800000001"/>
    <m/>
    <s v="USD"/>
    <n v="1"/>
    <m/>
    <m/>
    <m/>
    <m/>
    <n v="0"/>
    <n v="0"/>
    <n v="0"/>
    <n v="0"/>
    <n v="0"/>
    <n v="6.9236296388035519E-5"/>
  </r>
  <r>
    <n v="41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63441.6556423119"/>
    <x v="4"/>
    <m/>
    <m/>
    <d v="2017-02-15T00:00:00"/>
    <n v="0.12602739726027398"/>
    <n v="1"/>
    <m/>
    <n v="1"/>
    <n v="1"/>
    <s v="11"/>
    <n v="0.01"/>
    <n v="379208.04850000003"/>
    <n v="380540.40850000002"/>
    <n v="59048.734611297776"/>
    <n v="1332.36"/>
    <m/>
    <n v="37920804.850000001"/>
    <s v="DBK GR Equity"/>
    <x v="83"/>
    <n v="3.3308999999999997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920804.850000001"/>
    <m/>
    <s v="USD"/>
    <n v="1"/>
    <m/>
    <m/>
    <m/>
    <m/>
    <n v="0"/>
    <n v="0"/>
    <n v="0"/>
    <n v="0"/>
    <n v="0"/>
    <n v="1.4762183652824445E-4"/>
  </r>
  <r>
    <n v="41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77923.73861970106"/>
    <x v="4"/>
    <m/>
    <m/>
    <d v="2017-02-15T00:00:00"/>
    <n v="0.12602739726027398"/>
    <n v="1"/>
    <m/>
    <n v="1"/>
    <n v="1"/>
    <s v="11"/>
    <n v="0.01"/>
    <n v="187048.5036"/>
    <n v="190118.21359999999"/>
    <n v="29500.782804884231"/>
    <n v="3069.71"/>
    <m/>
    <n v="18704850.359999999"/>
    <s v="DBK GR Equity"/>
    <x v="83"/>
    <n v="7.6742750000000003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704850.359999999"/>
    <m/>
    <s v="USD"/>
    <n v="1"/>
    <m/>
    <m/>
    <m/>
    <m/>
    <n v="0"/>
    <n v="0"/>
    <n v="0"/>
    <n v="0"/>
    <n v="0"/>
    <n v="7.3751957012210573E-5"/>
  </r>
  <r>
    <n v="41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79804.35967038583"/>
    <x v="4"/>
    <m/>
    <m/>
    <d v="2017-02-15T00:00:00"/>
    <n v="0.12602739726027398"/>
    <n v="1"/>
    <m/>
    <n v="1"/>
    <n v="1"/>
    <s v="11"/>
    <n v="0.01"/>
    <n v="188314.20100000003"/>
    <n v="188975.85100000002"/>
    <n v="29323.521561424801"/>
    <n v="661.65"/>
    <m/>
    <n v="18831420.100000001"/>
    <s v="DBK GR Equity"/>
    <x v="83"/>
    <n v="1.654125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831420.100000001"/>
    <m/>
    <s v="USD"/>
    <n v="1"/>
    <m/>
    <m/>
    <m/>
    <m/>
    <n v="0"/>
    <n v="0"/>
    <n v="0"/>
    <n v="0"/>
    <n v="0"/>
    <n v="7.3308803903562002E-5"/>
  </r>
  <r>
    <n v="42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61351.4169025732"/>
    <x v="4"/>
    <m/>
    <m/>
    <d v="2017-02-15T00:00:00"/>
    <n v="0.12602739726027398"/>
    <n v="1"/>
    <m/>
    <n v="1"/>
    <n v="1"/>
    <s v="11"/>
    <n v="0.01"/>
    <n v="377801.27399999998"/>
    <n v="377801.27399999998"/>
    <n v="58623.701099632868"/>
    <n v="-10367.290000000001"/>
    <m/>
    <n v="37780127.399999999"/>
    <s v="DBK GR Equity"/>
    <x v="83"/>
    <n v="-2.5918225000000004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780127.399999999"/>
    <m/>
    <s v="USD"/>
    <n v="1"/>
    <m/>
    <m/>
    <m/>
    <m/>
    <n v="0"/>
    <n v="0"/>
    <n v="0"/>
    <n v="0"/>
    <n v="0"/>
    <n v="1.4655925274908218E-4"/>
  </r>
  <r>
    <n v="42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79724.98458024912"/>
    <x v="4"/>
    <m/>
    <m/>
    <d v="2017-02-15T00:00:00"/>
    <n v="0.12602739726027398"/>
    <n v="1"/>
    <m/>
    <n v="1"/>
    <n v="1"/>
    <s v="11"/>
    <n v="0.01"/>
    <n v="188260.77989999999"/>
    <n v="188260.77989999999"/>
    <n v="29212.563453773244"/>
    <n v="-4680.46"/>
    <m/>
    <n v="18826077.989999998"/>
    <s v="DBK GR Equity"/>
    <x v="83"/>
    <n v="-1.1701150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826077.989999998"/>
    <m/>
    <s v="USD"/>
    <n v="1"/>
    <m/>
    <m/>
    <m/>
    <m/>
    <n v="0"/>
    <n v="0"/>
    <n v="0"/>
    <n v="0"/>
    <n v="0"/>
    <n v="7.3031408634433107E-5"/>
  </r>
  <r>
    <n v="42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44608.69144132355"/>
    <x v="4"/>
    <m/>
    <m/>
    <d v="2017-02-15T00:00:00"/>
    <n v="0.12602739726027398"/>
    <n v="1"/>
    <m/>
    <n v="1"/>
    <n v="1"/>
    <s v="11"/>
    <n v="0.01"/>
    <n v="231928.87510000003"/>
    <n v="231928.87510000003"/>
    <n v="35988.573850697197"/>
    <n v="-23116.06"/>
    <m/>
    <n v="23192887.510000002"/>
    <s v="DBK GR Equity"/>
    <x v="83"/>
    <n v="-5.7790150000000004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192887.510000002"/>
    <m/>
    <s v="USD"/>
    <n v="1"/>
    <m/>
    <m/>
    <m/>
    <m/>
    <n v="0"/>
    <n v="0"/>
    <n v="0"/>
    <n v="0"/>
    <n v="0"/>
    <n v="8.9971434626742998E-5"/>
  </r>
  <r>
    <n v="42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14077.97965588968"/>
    <x v="4"/>
    <m/>
    <m/>
    <d v="2017-02-15T00:00:00"/>
    <n v="0.12602739726027398"/>
    <n v="1"/>
    <m/>
    <n v="1"/>
    <n v="1"/>
    <s v="11"/>
    <n v="0.01"/>
    <n v="211381.06590000002"/>
    <n v="211381.06590000002"/>
    <n v="32800.155209226214"/>
    <n v="-14252.21"/>
    <m/>
    <n v="21138106.59"/>
    <s v="DBK GR Equity"/>
    <x v="83"/>
    <n v="-3.563052499999999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138106.59"/>
    <m/>
    <s v="USD"/>
    <n v="1"/>
    <m/>
    <m/>
    <m/>
    <m/>
    <n v="0"/>
    <n v="0"/>
    <n v="0"/>
    <n v="0"/>
    <n v="0"/>
    <n v="8.2000388023065529E-5"/>
  </r>
  <r>
    <n v="42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14037.50305665325"/>
    <x v="4"/>
    <m/>
    <m/>
    <d v="2017-02-15T00:00:00"/>
    <n v="0.12602739726027398"/>
    <n v="1"/>
    <m/>
    <n v="1"/>
    <n v="1"/>
    <s v="11"/>
    <n v="0.01"/>
    <n v="211353.82430000001"/>
    <n v="211353.82430000001"/>
    <n v="32795.928110151166"/>
    <n v="-16976.37"/>
    <m/>
    <n v="21135382.43"/>
    <s v="DBK GR Equity"/>
    <x v="83"/>
    <n v="-4.2440924999999997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135382.43"/>
    <m/>
    <s v="USD"/>
    <n v="1"/>
    <m/>
    <m/>
    <m/>
    <m/>
    <n v="0"/>
    <n v="0"/>
    <n v="0"/>
    <n v="0"/>
    <n v="0"/>
    <n v="8.1989820275377913E-5"/>
  </r>
  <r>
    <n v="42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14110.36854276835"/>
    <x v="4"/>
    <m/>
    <m/>
    <d v="2017-02-15T00:00:00"/>
    <n v="0.12602739726027398"/>
    <n v="1"/>
    <m/>
    <n v="1"/>
    <n v="1"/>
    <s v="11"/>
    <n v="0.01"/>
    <n v="211402.86430000002"/>
    <n v="211402.86430000002"/>
    <n v="32803.537682960407"/>
    <n v="-12072.37"/>
    <m/>
    <n v="21140286.43"/>
    <s v="DBK GR Equity"/>
    <x v="83"/>
    <n v="-3.0180925000000003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140286.43"/>
    <m/>
    <s v="USD"/>
    <n v="1"/>
    <m/>
    <m/>
    <m/>
    <m/>
    <n v="0"/>
    <n v="0"/>
    <n v="0"/>
    <n v="0"/>
    <n v="0"/>
    <n v="8.2008844207401012E-5"/>
  </r>
  <r>
    <n v="42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17846.74767434149"/>
    <x v="4"/>
    <m/>
    <m/>
    <d v="2017-02-15T00:00:00"/>
    <n v="0.12602739726027398"/>
    <n v="1"/>
    <m/>
    <n v="1"/>
    <n v="1"/>
    <s v="11"/>
    <n v="0.01"/>
    <n v="213917.52579999997"/>
    <n v="213917.52579999997"/>
    <n v="33193.739554388594"/>
    <n v="-18561.82"/>
    <m/>
    <n v="21391752.579999998"/>
    <s v="DBK GR Equity"/>
    <x v="83"/>
    <n v="-4.6404549999999996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391752.579999998"/>
    <m/>
    <s v="USD"/>
    <n v="1"/>
    <m/>
    <m/>
    <m/>
    <m/>
    <n v="0"/>
    <n v="0"/>
    <n v="0"/>
    <n v="0"/>
    <n v="0"/>
    <n v="8.2984348885971481E-5"/>
  </r>
  <r>
    <n v="42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17887.71251988172"/>
    <x v="4"/>
    <m/>
    <m/>
    <d v="2017-02-15T00:00:00"/>
    <n v="0.12602739726027398"/>
    <n v="1"/>
    <m/>
    <n v="1"/>
    <n v="1"/>
    <s v="11"/>
    <n v="0.01"/>
    <n v="213945.09600000002"/>
    <n v="213945.09600000002"/>
    <n v="33198.017642566927"/>
    <n v="-15804.8"/>
    <m/>
    <n v="21394509.600000001"/>
    <s v="DBK GR Equity"/>
    <x v="83"/>
    <n v="-3.9511999999999997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394509.600000001"/>
    <m/>
    <s v="USD"/>
    <n v="1"/>
    <m/>
    <m/>
    <m/>
    <m/>
    <n v="0"/>
    <n v="0"/>
    <n v="0"/>
    <n v="0"/>
    <n v="0"/>
    <n v="8.2995044106417317E-5"/>
  </r>
  <r>
    <n v="42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19587.57240005455"/>
    <x v="4"/>
    <m/>
    <m/>
    <d v="2017-03-15T00:00:00"/>
    <n v="0.20273972602739726"/>
    <n v="1"/>
    <m/>
    <n v="1"/>
    <n v="1"/>
    <s v="11"/>
    <n v="0.01"/>
    <n v="175540.49690000003"/>
    <n v="187795.40690000003"/>
    <n v="29140.351183647766"/>
    <n v="12254.91"/>
    <m/>
    <n v="17554049.690000001"/>
    <s v="DBK GR Equity"/>
    <x v="83"/>
    <n v="3.0637274999999997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554049.690000001"/>
    <m/>
    <s v="USD"/>
    <n v="1"/>
    <m/>
    <m/>
    <m/>
    <m/>
    <n v="0"/>
    <n v="0"/>
    <n v="0"/>
    <n v="0"/>
    <n v="0"/>
    <n v="7.2850877959119422E-5"/>
  </r>
  <r>
    <n v="42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64913.07260865625"/>
    <x v="4"/>
    <m/>
    <m/>
    <d v="2017-03-15T00:00:00"/>
    <n v="0.20273972602739726"/>
    <n v="1"/>
    <m/>
    <n v="1"/>
    <n v="1"/>
    <s v="11"/>
    <n v="0.01"/>
    <n v="320012.38760000002"/>
    <n v="333272.4376"/>
    <n v="51714.128858677293"/>
    <n v="13260.05"/>
    <m/>
    <n v="32001238.760000002"/>
    <s v="DBK GR Equity"/>
    <x v="83"/>
    <n v="3.3150125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2001238.760000002"/>
    <m/>
    <s v="USD"/>
    <n v="1"/>
    <m/>
    <m/>
    <m/>
    <m/>
    <n v="0"/>
    <n v="0"/>
    <n v="0"/>
    <n v="0"/>
    <n v="0"/>
    <n v="1.2928532214669323E-4"/>
  </r>
  <r>
    <n v="43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67347.76982413628"/>
    <x v="4"/>
    <m/>
    <m/>
    <d v="2017-03-15T00:00:00"/>
    <n v="0.20273972602739726"/>
    <n v="1"/>
    <m/>
    <n v="1"/>
    <n v="1"/>
    <s v="11"/>
    <n v="0.01"/>
    <n v="237358.1011"/>
    <n v="240151.75109999999"/>
    <n v="37264.523557535249"/>
    <n v="2793.65"/>
    <m/>
    <n v="23735810.109999999"/>
    <s v="DBK GR Equity"/>
    <x v="83"/>
    <n v="6.9841249999999998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735810.109999999"/>
    <m/>
    <s v="USD"/>
    <n v="1"/>
    <m/>
    <m/>
    <m/>
    <m/>
    <n v="0"/>
    <n v="0"/>
    <n v="0"/>
    <n v="0"/>
    <n v="0"/>
    <n v="9.3161308893838118E-5"/>
  </r>
  <r>
    <n v="43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9181.21230245772"/>
    <x v="4"/>
    <m/>
    <m/>
    <d v="2017-03-15T00:00:00"/>
    <n v="0.20273972602739726"/>
    <n v="1"/>
    <m/>
    <n v="1"/>
    <n v="1"/>
    <s v="11"/>
    <n v="0.01"/>
    <n v="129350.40789999999"/>
    <n v="140215.92789999998"/>
    <n v="21757.408490415182"/>
    <n v="10865.52"/>
    <m/>
    <n v="12935040.789999999"/>
    <s v="DBK GR Equity"/>
    <x v="83"/>
    <n v="2.716380000000000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935040.789999999"/>
    <m/>
    <s v="USD"/>
    <n v="1"/>
    <m/>
    <m/>
    <m/>
    <m/>
    <n v="0"/>
    <n v="0"/>
    <n v="0"/>
    <n v="0"/>
    <n v="0"/>
    <n v="5.4393521226037956E-5"/>
  </r>
  <r>
    <n v="43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04995.52306817775"/>
    <x v="4"/>
    <m/>
    <m/>
    <d v="2017-03-15T00:00:00"/>
    <n v="0.20273972602739726"/>
    <n v="1"/>
    <m/>
    <n v="1"/>
    <n v="1"/>
    <s v="11"/>
    <n v="0.01"/>
    <n v="211272.14170000004"/>
    <n v="211272.14170000004"/>
    <n v="32783.253361131028"/>
    <n v="-26126.59"/>
    <m/>
    <n v="21127214.170000002"/>
    <s v="DBK GR Equity"/>
    <x v="83"/>
    <n v="-6.531647499999999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127214.170000002"/>
    <m/>
    <s v="USD"/>
    <n v="1"/>
    <m/>
    <m/>
    <m/>
    <m/>
    <n v="0"/>
    <n v="0"/>
    <n v="0"/>
    <n v="0"/>
    <n v="0"/>
    <n v="8.1958133402827566E-5"/>
  </r>
  <r>
    <n v="43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95738.64118717372"/>
    <x v="4"/>
    <m/>
    <m/>
    <d v="2017-03-15T00:00:00"/>
    <n v="0.20273972602739726"/>
    <n v="1"/>
    <m/>
    <n v="1"/>
    <n v="1"/>
    <s v="11"/>
    <n v="0.01"/>
    <n v="207399.39199999999"/>
    <n v="207399.39199999999"/>
    <n v="32182.315946487754"/>
    <n v="-26450.21"/>
    <m/>
    <n v="20739939.199999999"/>
    <s v="DBK GR Equity"/>
    <x v="83"/>
    <n v="-6.6125524999999997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739939.199999999"/>
    <m/>
    <s v="USD"/>
    <n v="1"/>
    <m/>
    <m/>
    <m/>
    <m/>
    <n v="0"/>
    <n v="0"/>
    <n v="0"/>
    <n v="0"/>
    <n v="0"/>
    <n v="8.0455789866219388E-5"/>
  </r>
  <r>
    <n v="43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19305.09253139264"/>
    <x v="4"/>
    <m/>
    <m/>
    <d v="2017-05-15T00:00:00"/>
    <n v="0.36986301369863012"/>
    <n v="1"/>
    <m/>
    <n v="1"/>
    <n v="1"/>
    <s v="11"/>
    <n v="0.01"/>
    <n v="73224.852100000004"/>
    <n v="213990.80210000003"/>
    <n v="33205.109891665139"/>
    <n v="140765.95000000001"/>
    <m/>
    <n v="7322485.21"/>
    <s v="DBK GR Equity"/>
    <x v="84"/>
    <n v="3.51914875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322485.21"/>
    <m/>
    <s v="USD"/>
    <n v="1"/>
    <m/>
    <m/>
    <m/>
    <m/>
    <n v="0"/>
    <n v="0"/>
    <n v="0"/>
    <n v="0"/>
    <n v="0"/>
    <n v="8.3012774729162846E-5"/>
  </r>
  <r>
    <n v="43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36088.26439603441"/>
    <x v="4"/>
    <m/>
    <m/>
    <d v="2017-10-16T00:00:00"/>
    <n v="0.79178082191780819"/>
    <n v="1"/>
    <m/>
    <n v="1"/>
    <n v="1"/>
    <s v="11"/>
    <n v="0.01"/>
    <n v="78853.046600000001"/>
    <n v="222583.96660000001"/>
    <n v="34538.517536944746"/>
    <n v="143730.92000000001"/>
    <m/>
    <n v="7885304.6600000001"/>
    <s v="DBK GR Equity"/>
    <x v="84"/>
    <n v="3.593273000000000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885304.6600000001"/>
    <m/>
    <s v="USD"/>
    <n v="1"/>
    <m/>
    <m/>
    <m/>
    <m/>
    <n v="0"/>
    <n v="0"/>
    <n v="0"/>
    <n v="0"/>
    <n v="0"/>
    <n v="8.6346293842361863E-5"/>
  </r>
  <r>
    <n v="43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84923.35627064691"/>
    <x v="4"/>
    <m/>
    <m/>
    <d v="2017-11-13T00:00:00"/>
    <n v="0.86849315068493149"/>
    <n v="1"/>
    <m/>
    <n v="1"/>
    <n v="1"/>
    <s v="11"/>
    <n v="0.01"/>
    <n v="76657.458499999993"/>
    <n v="76657.458499999993"/>
    <n v="11894.994123713597"/>
    <n v="-104150.45"/>
    <m/>
    <n v="7665745.8499999996"/>
    <s v="DBK GR Equity"/>
    <x v="84"/>
    <n v="-2.6037612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665745.8499999996"/>
    <m/>
    <s v="USD"/>
    <n v="1"/>
    <m/>
    <m/>
    <m/>
    <m/>
    <n v="0"/>
    <n v="0"/>
    <n v="0"/>
    <n v="0"/>
    <n v="0"/>
    <n v="2.9737485309283994E-5"/>
  </r>
  <r>
    <n v="43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89269.3607009775"/>
    <x v="4"/>
    <m/>
    <m/>
    <d v="2017-11-13T00:00:00"/>
    <n v="0.86849315068493149"/>
    <n v="1"/>
    <m/>
    <n v="1"/>
    <n v="1"/>
    <s v="11"/>
    <n v="0.01"/>
    <n v="77081.8995"/>
    <n v="77081.8995"/>
    <n v="11960.85494534341"/>
    <n v="-131705.42000000001"/>
    <m/>
    <n v="7708189.9500000002"/>
    <s v="DBK GR Equity"/>
    <x v="84"/>
    <n v="-3.29263550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708189.9500000002"/>
    <m/>
    <s v="USD"/>
    <n v="1"/>
    <m/>
    <m/>
    <m/>
    <m/>
    <n v="0"/>
    <n v="0"/>
    <n v="0"/>
    <n v="0"/>
    <n v="0"/>
    <n v="2.9902137363358524E-5"/>
  </r>
  <r>
    <n v="43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90629.70070721407"/>
    <x v="4"/>
    <m/>
    <m/>
    <d v="2017-11-13T00:00:00"/>
    <n v="0.86849315068493149"/>
    <n v="1"/>
    <m/>
    <n v="1"/>
    <n v="1"/>
    <s v="11"/>
    <n v="0.01"/>
    <n v="77214.753499999992"/>
    <n v="77214.753499999992"/>
    <n v="11981.469998075841"/>
    <n v="-118420.02"/>
    <m/>
    <n v="7721475.3499999996"/>
    <s v="DBK GR Equity"/>
    <x v="84"/>
    <n v="-2.96050050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721475.3499999996"/>
    <m/>
    <s v="USD"/>
    <n v="1"/>
    <m/>
    <m/>
    <m/>
    <m/>
    <n v="0"/>
    <n v="0"/>
    <n v="0"/>
    <n v="0"/>
    <n v="0"/>
    <n v="2.9953674995189604E-5"/>
  </r>
  <r>
    <n v="43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05342.96349022212"/>
    <x v="4"/>
    <m/>
    <m/>
    <d v="2017-11-13T00:00:00"/>
    <n v="0.86849315068493149"/>
    <n v="1"/>
    <m/>
    <n v="1"/>
    <n v="1"/>
    <s v="11"/>
    <n v="0.01"/>
    <n v="78651.685299999997"/>
    <n v="103924.8453"/>
    <n v="16126.09455544818"/>
    <n v="25273.16"/>
    <m/>
    <n v="7865168.5300000003"/>
    <s v="DBK GR Equity"/>
    <x v="84"/>
    <n v="6.3182900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7865168.5300000003"/>
    <m/>
    <s v="USD"/>
    <n v="1"/>
    <m/>
    <m/>
    <m/>
    <m/>
    <n v="0"/>
    <n v="0"/>
    <n v="0"/>
    <n v="0"/>
    <n v="0"/>
    <n v="4.0315236388620453E-5"/>
  </r>
  <r>
    <n v="440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58384.7492420708"/>
    <x v="4"/>
    <m/>
    <m/>
    <d v="2017-01-16T00:00:00"/>
    <n v="4.3835616438356165E-2"/>
    <n v="1"/>
    <m/>
    <n v="1"/>
    <n v="1"/>
    <s v="11"/>
    <n v="0.01"/>
    <n v="112970.71130000001"/>
    <n v="112970.71130000001"/>
    <n v="17529.748224893807"/>
    <n v="-605941.36"/>
    <m/>
    <n v="11297071.130000001"/>
    <s v="56243Z LN Equity"/>
    <x v="85"/>
    <n v="-1.514853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297071.130000001"/>
    <m/>
    <s v="USD"/>
    <n v="1"/>
    <m/>
    <m/>
    <m/>
    <m/>
    <n v="0"/>
    <n v="0"/>
    <n v="0"/>
    <n v="0"/>
    <n v="0"/>
    <n v="4.3824370562234515E-5"/>
  </r>
  <r>
    <n v="441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72291.670282709048"/>
    <x v="4"/>
    <m/>
    <m/>
    <d v="2017-01-16T00:00:00"/>
    <n v="4.3835616438356165E-2"/>
    <n v="1"/>
    <m/>
    <n v="1"/>
    <n v="1"/>
    <s v="11"/>
    <n v="0.01"/>
    <n v="139879.7035"/>
    <n v="139879.7035"/>
    <n v="21705.236303383324"/>
    <n v="-707106.8"/>
    <m/>
    <n v="13987970.35"/>
    <s v="56243Z LN Equity"/>
    <x v="85"/>
    <n v="-1.7677670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987970.35"/>
    <m/>
    <s v="USD"/>
    <n v="1"/>
    <m/>
    <m/>
    <m/>
    <m/>
    <n v="0"/>
    <n v="0"/>
    <n v="0"/>
    <n v="0"/>
    <n v="0"/>
    <n v="5.426309075845831E-5"/>
  </r>
  <r>
    <n v="44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035.970537555731"/>
    <x v="4"/>
    <m/>
    <m/>
    <d v="2017-02-13T00:00:00"/>
    <n v="0.12054794520547946"/>
    <n v="1"/>
    <m/>
    <n v="1"/>
    <n v="1"/>
    <s v="11"/>
    <n v="0.01"/>
    <n v="29577.048199999997"/>
    <n v="57152.818199999994"/>
    <n v="8868.4447664368054"/>
    <n v="27575.77"/>
    <m/>
    <n v="2957704.82"/>
    <s v="DBK GR Equity"/>
    <x v="85"/>
    <n v="6.8939425000000008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957704.82"/>
    <m/>
    <s v="USD"/>
    <n v="1"/>
    <m/>
    <m/>
    <m/>
    <m/>
    <n v="0"/>
    <n v="0"/>
    <n v="0"/>
    <n v="0"/>
    <n v="0"/>
    <n v="2.2171111916092013E-5"/>
  </r>
  <r>
    <n v="44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091.993677425111"/>
    <x v="4"/>
    <m/>
    <m/>
    <d v="2017-02-13T00:00:00"/>
    <n v="0.12054794520547946"/>
    <n v="1"/>
    <m/>
    <n v="1"/>
    <n v="1"/>
    <s v="11"/>
    <n v="0.01"/>
    <n v="29616.466800000002"/>
    <n v="61134.096799999999"/>
    <n v="9486.2226901840004"/>
    <n v="31517.63"/>
    <m/>
    <n v="2961646.68"/>
    <s v="DBK GR Equity"/>
    <x v="85"/>
    <n v="7.8794075000000003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961646.68"/>
    <m/>
    <s v="USD"/>
    <n v="1"/>
    <m/>
    <m/>
    <m/>
    <m/>
    <n v="0"/>
    <n v="0"/>
    <n v="0"/>
    <n v="0"/>
    <n v="0"/>
    <n v="2.3715556725460002E-5"/>
  </r>
  <r>
    <n v="44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1967.080520319345"/>
    <x v="4"/>
    <m/>
    <m/>
    <d v="2017-02-13T00:00:00"/>
    <n v="0.12054794520547946"/>
    <n v="1"/>
    <m/>
    <n v="1"/>
    <n v="1"/>
    <s v="11"/>
    <n v="0.01"/>
    <n v="29528.576300000001"/>
    <n v="52257.156300000002"/>
    <n v="8108.781314612499"/>
    <n v="22728.58"/>
    <m/>
    <n v="2952857.63"/>
    <s v="DBK GR Equity"/>
    <x v="85"/>
    <n v="5.682145000000000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952857.63"/>
    <m/>
    <s v="USD"/>
    <n v="1"/>
    <m/>
    <m/>
    <m/>
    <m/>
    <n v="0"/>
    <n v="0"/>
    <n v="0"/>
    <n v="0"/>
    <n v="0"/>
    <n v="2.0271953286531249E-5"/>
  </r>
  <r>
    <n v="44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079.531141746855"/>
    <x v="4"/>
    <m/>
    <m/>
    <d v="2017-02-13T00:00:00"/>
    <n v="0.12054794520547946"/>
    <n v="1"/>
    <m/>
    <n v="1"/>
    <n v="1"/>
    <s v="11"/>
    <n v="0.01"/>
    <n v="29607.698"/>
    <n v="60248.448000000004"/>
    <n v="9348.7959155711433"/>
    <n v="30640.75"/>
    <m/>
    <n v="2960769.8"/>
    <s v="DBK GR Equity"/>
    <x v="85"/>
    <n v="7.6601874999999994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960769.8"/>
    <m/>
    <s v="USD"/>
    <n v="1"/>
    <m/>
    <m/>
    <m/>
    <m/>
    <n v="0"/>
    <n v="0"/>
    <n v="0"/>
    <n v="0"/>
    <n v="0"/>
    <n v="2.3371989788927858E-5"/>
  </r>
  <r>
    <n v="44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0207.92381869812"/>
    <x v="4"/>
    <m/>
    <m/>
    <d v="2017-02-13T00:00:00"/>
    <n v="0.12054794520547946"/>
    <n v="1"/>
    <m/>
    <n v="1"/>
    <n v="1"/>
    <s v="11"/>
    <n v="0.01"/>
    <n v="119760.47900000001"/>
    <n v="119760.47900000001"/>
    <n v="18583.3214645138"/>
    <n v="-37481.21"/>
    <m/>
    <n v="11976047.9"/>
    <s v="DBK GR Equity"/>
    <x v="85"/>
    <n v="-9.370302500000000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976047.9"/>
    <m/>
    <s v="USD"/>
    <n v="1"/>
    <m/>
    <m/>
    <m/>
    <m/>
    <n v="0"/>
    <n v="0"/>
    <n v="0"/>
    <n v="0"/>
    <n v="0"/>
    <n v="4.6458303661284501E-5"/>
  </r>
  <r>
    <n v="44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0831.67026157811"/>
    <x v="4"/>
    <m/>
    <m/>
    <d v="2017-02-13T00:00:00"/>
    <n v="0.12054794520547946"/>
    <n v="1"/>
    <m/>
    <n v="1"/>
    <n v="1"/>
    <s v="11"/>
    <n v="0.01"/>
    <n v="120199.355"/>
    <n v="126605.745"/>
    <n v="19645.506416096254"/>
    <n v="6406.39"/>
    <m/>
    <n v="12019935.5"/>
    <s v="DBK GR Equity"/>
    <x v="85"/>
    <n v="1.601597500000000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19935.5"/>
    <m/>
    <s v="USD"/>
    <n v="1"/>
    <m/>
    <m/>
    <m/>
    <m/>
    <n v="0"/>
    <n v="0"/>
    <n v="0"/>
    <n v="0"/>
    <n v="0"/>
    <n v="4.9113766040240636E-5"/>
  </r>
  <r>
    <n v="44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6004.47857859224"/>
    <x v="4"/>
    <m/>
    <m/>
    <d v="2017-02-13T00:00:00"/>
    <n v="0.12054794520547946"/>
    <n v="1"/>
    <m/>
    <n v="1"/>
    <n v="1"/>
    <s v="11"/>
    <n v="0.01"/>
    <n v="123839.00930000001"/>
    <n v="201197.91930000001"/>
    <n v="31220.028873992778"/>
    <n v="77358.91"/>
    <m/>
    <n v="12383900.93"/>
    <s v="DBK GR Equity"/>
    <x v="85"/>
    <n v="1.9339727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383900.93"/>
    <m/>
    <s v="USD"/>
    <n v="1"/>
    <m/>
    <m/>
    <m/>
    <m/>
    <n v="0"/>
    <n v="0"/>
    <n v="0"/>
    <n v="0"/>
    <n v="0"/>
    <n v="7.805007218498195E-5"/>
  </r>
  <r>
    <n v="44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2949.13307075293"/>
    <x v="4"/>
    <m/>
    <m/>
    <d v="2017-02-13T00:00:00"/>
    <n v="0.12054794520547946"/>
    <n v="1"/>
    <m/>
    <n v="1"/>
    <n v="1"/>
    <s v="11"/>
    <n v="0.01"/>
    <n v="121689.22900000001"/>
    <n v="174528.49900000001"/>
    <n v="27081.715343139829"/>
    <n v="52839.27"/>
    <m/>
    <n v="12168922.9"/>
    <s v="DBK GR Equity"/>
    <x v="85"/>
    <n v="1.32098174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168922.9"/>
    <m/>
    <s v="USD"/>
    <n v="1"/>
    <m/>
    <m/>
    <m/>
    <m/>
    <n v="0"/>
    <n v="0"/>
    <n v="0"/>
    <n v="0"/>
    <n v="0"/>
    <n v="6.7704288357849576E-5"/>
  </r>
  <r>
    <n v="45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3781.08663225383"/>
    <x v="4"/>
    <m/>
    <m/>
    <d v="2017-02-13T00:00:00"/>
    <n v="0.12054794520547946"/>
    <n v="1"/>
    <m/>
    <n v="1"/>
    <n v="1"/>
    <s v="11"/>
    <n v="0.01"/>
    <n v="122274.60220000001"/>
    <n v="189699.25219999999"/>
    <n v="29435.77225681"/>
    <n v="67424.649999999994"/>
    <m/>
    <n v="12227460.220000001"/>
    <s v="DBK GR Equity"/>
    <x v="85"/>
    <n v="1.6856162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227460.220000001"/>
    <m/>
    <s v="USD"/>
    <n v="1"/>
    <m/>
    <m/>
    <m/>
    <m/>
    <n v="0"/>
    <n v="0"/>
    <n v="0"/>
    <n v="0"/>
    <n v="0"/>
    <n v="7.3589430642025E-5"/>
  </r>
  <r>
    <n v="45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3678.74213694403"/>
    <x v="4"/>
    <m/>
    <m/>
    <d v="2017-02-13T00:00:00"/>
    <n v="0.12054794520547946"/>
    <n v="1"/>
    <m/>
    <n v="1"/>
    <n v="1"/>
    <s v="11"/>
    <n v="0.01"/>
    <n v="122202.59130000001"/>
    <n v="182426.15130000003"/>
    <n v="28307.199849642657"/>
    <n v="60223.56"/>
    <m/>
    <n v="12220259.130000001"/>
    <s v="DBK GR Equity"/>
    <x v="85"/>
    <n v="1.50558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220259.130000001"/>
    <m/>
    <s v="USD"/>
    <n v="1"/>
    <m/>
    <m/>
    <m/>
    <m/>
    <n v="0"/>
    <n v="0"/>
    <n v="0"/>
    <n v="0"/>
    <n v="0"/>
    <n v="7.0767999624106643E-5"/>
  </r>
  <r>
    <n v="45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2991.05683725353"/>
    <x v="4"/>
    <m/>
    <m/>
    <d v="2017-02-13T00:00:00"/>
    <n v="0.12054794520547946"/>
    <n v="1"/>
    <m/>
    <n v="1"/>
    <n v="1"/>
    <s v="11"/>
    <n v="0.01"/>
    <n v="121718.72710000002"/>
    <n v="133555.86710000003"/>
    <n v="20723.961965709765"/>
    <n v="11837.14"/>
    <m/>
    <n v="12171872.710000001"/>
    <s v="DBK GR Equity"/>
    <x v="85"/>
    <n v="2.959284999999999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171872.710000001"/>
    <m/>
    <s v="USD"/>
    <n v="1"/>
    <m/>
    <m/>
    <m/>
    <m/>
    <n v="0"/>
    <n v="0"/>
    <n v="0"/>
    <n v="0"/>
    <n v="0"/>
    <n v="5.1809904914274411E-5"/>
  </r>
  <r>
    <n v="45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2599.5224760581"/>
    <x v="4"/>
    <m/>
    <m/>
    <d v="2017-02-13T00:00:00"/>
    <n v="0.12054794520547946"/>
    <n v="1"/>
    <m/>
    <n v="1"/>
    <n v="1"/>
    <s v="11"/>
    <n v="0.01"/>
    <n v="121443.23849999999"/>
    <n v="135032.80849999998"/>
    <n v="20953.140047240719"/>
    <n v="13589.57"/>
    <m/>
    <n v="12144323.85"/>
    <s v="DBK GR Equity"/>
    <x v="85"/>
    <n v="3.3973924999999998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144323.85"/>
    <m/>
    <s v="USD"/>
    <n v="1"/>
    <m/>
    <m/>
    <m/>
    <m/>
    <n v="0"/>
    <n v="0"/>
    <n v="0"/>
    <n v="0"/>
    <n v="0"/>
    <n v="5.2382850118101796E-5"/>
  </r>
  <r>
    <n v="45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48167.32774513168"/>
    <x v="4"/>
    <m/>
    <m/>
    <d v="2017-03-10T00:00:00"/>
    <n v="0.18904109589041096"/>
    <n v="1"/>
    <m/>
    <n v="1"/>
    <n v="1"/>
    <s v="11"/>
    <n v="0.01"/>
    <n v="156215.94130000001"/>
    <n v="156215.94130000001"/>
    <n v="24240.142318231025"/>
    <n v="-80623.66"/>
    <m/>
    <n v="15621594.130000001"/>
    <s v="DBK GR Equity"/>
    <x v="85"/>
    <n v="-2.015591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621594.130000001"/>
    <m/>
    <s v="USD"/>
    <n v="1"/>
    <m/>
    <m/>
    <m/>
    <m/>
    <n v="0"/>
    <n v="0"/>
    <n v="0"/>
    <n v="0"/>
    <n v="0"/>
    <n v="6.0600355795577559E-5"/>
  </r>
  <r>
    <n v="45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48674.01084448013"/>
    <x v="4"/>
    <m/>
    <m/>
    <d v="2017-03-10T00:00:00"/>
    <n v="0.18904109589041096"/>
    <n v="1"/>
    <m/>
    <n v="1"/>
    <n v="1"/>
    <s v="11"/>
    <n v="0.01"/>
    <n v="156443.28020000001"/>
    <n v="156443.28020000001"/>
    <n v="24275.418662275115"/>
    <n v="-57889.77"/>
    <m/>
    <n v="15644328.02"/>
    <s v="DBK GR Equity"/>
    <x v="85"/>
    <n v="-1.447244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644328.02"/>
    <m/>
    <s v="USD"/>
    <n v="1"/>
    <m/>
    <m/>
    <m/>
    <m/>
    <n v="0"/>
    <n v="0"/>
    <n v="0"/>
    <n v="0"/>
    <n v="0"/>
    <n v="6.068854665568779E-5"/>
  </r>
  <r>
    <n v="45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73307.3924021881"/>
    <x v="4"/>
    <m/>
    <m/>
    <d v="2017-03-10T00:00:00"/>
    <n v="0.18904109589041096"/>
    <n v="1"/>
    <m/>
    <n v="1"/>
    <n v="1"/>
    <s v="11"/>
    <n v="0.01"/>
    <n v="122627.7372"/>
    <n v="122627.7372"/>
    <n v="19028.236024786755"/>
    <n v="-6866.22"/>
    <m/>
    <n v="12262773.720000001"/>
    <s v="DBK GR Equity"/>
    <x v="85"/>
    <n v="-1.71655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262773.720000001"/>
    <m/>
    <s v="USD"/>
    <n v="1"/>
    <m/>
    <m/>
    <m/>
    <m/>
    <n v="0"/>
    <n v="0"/>
    <n v="0"/>
    <n v="0"/>
    <n v="0"/>
    <n v="4.7570590061966885E-5"/>
  </r>
  <r>
    <n v="457"/>
    <s v="BNP PARIBAS"/>
    <s v="FX Forward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4.9478399013698632E-2"/>
    <x v="4"/>
    <m/>
    <m/>
    <d v="2017-01-18T00:00:00"/>
    <n v="4.9315068493150684E-2"/>
    <n v="1"/>
    <m/>
    <n v="1"/>
    <n v="1"/>
    <s v="11"/>
    <n v="0.01"/>
    <n v="8.5099999999999995E-2"/>
    <n v="8.5099999999999995E-2"/>
    <n v="1.3205029487483299E-2"/>
    <n v="-0.04"/>
    <m/>
    <n v="8.51"/>
    <s v="BNP FP Equity"/>
    <x v="86"/>
    <n v="-1E-10"/>
    <n v="0.15517073428299999"/>
    <d v="2017-05-29T10:12:30"/>
    <m/>
    <m/>
    <m/>
    <m/>
    <m/>
    <m/>
    <m/>
    <m/>
    <m/>
    <m/>
    <m/>
    <m/>
    <m/>
    <m/>
    <m/>
    <m/>
    <m/>
    <m/>
    <m/>
    <m/>
    <m/>
    <m/>
    <n v="8.51"/>
    <m/>
    <s v="USD"/>
    <n v="1"/>
    <m/>
    <m/>
    <m/>
    <m/>
    <n v="0"/>
    <n v="0"/>
    <n v="0"/>
    <n v="0"/>
    <n v="0"/>
    <n v="3.3012573718708247E-11"/>
  </r>
  <r>
    <n v="45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1456.10038604995"/>
    <x v="4"/>
    <m/>
    <m/>
    <d v="2017-03-15T00:00:00"/>
    <n v="0.20273972602739726"/>
    <n v="1"/>
    <m/>
    <n v="1"/>
    <n v="1"/>
    <s v="11"/>
    <n v="0.01"/>
    <n v="126118.49619999999"/>
    <n v="992615.08620000002"/>
    <n v="154024.81178603735"/>
    <n v="866496.59"/>
    <m/>
    <n v="12611849.619999999"/>
    <s v="DBK GR Equity"/>
    <x v="86"/>
    <n v="2.1662414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611849.619999999"/>
    <m/>
    <s v="USD"/>
    <n v="1"/>
    <m/>
    <m/>
    <m/>
    <m/>
    <n v="0"/>
    <n v="0"/>
    <n v="0"/>
    <n v="0"/>
    <n v="0"/>
    <n v="3.8506202946509338E-4"/>
  </r>
  <r>
    <n v="459"/>
    <s v="MERRILL LYNCH IN"/>
    <s v="FX Forward"/>
    <s v="1"/>
    <s v="Brokers"/>
    <m/>
    <s v="A+"/>
    <m/>
    <s v="A"/>
    <s v="A"/>
    <n v="0"/>
    <s v="A"/>
    <n v="8.0000000000000002E-3"/>
    <s v=""/>
    <n v="8.0000000000000002E-3"/>
    <n v="8.0000000000000002E-3"/>
    <n v="484214.89952360082"/>
    <x v="4"/>
    <m/>
    <m/>
    <d v="2017-03-15T00:00:00"/>
    <n v="0.20273972602739726"/>
    <n v="1"/>
    <m/>
    <n v="1"/>
    <n v="1"/>
    <s v="11"/>
    <n v="0.01"/>
    <n v="202578.26890000002"/>
    <n v="1599254.3089000001"/>
    <n v="248157.4654172647"/>
    <n v="1396676.04"/>
    <m/>
    <n v="20257826.890000001"/>
    <s v="1128007Z LN Equity"/>
    <x v="86"/>
    <n v="3.49169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257826.890000001"/>
    <m/>
    <s v="USD"/>
    <n v="1"/>
    <m/>
    <m/>
    <m/>
    <m/>
    <n v="0"/>
    <n v="0"/>
    <n v="0"/>
    <n v="0"/>
    <n v="0"/>
    <n v="6.2039366354316172E-4"/>
  </r>
  <r>
    <n v="46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84214.89952360082"/>
    <x v="4"/>
    <m/>
    <m/>
    <d v="2017-03-15T00:00:00"/>
    <n v="0.20273972602739726"/>
    <n v="1"/>
    <m/>
    <n v="1"/>
    <n v="1"/>
    <s v="11"/>
    <n v="0.01"/>
    <n v="202578.26890000002"/>
    <n v="1599254.3089000001"/>
    <n v="248157.4654172647"/>
    <n v="1396676.04"/>
    <m/>
    <n v="20257826.890000001"/>
    <s v="DBK GR Equity"/>
    <x v="86"/>
    <n v="3.49169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257826.890000001"/>
    <m/>
    <s v="USD"/>
    <n v="1"/>
    <m/>
    <m/>
    <m/>
    <m/>
    <n v="0"/>
    <n v="0"/>
    <n v="0"/>
    <n v="0"/>
    <n v="0"/>
    <n v="6.2039366354316172E-4"/>
  </r>
  <r>
    <n v="46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00583.49706493347"/>
    <x v="4"/>
    <m/>
    <m/>
    <d v="2017-03-15T00:00:00"/>
    <n v="0.20273972602739726"/>
    <n v="1"/>
    <m/>
    <n v="1"/>
    <n v="1"/>
    <s v="11"/>
    <n v="0.01"/>
    <n v="167589.86859999999"/>
    <n v="663120.74860000005"/>
    <n v="102896.93347855464"/>
    <n v="495530.88"/>
    <m/>
    <n v="16758986.859999999"/>
    <s v="DBK GR Equity"/>
    <x v="86"/>
    <n v="1.2388271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758986.859999999"/>
    <m/>
    <s v="USD"/>
    <n v="1"/>
    <m/>
    <m/>
    <m/>
    <m/>
    <n v="0"/>
    <n v="0"/>
    <n v="0"/>
    <n v="0"/>
    <n v="0"/>
    <n v="2.5724233369638658E-4"/>
  </r>
  <r>
    <n v="46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6285.18591510883"/>
    <x v="4"/>
    <m/>
    <m/>
    <d v="2017-03-15T00:00:00"/>
    <n v="0.20273972602739726"/>
    <n v="1"/>
    <m/>
    <n v="1"/>
    <n v="1"/>
    <s v="11"/>
    <n v="0.01"/>
    <n v="128138.81359999999"/>
    <n v="128138.81359999999"/>
    <n v="19883.393796464465"/>
    <n v="-45994.22"/>
    <m/>
    <n v="12813881.359999999"/>
    <s v="DBK GR Equity"/>
    <x v="86"/>
    <n v="-1.14985550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813881.359999999"/>
    <m/>
    <s v="USD"/>
    <n v="1"/>
    <m/>
    <m/>
    <m/>
    <m/>
    <n v="0"/>
    <n v="0"/>
    <n v="0"/>
    <n v="0"/>
    <n v="0"/>
    <n v="4.9708484491161165E-5"/>
  </r>
  <r>
    <n v="46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75147.4730101477"/>
    <x v="4"/>
    <m/>
    <m/>
    <d v="2017-07-19T00:00:00"/>
    <n v="0.54794520547945202"/>
    <n v="1"/>
    <m/>
    <n v="1"/>
    <n v="1"/>
    <s v="11"/>
    <n v="0.01"/>
    <n v="166427.26240000001"/>
    <n v="2310855.2623999999"/>
    <n v="358577.10788834258"/>
    <n v="2144428"/>
    <m/>
    <n v="16642726.24"/>
    <s v="DBK GR Equity"/>
    <x v="86"/>
    <n v="5.3610699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642726.24"/>
    <m/>
    <s v="USD"/>
    <n v="1"/>
    <m/>
    <m/>
    <m/>
    <m/>
    <n v="0"/>
    <n v="0"/>
    <n v="0"/>
    <n v="0"/>
    <n v="0"/>
    <n v="8.964427697208564E-4"/>
  </r>
  <r>
    <n v="46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75307.2587160107"/>
    <x v="4"/>
    <m/>
    <m/>
    <d v="2017-07-19T00:00:00"/>
    <n v="0.54794520547945202"/>
    <n v="1"/>
    <m/>
    <n v="1"/>
    <n v="1"/>
    <s v="11"/>
    <n v="0.01"/>
    <n v="166451.9964"/>
    <n v="2313353.3964"/>
    <n v="358964.74517545995"/>
    <n v="2146901.4"/>
    <m/>
    <n v="16645199.640000001"/>
    <s v="DBK GR Equity"/>
    <x v="86"/>
    <n v="5.367253499999999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645199.640000001"/>
    <m/>
    <s v="USD"/>
    <n v="1"/>
    <m/>
    <m/>
    <m/>
    <m/>
    <n v="0"/>
    <n v="0"/>
    <n v="0"/>
    <n v="0"/>
    <n v="0"/>
    <n v="8.9741186293864988E-4"/>
  </r>
  <r>
    <n v="46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75094.2212291176"/>
    <x v="4"/>
    <m/>
    <m/>
    <d v="2017-07-19T00:00:00"/>
    <n v="0.54794520547945202"/>
    <n v="1"/>
    <m/>
    <n v="1"/>
    <n v="1"/>
    <s v="11"/>
    <n v="0.01"/>
    <n v="166419.01930000001"/>
    <n v="2310022.7092999998"/>
    <n v="358447.92001248599"/>
    <n v="2143603.69"/>
    <m/>
    <n v="16641901.93"/>
    <s v="DBK GR Equity"/>
    <x v="86"/>
    <n v="5.3590092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641901.93"/>
    <m/>
    <s v="USD"/>
    <n v="1"/>
    <m/>
    <m/>
    <m/>
    <m/>
    <n v="0"/>
    <n v="0"/>
    <n v="0"/>
    <n v="0"/>
    <n v="0"/>
    <n v="8.9611980003121501E-4"/>
  </r>
  <r>
    <n v="46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49621.39594977524"/>
    <x v="4"/>
    <m/>
    <m/>
    <d v="2017-07-19T00:00:00"/>
    <n v="0.54794520547945202"/>
    <n v="1"/>
    <m/>
    <n v="1"/>
    <n v="1"/>
    <s v="11"/>
    <n v="0.01"/>
    <n v="131516.9933"/>
    <n v="1977995.6732999999"/>
    <n v="306927.04103455791"/>
    <n v="1846478.68"/>
    <m/>
    <n v="13151699.33"/>
    <s v="DBK GR Equity"/>
    <x v="86"/>
    <n v="4.6161967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151699.33"/>
    <m/>
    <s v="USD"/>
    <n v="1"/>
    <m/>
    <m/>
    <m/>
    <m/>
    <n v="0"/>
    <n v="0"/>
    <n v="0"/>
    <n v="0"/>
    <n v="0"/>
    <n v="7.6731760258639474E-4"/>
  </r>
  <r>
    <n v="46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81048.53766930406"/>
    <x v="4"/>
    <m/>
    <m/>
    <d v="2017-07-19T00:00:00"/>
    <n v="0.54794520547945202"/>
    <n v="1"/>
    <m/>
    <n v="1"/>
    <n v="1"/>
    <s v="11"/>
    <n v="0.01"/>
    <n v="105422.7876"/>
    <n v="1586265.1476"/>
    <n v="246141.92772062335"/>
    <n v="1480842.36"/>
    <m/>
    <n v="10542278.76"/>
    <s v="DBK GR Equity"/>
    <x v="86"/>
    <n v="3.7021059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542278.76"/>
    <m/>
    <s v="USD"/>
    <n v="1"/>
    <m/>
    <m/>
    <m/>
    <m/>
    <n v="0"/>
    <n v="0"/>
    <n v="0"/>
    <n v="0"/>
    <n v="0"/>
    <n v="6.1535481930155838E-4"/>
  </r>
  <r>
    <n v="46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50119.82541067409"/>
    <x v="4"/>
    <m/>
    <m/>
    <d v="2017-07-19T00:00:00"/>
    <n v="0.54794520547945202"/>
    <n v="1"/>
    <m/>
    <n v="1"/>
    <n v="1"/>
    <s v="11"/>
    <n v="0.01"/>
    <n v="131594.1476"/>
    <n v="1985788.2576000001"/>
    <n v="308136.22206235118"/>
    <n v="1854194.11"/>
    <m/>
    <n v="13159414.76"/>
    <s v="DBK GR Equity"/>
    <x v="86"/>
    <n v="4.63548527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159414.76"/>
    <m/>
    <s v="USD"/>
    <n v="1"/>
    <m/>
    <m/>
    <m/>
    <m/>
    <n v="0"/>
    <n v="0"/>
    <n v="0"/>
    <n v="0"/>
    <n v="0"/>
    <n v="7.7034055515587797E-4"/>
  </r>
  <r>
    <n v="46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50089.93746015336"/>
    <x v="4"/>
    <m/>
    <m/>
    <d v="2017-07-19T00:00:00"/>
    <n v="0.54794520547945202"/>
    <n v="1"/>
    <m/>
    <n v="1"/>
    <n v="1"/>
    <s v="11"/>
    <n v="0.01"/>
    <n v="131589.52109999998"/>
    <n v="1985320.9811"/>
    <n v="308063.71442473296"/>
    <n v="1853731.46"/>
    <m/>
    <n v="13158952.109999999"/>
    <s v="DBK GR Equity"/>
    <x v="86"/>
    <n v="4.6343286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158952.109999999"/>
    <m/>
    <s v="USD"/>
    <n v="1"/>
    <m/>
    <m/>
    <m/>
    <m/>
    <n v="0"/>
    <n v="0"/>
    <n v="0"/>
    <n v="0"/>
    <n v="0"/>
    <n v="7.7015928606183239E-4"/>
  </r>
  <r>
    <n v="47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66856.4104124822"/>
    <x v="4"/>
    <m/>
    <m/>
    <d v="2017-07-19T00:00:00"/>
    <n v="0.54794520547945202"/>
    <n v="1"/>
    <m/>
    <n v="1"/>
    <n v="1"/>
    <s v="11"/>
    <n v="0.01"/>
    <n v="180623.33110000001"/>
    <n v="2709065.4711000002"/>
    <n v="420367.67837130831"/>
    <n v="2528442.14"/>
    <m/>
    <n v="18062333.109999999"/>
    <s v="DBK GR Equity"/>
    <x v="86"/>
    <n v="6.3211053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62333.109999999"/>
    <m/>
    <s v="USD"/>
    <n v="1"/>
    <m/>
    <m/>
    <m/>
    <m/>
    <n v="0"/>
    <n v="0"/>
    <n v="0"/>
    <n v="0"/>
    <n v="0"/>
    <n v="1.0509191959282708E-3"/>
  </r>
  <r>
    <n v="47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82403.5079116384"/>
    <x v="4"/>
    <m/>
    <m/>
    <d v="2017-07-19T00:00:00"/>
    <n v="0.54794520547945202"/>
    <n v="1"/>
    <m/>
    <n v="1"/>
    <n v="1"/>
    <s v="11"/>
    <n v="0.01"/>
    <n v="183029.94130000001"/>
    <n v="2606935.5213000001"/>
    <n v="404520.09906855639"/>
    <n v="2423905.58"/>
    <m/>
    <n v="18302994.129999999"/>
    <s v="DBK GR Equity"/>
    <x v="86"/>
    <n v="6.05976394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302994.129999999"/>
    <m/>
    <s v="USD"/>
    <n v="1"/>
    <m/>
    <m/>
    <m/>
    <m/>
    <n v="0"/>
    <n v="0"/>
    <n v="0"/>
    <n v="0"/>
    <n v="0"/>
    <n v="1.0113002476713909E-3"/>
  </r>
  <r>
    <n v="47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64321.30938443821"/>
    <x v="4"/>
    <m/>
    <m/>
    <d v="2017-07-19T00:00:00"/>
    <n v="0.54794520547945202"/>
    <n v="1"/>
    <m/>
    <n v="1"/>
    <n v="1"/>
    <s v="11"/>
    <n v="0.01"/>
    <n v="87354.016999999993"/>
    <n v="1228409.017"/>
    <n v="190613.12916774821"/>
    <n v="1141055"/>
    <m/>
    <n v="8735401.6999999993"/>
    <s v="DBK GR Equity"/>
    <x v="86"/>
    <n v="2.8526375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735401.6999999993"/>
    <m/>
    <s v="USD"/>
    <n v="1"/>
    <m/>
    <m/>
    <m/>
    <m/>
    <n v="0"/>
    <n v="0"/>
    <n v="0"/>
    <n v="0"/>
    <n v="0"/>
    <n v="4.765328229193705E-4"/>
  </r>
  <r>
    <n v="47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30954.67533426848"/>
    <x v="4"/>
    <m/>
    <m/>
    <d v="2017-07-19T00:00:00"/>
    <n v="0.54794520547945202"/>
    <n v="1"/>
    <m/>
    <n v="1"/>
    <n v="1"/>
    <s v="11"/>
    <n v="0.01"/>
    <n v="82189.034800000009"/>
    <n v="1224542.1847999999"/>
    <n v="190013.10997592506"/>
    <n v="1142353.1499999999"/>
    <m/>
    <n v="8218903.4800000004"/>
    <s v="DBK GR Equity"/>
    <x v="86"/>
    <n v="2.855882874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218903.4800000004"/>
    <m/>
    <s v="USD"/>
    <n v="1"/>
    <m/>
    <m/>
    <m/>
    <m/>
    <n v="0"/>
    <n v="0"/>
    <n v="0"/>
    <n v="0"/>
    <n v="0"/>
    <n v="4.7503277493981264E-4"/>
  </r>
  <r>
    <n v="47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11199.5287316714"/>
    <x v="4"/>
    <m/>
    <m/>
    <d v="2017-07-19T00:00:00"/>
    <n v="0.54794520547945202"/>
    <n v="1"/>
    <m/>
    <n v="1"/>
    <n v="1"/>
    <s v="11"/>
    <n v="0.01"/>
    <n v="202966.89850000001"/>
    <n v="2894580.3185000001"/>
    <n v="449154.15346276498"/>
    <n v="2691613.42"/>
    <m/>
    <n v="20296689.850000001"/>
    <s v="DBK GR Equity"/>
    <x v="86"/>
    <n v="6.7290335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296689.850000001"/>
    <m/>
    <s v="USD"/>
    <n v="1"/>
    <m/>
    <m/>
    <m/>
    <m/>
    <n v="0"/>
    <n v="0"/>
    <n v="0"/>
    <n v="0"/>
    <n v="0"/>
    <n v="1.1228853836569126E-3"/>
  </r>
  <r>
    <n v="47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1848.6898669589"/>
    <x v="4"/>
    <m/>
    <m/>
    <d v="2017-07-19T00:00:00"/>
    <n v="0.54794520547945202"/>
    <n v="1"/>
    <m/>
    <n v="1"/>
    <n v="1"/>
    <s v="11"/>
    <n v="0.01"/>
    <n v="221642.764"/>
    <n v="3313753.034"/>
    <n v="514197.49151829904"/>
    <n v="3092110.27"/>
    <m/>
    <n v="22164276.399999999"/>
    <s v="DBK GR Equity"/>
    <x v="86"/>
    <n v="7.73027567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164276.399999999"/>
    <m/>
    <s v="USD"/>
    <n v="1"/>
    <m/>
    <m/>
    <m/>
    <m/>
    <n v="0"/>
    <n v="0"/>
    <n v="0"/>
    <n v="0"/>
    <n v="0"/>
    <n v="1.2854937287957477E-3"/>
  </r>
  <r>
    <n v="47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19665.0943319467"/>
    <x v="4"/>
    <m/>
    <m/>
    <d v="2017-08-16T00:00:00"/>
    <n v="0.62465753424657533"/>
    <n v="1"/>
    <m/>
    <n v="1"/>
    <n v="1"/>
    <s v="11"/>
    <n v="0.01"/>
    <n v="192769.12850000002"/>
    <n v="3047456.4084999999"/>
    <n v="472876.04860237893"/>
    <n v="2854687.28"/>
    <m/>
    <n v="19276912.850000001"/>
    <s v="DBK GR Equity"/>
    <x v="86"/>
    <n v="7.136718199999999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9276912.850000001"/>
    <m/>
    <s v="USD"/>
    <n v="1"/>
    <m/>
    <m/>
    <m/>
    <m/>
    <n v="0"/>
    <n v="0"/>
    <n v="0"/>
    <n v="0"/>
    <n v="0"/>
    <n v="1.1821901215059473E-3"/>
  </r>
  <r>
    <n v="47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40410.4588570253"/>
    <x v="4"/>
    <m/>
    <m/>
    <d v="2017-08-16T00:00:00"/>
    <n v="0.62465753424657533"/>
    <n v="1"/>
    <m/>
    <n v="1"/>
    <n v="1"/>
    <s v="11"/>
    <n v="0.01"/>
    <n v="182007.54320000001"/>
    <n v="2824863.9632000001"/>
    <n v="438336.21541932947"/>
    <n v="2642856.42"/>
    <m/>
    <n v="18200754.32"/>
    <s v="DBK GR Equity"/>
    <x v="86"/>
    <n v="6.60714105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200754.32"/>
    <m/>
    <s v="USD"/>
    <n v="1"/>
    <m/>
    <m/>
    <m/>
    <m/>
    <n v="0"/>
    <n v="0"/>
    <n v="0"/>
    <n v="0"/>
    <n v="0"/>
    <n v="1.0958405385483236E-3"/>
  </r>
  <r>
    <n v="47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23181.0470408697"/>
    <x v="4"/>
    <m/>
    <m/>
    <d v="2017-08-16T00:00:00"/>
    <n v="0.62465753424657533"/>
    <n v="1"/>
    <m/>
    <n v="1"/>
    <n v="1"/>
    <s v="11"/>
    <n v="0.01"/>
    <n v="193246.54190000001"/>
    <n v="3095675.1619000002"/>
    <n v="480358.18797366793"/>
    <n v="2902428.62"/>
    <m/>
    <n v="19324654.190000001"/>
    <s v="DBK GR Equity"/>
    <x v="86"/>
    <n v="7.256071550000000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9324654.190000001"/>
    <m/>
    <s v="USD"/>
    <n v="1"/>
    <m/>
    <m/>
    <m/>
    <m/>
    <n v="0"/>
    <n v="0"/>
    <n v="0"/>
    <n v="0"/>
    <n v="0"/>
    <n v="1.2008954699341699E-3"/>
  </r>
  <r>
    <n v="47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42886.8677541253"/>
    <x v="4"/>
    <m/>
    <m/>
    <d v="2017-08-16T00:00:00"/>
    <n v="0.62465753424657533"/>
    <n v="1"/>
    <m/>
    <n v="1"/>
    <n v="1"/>
    <s v="11"/>
    <n v="0.01"/>
    <n v="263814.76149999996"/>
    <n v="4172771.7115000002"/>
    <n v="647492.05046878557"/>
    <n v="3908956.95"/>
    <m/>
    <n v="26381476.149999999"/>
    <s v="DBK GR Equity"/>
    <x v="86"/>
    <n v="9.772392375000001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6381476.149999999"/>
    <m/>
    <s v="USD"/>
    <n v="1"/>
    <m/>
    <m/>
    <m/>
    <m/>
    <n v="0"/>
    <n v="0"/>
    <n v="0"/>
    <n v="0"/>
    <n v="0"/>
    <n v="1.618730126171964E-3"/>
  </r>
  <r>
    <n v="48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68937.7309104041"/>
    <x v="4"/>
    <m/>
    <m/>
    <d v="2017-08-16T00:00:00"/>
    <n v="0.62465753424657533"/>
    <n v="1"/>
    <m/>
    <n v="1"/>
    <n v="1"/>
    <s v="11"/>
    <n v="0.01"/>
    <n v="185881.11690000002"/>
    <n v="2870363.8369000005"/>
    <n v="445396.46423114231"/>
    <n v="2684482.72"/>
    <m/>
    <n v="18588111.690000001"/>
    <s v="DBK GR Equity"/>
    <x v="86"/>
    <n v="6.7112068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588111.690000001"/>
    <m/>
    <s v="USD"/>
    <n v="1"/>
    <m/>
    <m/>
    <m/>
    <m/>
    <n v="0"/>
    <n v="0"/>
    <n v="0"/>
    <n v="0"/>
    <n v="0"/>
    <n v="1.1134911605778558E-3"/>
  </r>
  <r>
    <n v="48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1530.50108281558"/>
    <x v="4"/>
    <m/>
    <m/>
    <d v="2017-08-16T00:00:00"/>
    <n v="0.62465753424657533"/>
    <n v="1"/>
    <m/>
    <n v="1"/>
    <n v="1"/>
    <s v="11"/>
    <n v="0.01"/>
    <n v="13786.3122"/>
    <n v="182358.80219999998"/>
    <n v="28296.749240342349"/>
    <n v="168572.49"/>
    <m/>
    <n v="1378631.22"/>
    <s v="DBK GR Equity"/>
    <x v="86"/>
    <n v="4.214312249999999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78631.22"/>
    <m/>
    <s v="USD"/>
    <n v="1"/>
    <m/>
    <m/>
    <m/>
    <m/>
    <n v="0"/>
    <n v="0"/>
    <n v="0"/>
    <n v="0"/>
    <n v="0"/>
    <n v="7.0741873100855875E-5"/>
  </r>
  <r>
    <n v="48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94921.61093492829"/>
    <x v="4"/>
    <m/>
    <m/>
    <d v="2017-08-16T00:00:00"/>
    <n v="0.62465753424657533"/>
    <n v="1"/>
    <m/>
    <n v="1"/>
    <n v="1"/>
    <s v="11"/>
    <n v="0.01"/>
    <n v="107938.37699999999"/>
    <n v="1394171.807"/>
    <n v="216334.66300884695"/>
    <n v="1286233.43"/>
    <m/>
    <n v="10793837.699999999"/>
    <s v="DBK GR Equity"/>
    <x v="86"/>
    <n v="3.2155835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793837.699999999"/>
    <m/>
    <s v="USD"/>
    <n v="1"/>
    <m/>
    <m/>
    <m/>
    <m/>
    <n v="0"/>
    <n v="0"/>
    <n v="0"/>
    <n v="0"/>
    <n v="0"/>
    <n v="5.4083665752211742E-4"/>
  </r>
  <r>
    <n v="48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02695.297874005"/>
    <x v="4"/>
    <m/>
    <m/>
    <d v="2017-09-20T00:00:00"/>
    <n v="0.72054794520547949"/>
    <n v="1"/>
    <m/>
    <n v="1"/>
    <n v="1"/>
    <s v="11"/>
    <n v="0.01"/>
    <n v="165117.84779999999"/>
    <n v="2474492.4878000002"/>
    <n v="383968.81630969344"/>
    <n v="2309374.64"/>
    <m/>
    <n v="16511784.779999999"/>
    <s v="DBK GR Equity"/>
    <x v="86"/>
    <n v="5.7734366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511784.779999999"/>
    <m/>
    <s v="USD"/>
    <n v="1"/>
    <m/>
    <m/>
    <m/>
    <m/>
    <n v="0"/>
    <n v="0"/>
    <n v="0"/>
    <n v="0"/>
    <n v="0"/>
    <n v="9.5992204077423359E-4"/>
  </r>
  <r>
    <n v="48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725799.5576233696"/>
    <x v="4"/>
    <m/>
    <m/>
    <d v="2017-09-20T00:00:00"/>
    <n v="0.72054794520547949"/>
    <n v="1"/>
    <m/>
    <n v="1"/>
    <n v="1"/>
    <s v="11"/>
    <n v="0.01"/>
    <n v="320866.66090000002"/>
    <n v="4695512.9708999991"/>
    <n v="728606.19552990363"/>
    <n v="4374646.3099999996"/>
    <m/>
    <n v="32086666.09"/>
    <s v="DBK GR Equity"/>
    <x v="86"/>
    <n v="1.0936615774999998E-2"/>
    <n v="0.15517073428299999"/>
    <d v="2017-05-29T10:12:30"/>
    <m/>
    <m/>
    <m/>
    <m/>
    <m/>
    <m/>
    <m/>
    <m/>
    <m/>
    <m/>
    <m/>
    <m/>
    <m/>
    <m/>
    <m/>
    <m/>
    <m/>
    <m/>
    <m/>
    <m/>
    <m/>
    <m/>
    <n v="32086666.09"/>
    <m/>
    <s v="USD"/>
    <n v="1"/>
    <m/>
    <m/>
    <m/>
    <m/>
    <n v="0"/>
    <n v="0"/>
    <n v="0"/>
    <n v="0"/>
    <n v="0"/>
    <n v="1.821515488824759E-3"/>
  </r>
  <r>
    <n v="48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237406.362522712"/>
    <x v="4"/>
    <m/>
    <m/>
    <d v="2017-09-20T00:00:00"/>
    <n v="0.72054794520547949"/>
    <n v="1"/>
    <m/>
    <n v="1"/>
    <n v="1"/>
    <s v="11"/>
    <n v="0.01"/>
    <n v="381090.29939999996"/>
    <n v="5582096.7494000001"/>
    <n v="866178.05144314538"/>
    <n v="5201006.45"/>
    <m/>
    <n v="38109029.939999998"/>
    <s v="DBK GR Equity"/>
    <x v="86"/>
    <n v="1.3002516125E-2"/>
    <n v="0.15517073428299999"/>
    <d v="2017-05-29T10:12:30"/>
    <m/>
    <m/>
    <m/>
    <m/>
    <m/>
    <m/>
    <m/>
    <m/>
    <m/>
    <m/>
    <m/>
    <m/>
    <m/>
    <m/>
    <m/>
    <m/>
    <m/>
    <m/>
    <m/>
    <m/>
    <m/>
    <m/>
    <n v="38109029.939999998"/>
    <m/>
    <s v="USD"/>
    <n v="1"/>
    <m/>
    <m/>
    <m/>
    <m/>
    <n v="0"/>
    <n v="0"/>
    <n v="0"/>
    <n v="0"/>
    <n v="0"/>
    <n v="2.1654451286078633E-3"/>
  </r>
  <r>
    <n v="48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065783.6709581539"/>
    <x v="4"/>
    <m/>
    <m/>
    <d v="2017-09-20T00:00:00"/>
    <n v="0.72054794520547949"/>
    <n v="1"/>
    <m/>
    <n v="1"/>
    <n v="1"/>
    <s v="11"/>
    <n v="0.01"/>
    <n v="478602.48080000002"/>
    <n v="6770820.8908000002"/>
    <n v="1050633.2493241122"/>
    <n v="6292218.4100000001"/>
    <m/>
    <n v="47860248.079999998"/>
    <s v="DBK GR Equity"/>
    <x v="86"/>
    <n v="1.5730546025E-2"/>
    <n v="0.15517073428299999"/>
    <d v="2017-05-29T10:12:30"/>
    <m/>
    <m/>
    <m/>
    <m/>
    <m/>
    <m/>
    <m/>
    <m/>
    <m/>
    <m/>
    <m/>
    <m/>
    <m/>
    <m/>
    <m/>
    <m/>
    <m/>
    <m/>
    <m/>
    <m/>
    <m/>
    <m/>
    <n v="47860248.079999998"/>
    <m/>
    <s v="USD"/>
    <n v="1"/>
    <m/>
    <m/>
    <m/>
    <m/>
    <n v="0"/>
    <n v="0"/>
    <n v="0"/>
    <n v="0"/>
    <n v="0"/>
    <n v="2.6265831233102804E-3"/>
  </r>
  <r>
    <n v="48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669884.2595843333"/>
    <x v="4"/>
    <m/>
    <m/>
    <d v="2017-09-20T00:00:00"/>
    <n v="0.72054794520547949"/>
    <n v="1"/>
    <m/>
    <n v="1"/>
    <n v="1"/>
    <s v="11"/>
    <n v="0.01"/>
    <n v="314284.60870000004"/>
    <n v="4030725.6987000001"/>
    <n v="625450.66636063717"/>
    <n v="3716441.09"/>
    <m/>
    <n v="31428460.870000001"/>
    <s v="DBK GR Equity"/>
    <x v="86"/>
    <n v="9.2911027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1428460.870000001"/>
    <m/>
    <s v="USD"/>
    <n v="1"/>
    <m/>
    <m/>
    <m/>
    <m/>
    <n v="0"/>
    <n v="0"/>
    <n v="0"/>
    <n v="0"/>
    <n v="0"/>
    <n v="1.563626665901593E-3"/>
  </r>
  <r>
    <n v="48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672037.2456843141"/>
    <x v="4"/>
    <m/>
    <m/>
    <d v="2017-09-20T00:00:00"/>
    <n v="0.72054794520547949"/>
    <n v="1"/>
    <m/>
    <n v="1"/>
    <n v="1"/>
    <s v="11"/>
    <n v="0.01"/>
    <n v="314538.04680000001"/>
    <n v="4056322.9468"/>
    <n v="629422.61014393833"/>
    <n v="3741784.9"/>
    <m/>
    <n v="31453804.68"/>
    <s v="DBK GR Equity"/>
    <x v="86"/>
    <n v="9.354462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1453804.68"/>
    <m/>
    <s v="USD"/>
    <n v="1"/>
    <m/>
    <m/>
    <m/>
    <m/>
    <n v="0"/>
    <n v="0"/>
    <n v="0"/>
    <n v="0"/>
    <n v="0"/>
    <n v="1.5735565253598457E-3"/>
  </r>
  <r>
    <n v="48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47027.3348153699"/>
    <x v="4"/>
    <m/>
    <m/>
    <d v="2017-12-20T00:00:00"/>
    <n v="0.96986301369863015"/>
    <n v="1"/>
    <m/>
    <n v="1"/>
    <n v="1"/>
    <s v="11"/>
    <n v="0.01"/>
    <n v="371422.51020000002"/>
    <n v="371422.51020000002"/>
    <n v="57633.903636969058"/>
    <n v="-313556.95"/>
    <m/>
    <n v="37142251.020000003"/>
    <s v="DBK GR Equity"/>
    <x v="86"/>
    <n v="-7.83892375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142251.020000003"/>
    <m/>
    <s v="USD"/>
    <n v="1"/>
    <m/>
    <m/>
    <m/>
    <m/>
    <n v="0"/>
    <n v="0"/>
    <n v="0"/>
    <n v="0"/>
    <n v="0"/>
    <n v="1.4408475909242265E-4"/>
  </r>
  <r>
    <n v="49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56701.7980527543"/>
    <x v="4"/>
    <m/>
    <m/>
    <d v="2017-12-20T00:00:00"/>
    <n v="0.96986301369863015"/>
    <n v="1"/>
    <m/>
    <n v="1"/>
    <n v="1"/>
    <s v="11"/>
    <n v="0.01"/>
    <n v="372268.58750000002"/>
    <n v="372268.58750000002"/>
    <n v="57765.190072870231"/>
    <n v="-228949.22"/>
    <m/>
    <n v="37226858.75"/>
    <s v="DBK GR Equity"/>
    <x v="86"/>
    <n v="-5.72373049999999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7226858.75"/>
    <m/>
    <s v="USD"/>
    <n v="1"/>
    <m/>
    <m/>
    <m/>
    <m/>
    <n v="0"/>
    <n v="0"/>
    <n v="0"/>
    <n v="0"/>
    <n v="0"/>
    <n v="1.4441297518217558E-4"/>
  </r>
  <r>
    <n v="49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461834.0937185483"/>
    <x v="4"/>
    <m/>
    <m/>
    <d v="2017-12-20T00:00:00"/>
    <n v="0.96986301369863015"/>
    <n v="1"/>
    <m/>
    <n v="1"/>
    <n v="1"/>
    <s v="11"/>
    <n v="0.01"/>
    <n v="390208.37130000006"/>
    <n v="390208.37130000006"/>
    <n v="60548.91949799451"/>
    <n v="-177101.45"/>
    <m/>
    <n v="39020837.130000003"/>
    <s v="DBK GR Equity"/>
    <x v="86"/>
    <n v="-4.427536250000000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020837.130000003"/>
    <m/>
    <s v="USD"/>
    <n v="1"/>
    <m/>
    <m/>
    <m/>
    <m/>
    <n v="0"/>
    <n v="0"/>
    <n v="0"/>
    <n v="0"/>
    <n v="0"/>
    <n v="1.5137229874498628E-4"/>
  </r>
  <r>
    <n v="492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100351.99"/>
    <m/>
    <n v="12000000"/>
    <s v="56243Z LN Equity"/>
    <x v="87"/>
    <n v="-2.50879975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493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39248.67"/>
    <m/>
    <n v="12000000"/>
    <s v="56243Z LN Equity"/>
    <x v="87"/>
    <n v="-9.812167499999999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494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64666.85"/>
    <m/>
    <n v="12000000"/>
    <s v="56243Z LN Equity"/>
    <x v="87"/>
    <n v="-1.6166712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495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96877.55"/>
    <n v="30549.633997338042"/>
    <n v="76877.55"/>
    <m/>
    <n v="12000000"/>
    <s v="56243Z LN Equity"/>
    <x v="87"/>
    <n v="1.9219387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7.637408499334511E-5"/>
  </r>
  <r>
    <n v="496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206845.47"/>
    <n v="32096.363463012247"/>
    <n v="86845.47"/>
    <m/>
    <n v="12000000"/>
    <s v="56243Z LN Equity"/>
    <x v="87"/>
    <n v="2.17113674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8.0240908657530611E-5"/>
  </r>
  <r>
    <n v="497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155873.28"/>
    <m/>
    <n v="12000000"/>
    <s v="56243Z LN Equity"/>
    <x v="87"/>
    <n v="-3.89683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498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53203.75"/>
    <m/>
    <n v="12000000"/>
    <s v="56243Z LN Equity"/>
    <x v="87"/>
    <n v="-1.3300937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49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100351.99"/>
    <m/>
    <n v="12000000"/>
    <s v="DBK GR Equity"/>
    <x v="87"/>
    <n v="-2.50879975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0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39248.67"/>
    <m/>
    <n v="12000000"/>
    <s v="DBK GR Equity"/>
    <x v="87"/>
    <n v="-9.8121674999999991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0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155873.28"/>
    <m/>
    <n v="12000000"/>
    <s v="DBK GR Equity"/>
    <x v="87"/>
    <n v="-3.89683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0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64666.85"/>
    <m/>
    <n v="12000000"/>
    <s v="DBK GR Equity"/>
    <x v="87"/>
    <n v="-1.6166712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0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96877.55"/>
    <n v="30549.633997338042"/>
    <n v="76877.55"/>
    <m/>
    <n v="12000000"/>
    <s v="DBK GR Equity"/>
    <x v="87"/>
    <n v="1.9219387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7.637408499334511E-5"/>
  </r>
  <r>
    <n v="50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206845.47"/>
    <n v="32096.363463012247"/>
    <n v="86845.47"/>
    <m/>
    <n v="12000000"/>
    <s v="DBK GR Equity"/>
    <x v="87"/>
    <n v="2.17113674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8.0240908657530611E-5"/>
  </r>
  <r>
    <n v="50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2017.578082191787"/>
    <x v="4"/>
    <m/>
    <m/>
    <d v="2017-01-16T00:00:00"/>
    <n v="4.3835616438356165E-2"/>
    <n v="1"/>
    <m/>
    <n v="1"/>
    <n v="1"/>
    <s v="11"/>
    <n v="0.01"/>
    <n v="120000"/>
    <n v="120000"/>
    <n v="18620.48811396"/>
    <n v="-53203.75"/>
    <m/>
    <n v="12000000"/>
    <s v="DBK GR Equity"/>
    <x v="87"/>
    <n v="-1.3300937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06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84247.2328767124"/>
    <x v="4"/>
    <m/>
    <m/>
    <d v="2017-02-13T00:00:00"/>
    <n v="0.12054794520547946"/>
    <n v="1"/>
    <m/>
    <n v="1"/>
    <n v="1"/>
    <s v="11"/>
    <n v="0.01"/>
    <n v="200000"/>
    <n v="200000"/>
    <n v="31034.146856599997"/>
    <n v="-117114.5"/>
    <m/>
    <n v="20000000"/>
    <s v="56243Z LN Equity"/>
    <x v="87"/>
    <n v="-2.927862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USD"/>
    <n v="1"/>
    <m/>
    <m/>
    <m/>
    <m/>
    <n v="0"/>
    <n v="0"/>
    <n v="0"/>
    <n v="0"/>
    <n v="0"/>
    <n v="7.7585367141499992E-5"/>
  </r>
  <r>
    <n v="507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70548.33972602745"/>
    <x v="4"/>
    <m/>
    <m/>
    <d v="2017-02-13T00:00:00"/>
    <n v="0.12054794520547946"/>
    <n v="1"/>
    <m/>
    <n v="1"/>
    <n v="1"/>
    <s v="11"/>
    <n v="0.01"/>
    <n v="120000"/>
    <n v="120000"/>
    <n v="18620.48811396"/>
    <n v="-130570.21"/>
    <m/>
    <n v="12000000"/>
    <s v="56243Z LN Equity"/>
    <x v="87"/>
    <n v="-3.264255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08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70548.33972602745"/>
    <x v="4"/>
    <m/>
    <m/>
    <d v="2017-02-13T00:00:00"/>
    <n v="0.12054794520547946"/>
    <n v="1"/>
    <m/>
    <n v="1"/>
    <n v="1"/>
    <s v="11"/>
    <n v="0.01"/>
    <n v="120000"/>
    <n v="120000"/>
    <n v="18620.48811396"/>
    <n v="-178412.72"/>
    <m/>
    <n v="12000000"/>
    <s v="56243Z LN Equity"/>
    <x v="87"/>
    <n v="-4.46031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09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70548.33972602745"/>
    <x v="4"/>
    <m/>
    <m/>
    <d v="2017-02-13T00:00:00"/>
    <n v="0.12054794520547946"/>
    <n v="1"/>
    <m/>
    <n v="1"/>
    <n v="1"/>
    <s v="11"/>
    <n v="0.01"/>
    <n v="120000"/>
    <n v="120000"/>
    <n v="18620.48811396"/>
    <n v="-242701.11"/>
    <m/>
    <n v="12000000"/>
    <s v="56243Z LN Equity"/>
    <x v="87"/>
    <n v="-6.06752774999999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10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170548.33972602745"/>
    <x v="4"/>
    <m/>
    <m/>
    <d v="2017-02-13T00:00:00"/>
    <n v="0.12054794520547946"/>
    <n v="1"/>
    <m/>
    <n v="1"/>
    <n v="1"/>
    <s v="11"/>
    <n v="0.01"/>
    <n v="120000"/>
    <n v="120000"/>
    <n v="18620.48811396"/>
    <n v="-303500.98"/>
    <m/>
    <n v="12000000"/>
    <s v="56243Z LN Equity"/>
    <x v="87"/>
    <n v="-7.58752449999999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11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13185.42465753431"/>
    <x v="4"/>
    <m/>
    <m/>
    <d v="2017-02-13T00:00:00"/>
    <n v="0.12054794520547946"/>
    <n v="1"/>
    <m/>
    <n v="1"/>
    <n v="1"/>
    <s v="11"/>
    <n v="0.01"/>
    <n v="150000"/>
    <n v="150000"/>
    <n v="23275.610142449998"/>
    <n v="-422359.73"/>
    <m/>
    <n v="15000000"/>
    <s v="56243Z LN Equity"/>
    <x v="87"/>
    <n v="-1.0558993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5.8189025356124991E-5"/>
  </r>
  <r>
    <n v="512"/>
    <s v="MORGAN STANLEY &amp;"/>
    <s v="FX Forward"/>
    <s v="1"/>
    <s v="Brokers"/>
    <m/>
    <s v="A+"/>
    <s v="A1"/>
    <m/>
    <s v="A"/>
    <s v="A"/>
    <n v="0"/>
    <n v="8.0000000000000002E-3"/>
    <n v="8.0000000000000002E-3"/>
    <s v=""/>
    <n v="8.0000000000000002E-3"/>
    <n v="213185.42465753431"/>
    <x v="4"/>
    <m/>
    <m/>
    <d v="2017-02-13T00:00:00"/>
    <n v="0.12054794520547946"/>
    <n v="1"/>
    <m/>
    <n v="1"/>
    <n v="1"/>
    <s v="11"/>
    <n v="0.01"/>
    <n v="150000"/>
    <n v="150000"/>
    <n v="23275.610142449998"/>
    <n v="-436313.8"/>
    <m/>
    <n v="15000000"/>
    <s v="56243Z LN Equity"/>
    <x v="87"/>
    <n v="-1.090784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5.8189025356124991E-5"/>
  </r>
  <r>
    <n v="51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3185.42465753431"/>
    <x v="4"/>
    <m/>
    <m/>
    <d v="2017-02-13T00:00:00"/>
    <n v="0.12054794520547946"/>
    <n v="1"/>
    <m/>
    <n v="1"/>
    <n v="1"/>
    <s v="11"/>
    <n v="0.01"/>
    <n v="150000"/>
    <n v="150000"/>
    <n v="23275.610142449998"/>
    <n v="-512687.4"/>
    <m/>
    <n v="15000000"/>
    <s v="DBK GR Equity"/>
    <x v="87"/>
    <n v="-1.281718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5.8189025356124991E-5"/>
  </r>
  <r>
    <n v="51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3185.42465753431"/>
    <x v="4"/>
    <m/>
    <m/>
    <d v="2017-02-13T00:00:00"/>
    <n v="0.12054794520547946"/>
    <n v="1"/>
    <m/>
    <n v="1"/>
    <n v="1"/>
    <s v="11"/>
    <n v="0.01"/>
    <n v="150000"/>
    <n v="150000"/>
    <n v="23275.610142449998"/>
    <n v="-533867.68999999994"/>
    <m/>
    <n v="15000000"/>
    <s v="DBK GR Equity"/>
    <x v="87"/>
    <n v="-1.3346692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5.8189025356124991E-5"/>
  </r>
  <r>
    <n v="51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4760.70136986303"/>
    <x v="4"/>
    <m/>
    <m/>
    <d v="2017-02-13T00:00:00"/>
    <n v="0.12054794520547946"/>
    <n v="1"/>
    <m/>
    <n v="1"/>
    <n v="1"/>
    <s v="11"/>
    <n v="0.01"/>
    <n v="130000"/>
    <n v="130000"/>
    <n v="20172.195456789999"/>
    <n v="-61547.41"/>
    <m/>
    <n v="13000000"/>
    <s v="DBK GR Equity"/>
    <x v="87"/>
    <n v="-1.538685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5.0430488641974997E-5"/>
  </r>
  <r>
    <n v="51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4760.70136986303"/>
    <x v="4"/>
    <m/>
    <m/>
    <d v="2017-02-13T00:00:00"/>
    <n v="0.12054794520547946"/>
    <n v="1"/>
    <m/>
    <n v="1"/>
    <n v="1"/>
    <s v="11"/>
    <n v="0.01"/>
    <n v="130000"/>
    <n v="130000"/>
    <n v="20172.195456789999"/>
    <n v="-98259.89"/>
    <m/>
    <n v="13000000"/>
    <s v="DBK GR Equity"/>
    <x v="87"/>
    <n v="-2.456497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5.0430488641974997E-5"/>
  </r>
  <r>
    <n v="51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4760.70136986303"/>
    <x v="4"/>
    <m/>
    <m/>
    <d v="2017-02-13T00:00:00"/>
    <n v="0.12054794520547946"/>
    <n v="1"/>
    <m/>
    <n v="1"/>
    <n v="1"/>
    <s v="11"/>
    <n v="0.01"/>
    <n v="130000"/>
    <n v="130000"/>
    <n v="20172.195456789999"/>
    <n v="-161642.93"/>
    <m/>
    <n v="13000000"/>
    <s v="DBK GR Equity"/>
    <x v="87"/>
    <n v="-4.041073249999999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5.0430488641974997E-5"/>
  </r>
  <r>
    <n v="51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84247.2328767124"/>
    <x v="4"/>
    <m/>
    <m/>
    <d v="2017-02-13T00:00:00"/>
    <n v="0.12054794520547946"/>
    <n v="1"/>
    <m/>
    <n v="1"/>
    <n v="1"/>
    <s v="11"/>
    <n v="0.01"/>
    <n v="200000"/>
    <n v="200000"/>
    <n v="31034.146856599997"/>
    <n v="-117114.5"/>
    <m/>
    <n v="20000000"/>
    <s v="DBK GR Equity"/>
    <x v="87"/>
    <n v="-2.927862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USD"/>
    <n v="1"/>
    <m/>
    <m/>
    <m/>
    <m/>
    <n v="0"/>
    <n v="0"/>
    <n v="0"/>
    <n v="0"/>
    <n v="0"/>
    <n v="7.7585367141499992E-5"/>
  </r>
  <r>
    <n v="51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0548.33972602745"/>
    <x v="4"/>
    <m/>
    <m/>
    <d v="2017-02-13T00:00:00"/>
    <n v="0.12054794520547946"/>
    <n v="1"/>
    <m/>
    <n v="1"/>
    <n v="1"/>
    <s v="11"/>
    <n v="0.01"/>
    <n v="120000"/>
    <n v="120000"/>
    <n v="18620.48811396"/>
    <n v="-130570.21"/>
    <m/>
    <n v="12000000"/>
    <s v="DBK GR Equity"/>
    <x v="87"/>
    <n v="-3.264255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2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0548.33972602745"/>
    <x v="4"/>
    <m/>
    <m/>
    <d v="2017-02-13T00:00:00"/>
    <n v="0.12054794520547946"/>
    <n v="1"/>
    <m/>
    <n v="1"/>
    <n v="1"/>
    <s v="11"/>
    <n v="0.01"/>
    <n v="120000"/>
    <n v="120000"/>
    <n v="18620.48811396"/>
    <n v="-178412.72"/>
    <m/>
    <n v="12000000"/>
    <s v="DBK GR Equity"/>
    <x v="87"/>
    <n v="-4.46031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2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0548.33972602745"/>
    <x v="4"/>
    <m/>
    <m/>
    <d v="2017-02-13T00:00:00"/>
    <n v="0.12054794520547946"/>
    <n v="1"/>
    <m/>
    <n v="1"/>
    <n v="1"/>
    <s v="11"/>
    <n v="0.01"/>
    <n v="120000"/>
    <n v="120000"/>
    <n v="18620.48811396"/>
    <n v="-242701.11"/>
    <m/>
    <n v="12000000"/>
    <s v="DBK GR Equity"/>
    <x v="87"/>
    <n v="-6.06752774999999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2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0548.33972602745"/>
    <x v="4"/>
    <m/>
    <m/>
    <d v="2017-02-13T00:00:00"/>
    <n v="0.12054794520547946"/>
    <n v="1"/>
    <m/>
    <n v="1"/>
    <n v="1"/>
    <s v="11"/>
    <n v="0.01"/>
    <n v="120000"/>
    <n v="120000"/>
    <n v="18620.48811396"/>
    <n v="-303500.98"/>
    <m/>
    <n v="12000000"/>
    <s v="DBK GR Equity"/>
    <x v="87"/>
    <n v="-7.58752449999999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4.6551220284900003E-5"/>
  </r>
  <r>
    <n v="52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3185.42465753431"/>
    <x v="4"/>
    <m/>
    <m/>
    <d v="2017-02-13T00:00:00"/>
    <n v="0.12054794520547946"/>
    <n v="1"/>
    <m/>
    <n v="1"/>
    <n v="1"/>
    <s v="11"/>
    <n v="0.01"/>
    <n v="150000"/>
    <n v="150000"/>
    <n v="23275.610142449998"/>
    <n v="-422359.73"/>
    <m/>
    <n v="15000000"/>
    <s v="DBK GR Equity"/>
    <x v="87"/>
    <n v="-1.0558993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5.8189025356124991E-5"/>
  </r>
  <r>
    <n v="52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3185.42465753431"/>
    <x v="4"/>
    <m/>
    <m/>
    <d v="2017-02-13T00:00:00"/>
    <n v="0.12054794520547946"/>
    <n v="1"/>
    <m/>
    <n v="1"/>
    <n v="1"/>
    <s v="11"/>
    <n v="0.01"/>
    <n v="150000"/>
    <n v="150000"/>
    <n v="23275.610142449998"/>
    <n v="-436313.8"/>
    <m/>
    <n v="15000000"/>
    <s v="DBK GR Equity"/>
    <x v="87"/>
    <n v="-1.090784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5.8189025356124991E-5"/>
  </r>
  <r>
    <n v="52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84247.2328767124"/>
    <x v="4"/>
    <m/>
    <m/>
    <d v="2017-02-13T00:00:00"/>
    <n v="0.12054794520547946"/>
    <n v="1"/>
    <m/>
    <n v="1"/>
    <n v="1"/>
    <s v="11"/>
    <n v="0.01"/>
    <n v="200000"/>
    <n v="373595.25"/>
    <n v="57971.049267140952"/>
    <n v="173595.25"/>
    <m/>
    <n v="20000000"/>
    <s v="DBK GR Equity"/>
    <x v="87"/>
    <n v="4.33988124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USD"/>
    <n v="1"/>
    <m/>
    <m/>
    <m/>
    <m/>
    <n v="0"/>
    <n v="0"/>
    <n v="0"/>
    <n v="0"/>
    <n v="0"/>
    <n v="1.4492762316785238E-4"/>
  </r>
  <r>
    <n v="52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2335.69315068499"/>
    <x v="4"/>
    <m/>
    <m/>
    <d v="2017-03-13T00:00:00"/>
    <n v="0.19726027397260273"/>
    <n v="1"/>
    <m/>
    <n v="1"/>
    <n v="1"/>
    <s v="11"/>
    <n v="0.01"/>
    <n v="130000"/>
    <n v="537756.55000000005"/>
    <n v="83444.078728992812"/>
    <n v="407756.55"/>
    <m/>
    <n v="13000000"/>
    <s v="DBK GR Equity"/>
    <x v="87"/>
    <n v="1.0193913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2.0861019682248203E-4"/>
  </r>
  <r>
    <n v="52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2565.91780821918"/>
    <x v="4"/>
    <m/>
    <m/>
    <d v="2017-03-13T00:00:00"/>
    <n v="0.19726027397260273"/>
    <n v="1"/>
    <m/>
    <n v="1"/>
    <n v="1"/>
    <s v="11"/>
    <n v="0.01"/>
    <n v="100000"/>
    <n v="362579.79"/>
    <n v="56261.772250475937"/>
    <n v="262579.78999999998"/>
    <m/>
    <n v="10000000"/>
    <s v="DBK GR Equity"/>
    <x v="87"/>
    <n v="6.56449474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USD"/>
    <n v="1"/>
    <m/>
    <m/>
    <m/>
    <m/>
    <n v="0"/>
    <n v="0"/>
    <n v="0"/>
    <n v="0"/>
    <n v="0"/>
    <n v="1.4065443062618983E-4"/>
  </r>
  <r>
    <n v="52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2565.91780821918"/>
    <x v="4"/>
    <m/>
    <m/>
    <d v="2017-03-13T00:00:00"/>
    <n v="0.19726027397260273"/>
    <n v="1"/>
    <m/>
    <n v="1"/>
    <n v="1"/>
    <s v="11"/>
    <n v="0.01"/>
    <n v="100000"/>
    <n v="397878.35"/>
    <n v="61739.075724808463"/>
    <n v="297878.34999999998"/>
    <m/>
    <n v="10000000"/>
    <s v="DBK GR Equity"/>
    <x v="87"/>
    <n v="7.446958749999999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USD"/>
    <n v="1"/>
    <m/>
    <m/>
    <m/>
    <m/>
    <n v="0"/>
    <n v="0"/>
    <n v="0"/>
    <n v="0"/>
    <n v="0"/>
    <n v="1.5434768931202116E-4"/>
  </r>
  <r>
    <n v="52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2565.91780821918"/>
    <x v="4"/>
    <m/>
    <m/>
    <d v="2017-03-13T00:00:00"/>
    <n v="0.19726027397260273"/>
    <n v="1"/>
    <m/>
    <n v="1"/>
    <n v="1"/>
    <s v="11"/>
    <n v="0.01"/>
    <n v="100000"/>
    <n v="387911.7"/>
    <n v="60192.543325966806"/>
    <n v="287911.7"/>
    <m/>
    <n v="10000000"/>
    <s v="DBK GR Equity"/>
    <x v="87"/>
    <n v="7.19779250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USD"/>
    <n v="1"/>
    <m/>
    <m/>
    <m/>
    <m/>
    <n v="0"/>
    <n v="0"/>
    <n v="0"/>
    <n v="0"/>
    <n v="0"/>
    <n v="1.5048135831491701E-4"/>
  </r>
  <r>
    <n v="53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2565.91780821918"/>
    <x v="4"/>
    <m/>
    <m/>
    <d v="2017-03-13T00:00:00"/>
    <n v="0.19726027397260273"/>
    <n v="1"/>
    <m/>
    <n v="1"/>
    <n v="1"/>
    <s v="11"/>
    <n v="0.01"/>
    <n v="100000"/>
    <n v="485501.84"/>
    <n v="75335.677008547573"/>
    <n v="385501.84"/>
    <m/>
    <n v="10000000"/>
    <s v="DBK GR Equity"/>
    <x v="87"/>
    <n v="9.63754600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USD"/>
    <n v="1"/>
    <m/>
    <m/>
    <m/>
    <m/>
    <n v="0"/>
    <n v="0"/>
    <n v="0"/>
    <n v="0"/>
    <n v="0"/>
    <n v="1.8833919252136892E-4"/>
  </r>
  <r>
    <n v="53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6052.73424657533"/>
    <x v="4"/>
    <m/>
    <m/>
    <d v="2017-03-13T00:00:00"/>
    <n v="0.19726027397260273"/>
    <n v="1"/>
    <m/>
    <n v="1"/>
    <n v="1"/>
    <s v="11"/>
    <n v="0.01"/>
    <n v="80000"/>
    <n v="441224.74"/>
    <n v="68465.166889625762"/>
    <n v="361224.74"/>
    <m/>
    <n v="8000000"/>
    <s v="DBK GR Equity"/>
    <x v="87"/>
    <n v="9.030618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000000"/>
    <m/>
    <s v="USD"/>
    <n v="1"/>
    <m/>
    <m/>
    <m/>
    <m/>
    <n v="0"/>
    <n v="0"/>
    <n v="0"/>
    <n v="0"/>
    <n v="0"/>
    <n v="1.711629172240644E-4"/>
  </r>
  <r>
    <n v="53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6052.73424657533"/>
    <x v="4"/>
    <m/>
    <m/>
    <d v="2017-03-13T00:00:00"/>
    <n v="0.19726027397260273"/>
    <n v="1"/>
    <m/>
    <n v="1"/>
    <n v="1"/>
    <s v="11"/>
    <n v="0.01"/>
    <n v="80000"/>
    <n v="404348.12"/>
    <n v="62742.99468635059"/>
    <n v="324348.12"/>
    <m/>
    <n v="8000000"/>
    <s v="DBK GR Equity"/>
    <x v="87"/>
    <n v="8.1087029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000000"/>
    <m/>
    <s v="USD"/>
    <n v="1"/>
    <m/>
    <m/>
    <m/>
    <m/>
    <n v="0"/>
    <n v="0"/>
    <n v="0"/>
    <n v="0"/>
    <n v="0"/>
    <n v="1.5685748671587647E-4"/>
  </r>
  <r>
    <n v="53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2565.91780821918"/>
    <x v="4"/>
    <m/>
    <m/>
    <d v="2017-03-13T00:00:00"/>
    <n v="0.19726027397260273"/>
    <n v="1"/>
    <m/>
    <n v="1"/>
    <n v="1"/>
    <s v="11"/>
    <n v="0.01"/>
    <n v="100000"/>
    <n v="470634.92"/>
    <n v="73028.766115620951"/>
    <n v="370634.92"/>
    <m/>
    <n v="10000000"/>
    <s v="DBK GR Equity"/>
    <x v="87"/>
    <n v="9.2658729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000000"/>
    <m/>
    <s v="USD"/>
    <n v="1"/>
    <m/>
    <m/>
    <m/>
    <m/>
    <n v="0"/>
    <n v="0"/>
    <n v="0"/>
    <n v="0"/>
    <n v="0"/>
    <n v="1.8257191528905237E-4"/>
  </r>
  <r>
    <n v="53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65131.83561643836"/>
    <x v="4"/>
    <m/>
    <m/>
    <d v="2017-03-13T00:00:00"/>
    <n v="0.19726027397260273"/>
    <n v="1"/>
    <m/>
    <n v="1"/>
    <n v="1"/>
    <s v="11"/>
    <n v="0.01"/>
    <n v="200000"/>
    <n v="847251.07"/>
    <n v="131468.5706539574"/>
    <n v="647251.06999999995"/>
    <m/>
    <n v="20000000"/>
    <s v="DBK GR Equity"/>
    <x v="87"/>
    <n v="1.6181276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USD"/>
    <n v="1"/>
    <m/>
    <m/>
    <m/>
    <m/>
    <n v="0"/>
    <n v="0"/>
    <n v="0"/>
    <n v="0"/>
    <n v="0"/>
    <n v="3.2867142663489348E-4"/>
  </r>
  <r>
    <n v="53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65131.83561643836"/>
    <x v="4"/>
    <m/>
    <m/>
    <d v="2017-03-13T00:00:00"/>
    <n v="0.19726027397260273"/>
    <n v="1"/>
    <m/>
    <n v="1"/>
    <n v="1"/>
    <s v="11"/>
    <n v="0.01"/>
    <n v="200000"/>
    <n v="832301.09"/>
    <n v="129148.77127984125"/>
    <n v="632301.09"/>
    <m/>
    <n v="20000000"/>
    <s v="DBK GR Equity"/>
    <x v="87"/>
    <n v="1.5807527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USD"/>
    <n v="1"/>
    <m/>
    <m/>
    <m/>
    <m/>
    <n v="0"/>
    <n v="0"/>
    <n v="0"/>
    <n v="0"/>
    <n v="0"/>
    <n v="3.2287192819960314E-4"/>
  </r>
  <r>
    <n v="53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88388.42739726033"/>
    <x v="4"/>
    <m/>
    <m/>
    <d v="2017-03-13T00:00:00"/>
    <n v="0.19726027397260273"/>
    <n v="1"/>
    <m/>
    <n v="1"/>
    <n v="1"/>
    <s v="11"/>
    <n v="0.01"/>
    <n v="210000"/>
    <n v="1011129.55"/>
    <n v="156897.71472873935"/>
    <n v="801129.55"/>
    <m/>
    <n v="21000000"/>
    <s v="DBK GR Equity"/>
    <x v="87"/>
    <n v="2.0028238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"/>
    <m/>
    <s v="USD"/>
    <n v="1"/>
    <m/>
    <m/>
    <m/>
    <m/>
    <n v="0"/>
    <n v="0"/>
    <n v="0"/>
    <n v="0"/>
    <n v="0"/>
    <n v="3.9224428682184837E-4"/>
  </r>
  <r>
    <n v="53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58158.20273972605"/>
    <x v="4"/>
    <m/>
    <m/>
    <d v="2017-03-13T00:00:00"/>
    <n v="0.19726027397260273"/>
    <n v="1"/>
    <m/>
    <n v="1"/>
    <n v="1"/>
    <s v="11"/>
    <n v="0.01"/>
    <n v="240000"/>
    <n v="1165543.29"/>
    <n v="180858.20814792361"/>
    <n v="925543.29"/>
    <m/>
    <n v="24000000"/>
    <s v="DBK GR Equity"/>
    <x v="87"/>
    <n v="2.3138582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4000000"/>
    <m/>
    <s v="USD"/>
    <n v="1"/>
    <m/>
    <m/>
    <m/>
    <m/>
    <n v="0"/>
    <n v="0"/>
    <n v="0"/>
    <n v="0"/>
    <n v="0"/>
    <n v="4.5214552036980903E-4"/>
  </r>
  <r>
    <n v="53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65131.83561643836"/>
    <x v="4"/>
    <m/>
    <m/>
    <d v="2017-03-13T00:00:00"/>
    <n v="0.19726027397260273"/>
    <n v="1"/>
    <m/>
    <n v="1"/>
    <n v="1"/>
    <s v="11"/>
    <n v="0.01"/>
    <n v="200000"/>
    <n v="1059873.01"/>
    <n v="164461.27320843338"/>
    <n v="859873.01"/>
    <m/>
    <n v="20000000"/>
    <s v="DBK GR Equity"/>
    <x v="87"/>
    <n v="2.1496825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USD"/>
    <n v="1"/>
    <m/>
    <m/>
    <m/>
    <m/>
    <n v="0"/>
    <n v="0"/>
    <n v="0"/>
    <n v="0"/>
    <n v="0"/>
    <n v="4.1115318302108346E-4"/>
  </r>
  <r>
    <n v="53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55822.50958904115"/>
    <x v="4"/>
    <m/>
    <m/>
    <d v="2017-03-13T00:00:00"/>
    <n v="0.19726027397260273"/>
    <n v="1"/>
    <m/>
    <n v="1"/>
    <n v="1"/>
    <s v="11"/>
    <n v="0.01"/>
    <n v="110000"/>
    <n v="610795.26"/>
    <n v="94777.548990775889"/>
    <n v="500795.26"/>
    <m/>
    <n v="11000000"/>
    <s v="DBK GR Equity"/>
    <x v="87"/>
    <n v="1.2519881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000000"/>
    <m/>
    <s v="USD"/>
    <n v="1"/>
    <m/>
    <m/>
    <m/>
    <m/>
    <n v="0"/>
    <n v="0"/>
    <n v="0"/>
    <n v="0"/>
    <n v="0"/>
    <n v="2.3694387247693972E-4"/>
  </r>
  <r>
    <n v="54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88388.42739726033"/>
    <x v="4"/>
    <m/>
    <m/>
    <d v="2017-03-13T00:00:00"/>
    <n v="0.19726027397260273"/>
    <n v="1"/>
    <m/>
    <n v="1"/>
    <n v="1"/>
    <s v="11"/>
    <n v="0.01"/>
    <n v="210000"/>
    <n v="1149494.1099999999"/>
    <n v="178367.84510268355"/>
    <n v="939494.11"/>
    <m/>
    <n v="21000000"/>
    <s v="DBK GR Equity"/>
    <x v="87"/>
    <n v="2.3487352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000000"/>
    <m/>
    <s v="USD"/>
    <n v="1"/>
    <m/>
    <m/>
    <m/>
    <m/>
    <n v="0"/>
    <n v="0"/>
    <n v="0"/>
    <n v="0"/>
    <n v="0"/>
    <n v="4.459196127567089E-4"/>
  </r>
  <r>
    <n v="54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25592.28493150685"/>
    <x v="4"/>
    <m/>
    <m/>
    <d v="2017-03-13T00:00:00"/>
    <n v="0.19726027397260273"/>
    <n v="1"/>
    <m/>
    <n v="1"/>
    <n v="1"/>
    <s v="11"/>
    <n v="0.01"/>
    <n v="140000"/>
    <n v="769003.79"/>
    <n v="119326.88276070992"/>
    <n v="629003.79"/>
    <m/>
    <n v="14000000"/>
    <s v="DBK GR Equity"/>
    <x v="87"/>
    <n v="1.57250947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2.9831720690177483E-4"/>
  </r>
  <r>
    <n v="54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65131.83561643836"/>
    <x v="4"/>
    <m/>
    <m/>
    <d v="2017-03-13T00:00:00"/>
    <n v="0.19726027397260273"/>
    <n v="1"/>
    <m/>
    <n v="1"/>
    <n v="1"/>
    <s v="11"/>
    <n v="0.01"/>
    <n v="200000"/>
    <n v="952731.49"/>
    <n v="147836.04487783666"/>
    <n v="752731.49"/>
    <m/>
    <n v="20000000"/>
    <s v="DBK GR Equity"/>
    <x v="87"/>
    <n v="1.8818287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USD"/>
    <n v="1"/>
    <m/>
    <m/>
    <m/>
    <m/>
    <n v="0"/>
    <n v="0"/>
    <n v="0"/>
    <n v="0"/>
    <n v="0"/>
    <n v="3.6959011219459166E-4"/>
  </r>
  <r>
    <n v="54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95362.06027397263"/>
    <x v="4"/>
    <m/>
    <m/>
    <d v="2017-03-13T00:00:00"/>
    <n v="0.19726027397260273"/>
    <n v="1"/>
    <m/>
    <n v="1"/>
    <n v="1"/>
    <s v="11"/>
    <n v="0.01"/>
    <n v="170000"/>
    <n v="904421.91"/>
    <n v="140339.81187633335"/>
    <n v="734421.91"/>
    <m/>
    <n v="17000000"/>
    <s v="DBK GR Equity"/>
    <x v="87"/>
    <n v="1.83605477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3.5084952969083338E-4"/>
  </r>
  <r>
    <n v="54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81414.79452054796"/>
    <x v="4"/>
    <m/>
    <m/>
    <d v="2017-03-13T00:00:00"/>
    <n v="0.19726027397260273"/>
    <n v="1"/>
    <m/>
    <n v="1"/>
    <n v="1"/>
    <s v="11"/>
    <n v="0.01"/>
    <n v="250000"/>
    <n v="1336676.6599999999"/>
    <n v="207413.09883114792"/>
    <n v="1086676.6599999999"/>
    <m/>
    <n v="25000000"/>
    <s v="DBK GR Equity"/>
    <x v="87"/>
    <n v="2.71669164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5000000"/>
    <m/>
    <s v="USD"/>
    <n v="1"/>
    <m/>
    <m/>
    <m/>
    <m/>
    <n v="0"/>
    <n v="0"/>
    <n v="0"/>
    <n v="0"/>
    <n v="0"/>
    <n v="5.1853274707786977E-4"/>
  </r>
  <r>
    <n v="54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87551.95068493159"/>
    <x v="4"/>
    <m/>
    <m/>
    <d v="2017-04-17T00:00:00"/>
    <n v="0.29315068493150687"/>
    <n v="1"/>
    <m/>
    <n v="1"/>
    <n v="1"/>
    <s v="11"/>
    <n v="0.01"/>
    <n v="170000"/>
    <n v="1094393.3500000001"/>
    <n v="169817.81971393223"/>
    <n v="924393.35"/>
    <m/>
    <n v="17000000"/>
    <s v="DBK GR Equity"/>
    <x v="87"/>
    <n v="2.31098337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4.2454454928483057E-4"/>
  </r>
  <r>
    <n v="54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64046.98630137008"/>
    <x v="4"/>
    <m/>
    <m/>
    <d v="2017-04-17T00:00:00"/>
    <n v="0.29315068493150687"/>
    <n v="1"/>
    <m/>
    <n v="1"/>
    <n v="1"/>
    <s v="11"/>
    <n v="0.01"/>
    <n v="250000"/>
    <n v="1645741.79"/>
    <n v="255370.96199451879"/>
    <n v="1395741.79"/>
    <m/>
    <n v="25000000"/>
    <s v="DBK GR Equity"/>
    <x v="87"/>
    <n v="3.4893544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5000000"/>
    <m/>
    <s v="USD"/>
    <n v="1"/>
    <m/>
    <m/>
    <m/>
    <m/>
    <n v="0"/>
    <n v="0"/>
    <n v="0"/>
    <n v="0"/>
    <n v="0"/>
    <n v="6.38427404986297E-4"/>
  </r>
  <r>
    <n v="54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91237.58904109604"/>
    <x v="4"/>
    <m/>
    <m/>
    <d v="2017-04-17T00:00:00"/>
    <n v="0.29315068493150687"/>
    <n v="1"/>
    <m/>
    <n v="1"/>
    <n v="1"/>
    <s v="11"/>
    <n v="0.01"/>
    <n v="200000"/>
    <n v="1277055.73"/>
    <n v="198161.67534441256"/>
    <n v="1077055.73"/>
    <m/>
    <n v="20000000"/>
    <s v="DBK GR Equity"/>
    <x v="87"/>
    <n v="2.6926393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USD"/>
    <n v="1"/>
    <m/>
    <m/>
    <m/>
    <m/>
    <n v="0"/>
    <n v="0"/>
    <n v="0"/>
    <n v="0"/>
    <n v="0"/>
    <n v="4.9540418836103138E-4"/>
  </r>
  <r>
    <n v="54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64046.98630137008"/>
    <x v="4"/>
    <m/>
    <m/>
    <d v="2017-04-17T00:00:00"/>
    <n v="0.29315068493150687"/>
    <n v="1"/>
    <m/>
    <n v="1"/>
    <n v="1"/>
    <s v="11"/>
    <n v="0.01"/>
    <n v="250000"/>
    <n v="1471310.74"/>
    <n v="228304.36788426409"/>
    <n v="1221310.74"/>
    <m/>
    <n v="25000000"/>
    <s v="DBK GR Equity"/>
    <x v="87"/>
    <n v="3.05327684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5000000"/>
    <m/>
    <s v="USD"/>
    <n v="1"/>
    <m/>
    <m/>
    <m/>
    <m/>
    <n v="0"/>
    <n v="0"/>
    <n v="0"/>
    <n v="0"/>
    <n v="0"/>
    <n v="5.7076091971066019E-4"/>
  </r>
  <r>
    <n v="54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48848.87671232881"/>
    <x v="4"/>
    <m/>
    <m/>
    <d v="2017-05-15T00:00:00"/>
    <n v="0.36986301369863012"/>
    <n v="1"/>
    <m/>
    <n v="1"/>
    <n v="1"/>
    <s v="11"/>
    <n v="0.01"/>
    <n v="80000"/>
    <n v="190831.86"/>
    <n v="29611.519840790654"/>
    <n v="110831.86"/>
    <m/>
    <n v="8000000"/>
    <s v="DBK GR Equity"/>
    <x v="87"/>
    <n v="2.77079650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000000"/>
    <m/>
    <s v="USD"/>
    <n v="1"/>
    <m/>
    <m/>
    <m/>
    <m/>
    <n v="0"/>
    <n v="0"/>
    <n v="0"/>
    <n v="0"/>
    <n v="0"/>
    <n v="7.4028799601976635E-5"/>
  </r>
  <r>
    <n v="55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54091.64383561653"/>
    <x v="4"/>
    <m/>
    <m/>
    <d v="2017-05-15T00:00:00"/>
    <n v="0.36986301369863012"/>
    <n v="1"/>
    <m/>
    <n v="1"/>
    <n v="1"/>
    <s v="11"/>
    <n v="0.01"/>
    <n v="150000"/>
    <n v="263095.86"/>
    <n v="40824.777783017365"/>
    <n v="113095.86"/>
    <m/>
    <n v="15000000"/>
    <s v="DBK GR Equity"/>
    <x v="87"/>
    <n v="2.82739650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1.0206194445754342E-4"/>
  </r>
  <r>
    <n v="55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48848.87671232881"/>
    <x v="4"/>
    <m/>
    <m/>
    <d v="2017-05-15T00:00:00"/>
    <n v="0.36986301369863012"/>
    <n v="1"/>
    <m/>
    <n v="1"/>
    <n v="1"/>
    <s v="11"/>
    <n v="0.01"/>
    <n v="80000"/>
    <n v="158263.58000000002"/>
    <n v="24557.875918856313"/>
    <n v="78263.58"/>
    <m/>
    <n v="8000000"/>
    <s v="DBK GR Equity"/>
    <x v="87"/>
    <n v="1.95658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000000"/>
    <m/>
    <s v="USD"/>
    <n v="1"/>
    <m/>
    <m/>
    <m/>
    <m/>
    <n v="0"/>
    <n v="0"/>
    <n v="0"/>
    <n v="0"/>
    <n v="0"/>
    <n v="6.1394689797140782E-5"/>
  </r>
  <r>
    <n v="55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8030.5479452055"/>
    <x v="4"/>
    <m/>
    <m/>
    <d v="2017-05-15T00:00:00"/>
    <n v="0.36986301369863012"/>
    <n v="1"/>
    <m/>
    <n v="1"/>
    <n v="1"/>
    <s v="11"/>
    <n v="0.01"/>
    <n v="50000"/>
    <n v="92268.15"/>
    <n v="14317.316586433984"/>
    <n v="42268.15"/>
    <m/>
    <n v="5000000"/>
    <s v="DBK GR Equity"/>
    <x v="87"/>
    <n v="1.0567037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5000000"/>
    <m/>
    <s v="USD"/>
    <n v="1"/>
    <m/>
    <m/>
    <m/>
    <m/>
    <n v="0"/>
    <n v="0"/>
    <n v="0"/>
    <n v="0"/>
    <n v="0"/>
    <n v="3.5793291466084958E-5"/>
  </r>
  <r>
    <n v="55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08183.2876712331"/>
    <x v="4"/>
    <m/>
    <m/>
    <d v="2017-05-15T00:00:00"/>
    <n v="0.36986301369863012"/>
    <n v="1"/>
    <m/>
    <n v="1"/>
    <n v="1"/>
    <s v="11"/>
    <n v="0.01"/>
    <n v="300000"/>
    <n v="632121.72"/>
    <n v="98086.79144863291"/>
    <n v="332121.71999999997"/>
    <m/>
    <n v="30000000"/>
    <s v="DBK GR Equity"/>
    <x v="87"/>
    <n v="8.303042999999999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"/>
    <m/>
    <s v="USD"/>
    <n v="1"/>
    <m/>
    <m/>
    <m/>
    <m/>
    <n v="0"/>
    <n v="0"/>
    <n v="0"/>
    <n v="0"/>
    <n v="0"/>
    <n v="2.4521697862158229E-4"/>
  </r>
  <r>
    <n v="55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26213.8356164384"/>
    <x v="4"/>
    <m/>
    <m/>
    <d v="2017-05-15T00:00:00"/>
    <n v="0.36986301369863012"/>
    <n v="1"/>
    <m/>
    <n v="1"/>
    <n v="1"/>
    <s v="11"/>
    <n v="0.01"/>
    <n v="350000"/>
    <n v="1604024.3"/>
    <n v="248897.62843877508"/>
    <n v="1254024.3"/>
    <m/>
    <n v="35000000"/>
    <s v="DBK GR Equity"/>
    <x v="87"/>
    <n v="3.135060750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5000000"/>
    <m/>
    <s v="USD"/>
    <n v="1"/>
    <m/>
    <m/>
    <m/>
    <m/>
    <n v="0"/>
    <n v="0"/>
    <n v="0"/>
    <n v="0"/>
    <n v="0"/>
    <n v="6.2224407109693768E-4"/>
  </r>
  <r>
    <n v="55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9645.5890410959"/>
    <x v="4"/>
    <m/>
    <m/>
    <d v="2017-06-19T00:00:00"/>
    <n v="0.46575342465753422"/>
    <n v="1"/>
    <m/>
    <n v="1"/>
    <n v="1"/>
    <s v="11"/>
    <n v="0.01"/>
    <n v="40000"/>
    <n v="209151.92"/>
    <n v="32454.257003099272"/>
    <n v="169151.92"/>
    <m/>
    <n v="4000000"/>
    <s v="DBK GR Equity"/>
    <x v="87"/>
    <n v="4.22879800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4000000"/>
    <m/>
    <s v="USD"/>
    <n v="1"/>
    <m/>
    <m/>
    <m/>
    <m/>
    <n v="0"/>
    <n v="0"/>
    <n v="0"/>
    <n v="0"/>
    <n v="0"/>
    <n v="8.1135642507748179E-5"/>
  </r>
  <r>
    <n v="55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74556.98630136991"/>
    <x v="4"/>
    <m/>
    <m/>
    <d v="2017-06-19T00:00:00"/>
    <n v="0.46575342465753422"/>
    <n v="1"/>
    <m/>
    <n v="1"/>
    <n v="1"/>
    <s v="11"/>
    <n v="0.01"/>
    <n v="50000"/>
    <n v="247851.86"/>
    <n v="38459.355109607313"/>
    <n v="197851.86"/>
    <m/>
    <n v="5000000"/>
    <s v="DBK GR Equity"/>
    <x v="87"/>
    <n v="4.94629650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5000000"/>
    <m/>
    <s v="USD"/>
    <n v="1"/>
    <m/>
    <m/>
    <m/>
    <m/>
    <n v="0"/>
    <n v="0"/>
    <n v="0"/>
    <n v="0"/>
    <n v="0"/>
    <n v="9.6148387774018287E-5"/>
  </r>
  <r>
    <n v="55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29468.38356164383"/>
    <x v="4"/>
    <m/>
    <m/>
    <d v="2017-06-19T00:00:00"/>
    <n v="0.46575342465753422"/>
    <n v="1"/>
    <m/>
    <n v="1"/>
    <n v="1"/>
    <s v="11"/>
    <n v="0.01"/>
    <n v="60000"/>
    <n v="242820.73"/>
    <n v="37678.670973234082"/>
    <n v="182820.73"/>
    <m/>
    <n v="6000000"/>
    <s v="DBK GR Equity"/>
    <x v="87"/>
    <n v="4.570518250000000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6000000"/>
    <m/>
    <s v="USD"/>
    <n v="1"/>
    <m/>
    <m/>
    <m/>
    <m/>
    <n v="0"/>
    <n v="0"/>
    <n v="0"/>
    <n v="0"/>
    <n v="0"/>
    <n v="9.4196677433085204E-5"/>
  </r>
  <r>
    <n v="55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39291.17808219179"/>
    <x v="4"/>
    <m/>
    <m/>
    <d v="2017-06-19T00:00:00"/>
    <n v="0.46575342465753422"/>
    <n v="1"/>
    <m/>
    <n v="1"/>
    <n v="1"/>
    <s v="11"/>
    <n v="0.01"/>
    <n v="80000"/>
    <n v="374290.21"/>
    <n v="58078.886720638271"/>
    <n v="294290.21000000002"/>
    <m/>
    <n v="8000000"/>
    <s v="DBK GR Equity"/>
    <x v="87"/>
    <n v="7.357255250000000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000000"/>
    <m/>
    <s v="USD"/>
    <n v="1"/>
    <m/>
    <m/>
    <m/>
    <m/>
    <n v="0"/>
    <n v="0"/>
    <n v="0"/>
    <n v="0"/>
    <n v="0"/>
    <n v="1.4519721680159568E-4"/>
  </r>
  <r>
    <n v="55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84269.52864824439"/>
    <x v="4"/>
    <m/>
    <m/>
    <d v="2017-06-19T00:00:00"/>
    <n v="0.46575342465753422"/>
    <n v="1"/>
    <m/>
    <n v="1"/>
    <n v="1"/>
    <s v="11"/>
    <n v="0.01"/>
    <n v="51768.766200000005"/>
    <n v="242206.7862"/>
    <n v="37583.404862979587"/>
    <n v="190438.02"/>
    <m/>
    <n v="5176876.62"/>
    <s v="DBK GR Equity"/>
    <x v="87"/>
    <n v="4.760950499999999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5176876.62"/>
    <m/>
    <s v="USD"/>
    <n v="1"/>
    <m/>
    <m/>
    <m/>
    <m/>
    <n v="0"/>
    <n v="0"/>
    <n v="0"/>
    <n v="0"/>
    <n v="0"/>
    <n v="9.3958512157448962E-5"/>
  </r>
  <r>
    <n v="56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58936.76712328766"/>
    <x v="4"/>
    <m/>
    <m/>
    <d v="2017-06-19T00:00:00"/>
    <n v="0.46575342465753422"/>
    <n v="1"/>
    <m/>
    <n v="1"/>
    <n v="1"/>
    <s v="11"/>
    <n v="0.01"/>
    <n v="120000"/>
    <n v="556448.88"/>
    <n v="86344.581300552949"/>
    <n v="436448.88"/>
    <m/>
    <n v="12000000"/>
    <s v="DBK GR Equity"/>
    <x v="87"/>
    <n v="1.091122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2.1586145325138236E-4"/>
  </r>
  <r>
    <n v="56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58936.76712328766"/>
    <x v="4"/>
    <m/>
    <m/>
    <d v="2017-06-19T00:00:00"/>
    <n v="0.46575342465753422"/>
    <n v="1"/>
    <m/>
    <n v="1"/>
    <n v="1"/>
    <s v="11"/>
    <n v="0.01"/>
    <n v="120000"/>
    <n v="552459.73"/>
    <n v="85725.581965887919"/>
    <n v="432459.73"/>
    <m/>
    <n v="12000000"/>
    <s v="DBK GR Equity"/>
    <x v="87"/>
    <n v="1.0811493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2.143139549147198E-4"/>
  </r>
  <r>
    <n v="56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58936.76712328766"/>
    <x v="4"/>
    <m/>
    <m/>
    <d v="2017-06-19T00:00:00"/>
    <n v="0.46575342465753422"/>
    <n v="1"/>
    <m/>
    <n v="1"/>
    <n v="1"/>
    <s v="11"/>
    <n v="0.01"/>
    <n v="120000"/>
    <n v="635533.80000000005"/>
    <n v="98616.246407665269"/>
    <n v="515533.8"/>
    <m/>
    <n v="12000000"/>
    <s v="DBK GR Equity"/>
    <x v="87"/>
    <n v="1.2888344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2.4654061601916315E-4"/>
  </r>
  <r>
    <n v="56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58936.76712328766"/>
    <x v="4"/>
    <m/>
    <m/>
    <d v="2017-06-19T00:00:00"/>
    <n v="0.46575342465753422"/>
    <n v="1"/>
    <m/>
    <n v="1"/>
    <n v="1"/>
    <s v="11"/>
    <n v="0.01"/>
    <n v="120000"/>
    <n v="628253.59000000008"/>
    <n v="97486.570876230835"/>
    <n v="508253.59"/>
    <m/>
    <n v="12000000"/>
    <s v="DBK GR Equity"/>
    <x v="87"/>
    <n v="1.2706339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2.437164271905771E-4"/>
  </r>
  <r>
    <n v="56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58936.76712328766"/>
    <x v="4"/>
    <m/>
    <m/>
    <d v="2017-06-19T00:00:00"/>
    <n v="0.46575342465753422"/>
    <n v="1"/>
    <m/>
    <n v="1"/>
    <n v="1"/>
    <s v="11"/>
    <n v="0.01"/>
    <n v="120000"/>
    <n v="633240.03"/>
    <n v="98260.320432488952"/>
    <n v="513240.03"/>
    <m/>
    <n v="12000000"/>
    <s v="DBK GR Equity"/>
    <x v="87"/>
    <n v="1.2831000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000000"/>
    <m/>
    <s v="USD"/>
    <n v="1"/>
    <m/>
    <m/>
    <m/>
    <m/>
    <n v="0"/>
    <n v="0"/>
    <n v="0"/>
    <n v="0"/>
    <n v="0"/>
    <n v="2.4565080108122239E-4"/>
  </r>
  <r>
    <n v="56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719502.28"/>
    <n v="111645.69710589266"/>
    <n v="589502.28"/>
    <m/>
    <n v="13000000"/>
    <s v="DBK GR Equity"/>
    <x v="87"/>
    <n v="1.473755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2.7911424276473167E-4"/>
  </r>
  <r>
    <n v="56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719502.28"/>
    <n v="111645.69710589266"/>
    <n v="589502.28"/>
    <m/>
    <n v="13000000"/>
    <s v="DBK GR Equity"/>
    <x v="87"/>
    <n v="1.473755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2.7911424276473167E-4"/>
  </r>
  <r>
    <n v="56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666022.73"/>
    <n v="103347.23606326824"/>
    <n v="536022.73"/>
    <m/>
    <n v="13000000"/>
    <s v="DBK GR Equity"/>
    <x v="87"/>
    <n v="1.3400568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2.5836809015817062E-4"/>
  </r>
  <r>
    <n v="56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740029.79"/>
    <n v="114830.96590559429"/>
    <n v="610029.79"/>
    <m/>
    <n v="13000000"/>
    <s v="DBK GR Equity"/>
    <x v="87"/>
    <n v="1.5250744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2.8707741476398575E-4"/>
  </r>
  <r>
    <n v="56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752454.33"/>
    <n v="116758.89090052278"/>
    <n v="622454.32999999996"/>
    <m/>
    <n v="13000000"/>
    <s v="DBK GR Equity"/>
    <x v="87"/>
    <n v="1.5561358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2.9189722725130697E-4"/>
  </r>
  <r>
    <n v="57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752994.53"/>
    <n v="116842.71413118247"/>
    <n v="622994.53"/>
    <m/>
    <n v="13000000"/>
    <s v="DBK GR Equity"/>
    <x v="87"/>
    <n v="1.5574863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2.9210678532795619E-4"/>
  </r>
  <r>
    <n v="57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876159.56"/>
    <n v="135954.32227427021"/>
    <n v="746159.56"/>
    <m/>
    <n v="13000000"/>
    <s v="DBK GR Equity"/>
    <x v="87"/>
    <n v="1.8653989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3.3988580568567551E-4"/>
  </r>
  <r>
    <n v="57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871837.98"/>
    <n v="135283.73953240746"/>
    <n v="741837.98"/>
    <m/>
    <n v="13000000"/>
    <s v="DBK GR Equity"/>
    <x v="87"/>
    <n v="1.8545949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3.3820934883101866E-4"/>
  </r>
  <r>
    <n v="57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68759.56164383562"/>
    <x v="4"/>
    <m/>
    <m/>
    <d v="2017-06-19T00:00:00"/>
    <n v="0.46575342465753422"/>
    <n v="1"/>
    <m/>
    <n v="1"/>
    <n v="1"/>
    <s v="11"/>
    <n v="0.01"/>
    <n v="140000"/>
    <n v="897132.71"/>
    <n v="139208.74135999769"/>
    <n v="757132.71"/>
    <m/>
    <n v="14000000"/>
    <s v="DBK GR Equity"/>
    <x v="87"/>
    <n v="1.8928317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3.4802185339999423E-4"/>
  </r>
  <r>
    <n v="57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68759.56164383562"/>
    <x v="4"/>
    <m/>
    <m/>
    <d v="2017-06-19T00:00:00"/>
    <n v="0.46575342465753422"/>
    <n v="1"/>
    <m/>
    <n v="1"/>
    <n v="1"/>
    <s v="11"/>
    <n v="0.01"/>
    <n v="140000"/>
    <n v="897016.36"/>
    <n v="139190.68724506386"/>
    <n v="757016.36"/>
    <m/>
    <n v="14000000"/>
    <s v="DBK GR Equity"/>
    <x v="87"/>
    <n v="1.8925408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3.4797671811265967E-4"/>
  </r>
  <r>
    <n v="57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823760.4"/>
    <n v="127823.50614125779"/>
    <n v="693760.4"/>
    <m/>
    <n v="13000000"/>
    <s v="DBK GR Equity"/>
    <x v="87"/>
    <n v="1.7344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3.1955876535314447E-4"/>
  </r>
  <r>
    <n v="57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817818.23"/>
    <n v="126901.45525912337"/>
    <n v="687818.23"/>
    <m/>
    <n v="13000000"/>
    <s v="DBK GR Equity"/>
    <x v="87"/>
    <n v="1.7195455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3.1725363814780839E-4"/>
  </r>
  <r>
    <n v="57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13848.1643835617"/>
    <x v="4"/>
    <m/>
    <m/>
    <d v="2017-06-19T00:00:00"/>
    <n v="0.46575342465753422"/>
    <n v="1"/>
    <m/>
    <n v="1"/>
    <n v="1"/>
    <s v="11"/>
    <n v="0.01"/>
    <n v="130000"/>
    <n v="817818.23"/>
    <n v="126901.45525912337"/>
    <n v="687818.23"/>
    <m/>
    <n v="13000000"/>
    <s v="DBK GR Equity"/>
    <x v="87"/>
    <n v="1.7195455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3.1725363814780839E-4"/>
  </r>
  <r>
    <n v="57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84269.52864824439"/>
    <x v="4"/>
    <m/>
    <m/>
    <d v="2017-06-19T00:00:00"/>
    <n v="0.46575342465753422"/>
    <n v="1"/>
    <m/>
    <n v="1"/>
    <n v="1"/>
    <s v="11"/>
    <n v="0.01"/>
    <n v="51768.766200000005"/>
    <n v="242206.7862"/>
    <n v="37583.404862979587"/>
    <n v="190438.02"/>
    <m/>
    <n v="5176876.62"/>
    <s v="DBK GR Equity"/>
    <x v="87"/>
    <n v="4.760950499999999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5176876.62"/>
    <m/>
    <s v="USD"/>
    <n v="1"/>
    <m/>
    <m/>
    <m/>
    <m/>
    <n v="0"/>
    <n v="0"/>
    <n v="0"/>
    <n v="0"/>
    <n v="0"/>
    <n v="9.3958512157448962E-5"/>
  </r>
  <r>
    <n v="57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517559.506849315"/>
    <x v="4"/>
    <m/>
    <m/>
    <d v="2017-07-17T00:00:00"/>
    <n v="0.54246575342465753"/>
    <n v="1"/>
    <m/>
    <n v="1"/>
    <n v="1"/>
    <s v="11"/>
    <n v="0.01"/>
    <n v="550000"/>
    <n v="4696791.57"/>
    <n v="728804.59669110435"/>
    <n v="4146791.57"/>
    <m/>
    <n v="55000000"/>
    <s v="DBK GR Equity"/>
    <x v="87"/>
    <n v="1.0366978924999999E-2"/>
    <n v="0.15517073428299999"/>
    <d v="2017-05-29T10:12:30"/>
    <m/>
    <m/>
    <m/>
    <m/>
    <m/>
    <m/>
    <m/>
    <m/>
    <m/>
    <m/>
    <m/>
    <m/>
    <m/>
    <m/>
    <m/>
    <m/>
    <m/>
    <m/>
    <m/>
    <m/>
    <m/>
    <m/>
    <n v="55000000"/>
    <m/>
    <s v="USD"/>
    <n v="1"/>
    <m/>
    <m/>
    <m/>
    <m/>
    <n v="0"/>
    <n v="0"/>
    <n v="0"/>
    <n v="0"/>
    <n v="0"/>
    <n v="1.8220114917277608E-3"/>
  </r>
  <r>
    <n v="58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98890.6849315069"/>
    <x v="4"/>
    <m/>
    <m/>
    <d v="2017-07-17T00:00:00"/>
    <n v="0.54246575342465753"/>
    <n v="1"/>
    <m/>
    <n v="1"/>
    <n v="1"/>
    <s v="11"/>
    <n v="0.01"/>
    <n v="250000"/>
    <n v="2208813.31"/>
    <n v="342743.1832067637"/>
    <n v="1958813.31"/>
    <m/>
    <n v="25000000"/>
    <s v="DBK GR Equity"/>
    <x v="87"/>
    <n v="4.897033275000000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5000000"/>
    <m/>
    <s v="USD"/>
    <n v="1"/>
    <m/>
    <m/>
    <m/>
    <m/>
    <n v="0"/>
    <n v="0"/>
    <n v="0"/>
    <n v="0"/>
    <n v="0"/>
    <n v="8.5685795801690922E-4"/>
  </r>
  <r>
    <n v="58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07023.8027397261"/>
    <x v="4"/>
    <m/>
    <m/>
    <d v="2017-07-17T00:00:00"/>
    <n v="0.54246575342465753"/>
    <n v="1"/>
    <m/>
    <n v="1"/>
    <n v="1"/>
    <s v="11"/>
    <n v="0.01"/>
    <n v="220000"/>
    <n v="1813897.03"/>
    <n v="281463.73405885289"/>
    <n v="1593897.03"/>
    <m/>
    <n v="22000000"/>
    <s v="DBK GR Equity"/>
    <x v="87"/>
    <n v="3.98474257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000000"/>
    <m/>
    <s v="USD"/>
    <n v="1"/>
    <m/>
    <m/>
    <m/>
    <m/>
    <n v="0"/>
    <n v="0"/>
    <n v="0"/>
    <n v="0"/>
    <n v="0"/>
    <n v="7.0365933514713219E-4"/>
  </r>
  <r>
    <n v="58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97707.78739726031"/>
    <x v="4"/>
    <m/>
    <m/>
    <d v="2017-07-17T00:00:00"/>
    <n v="0.54246575342465753"/>
    <n v="1"/>
    <m/>
    <n v="1"/>
    <n v="1"/>
    <s v="11"/>
    <n v="0.01"/>
    <n v="156000"/>
    <n v="1470770.19"/>
    <n v="228220.4903438474"/>
    <n v="1314770.19"/>
    <m/>
    <n v="15600000"/>
    <s v="DBK GR Equity"/>
    <x v="87"/>
    <n v="3.28692547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600000"/>
    <m/>
    <s v="USD"/>
    <n v="1"/>
    <m/>
    <m/>
    <m/>
    <m/>
    <n v="0"/>
    <n v="0"/>
    <n v="0"/>
    <n v="0"/>
    <n v="0"/>
    <n v="5.7055122585961853E-4"/>
  </r>
  <r>
    <n v="58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97707.78739726031"/>
    <x v="4"/>
    <m/>
    <m/>
    <d v="2017-07-17T00:00:00"/>
    <n v="0.54246575342465753"/>
    <n v="1"/>
    <m/>
    <n v="1"/>
    <n v="1"/>
    <s v="11"/>
    <n v="0.01"/>
    <n v="156000"/>
    <n v="1475179.73"/>
    <n v="228904.72190349767"/>
    <n v="1319179.73"/>
    <m/>
    <n v="15600000"/>
    <s v="DBK GR Equity"/>
    <x v="87"/>
    <n v="3.2979493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600000"/>
    <m/>
    <s v="USD"/>
    <n v="1"/>
    <m/>
    <m/>
    <m/>
    <m/>
    <n v="0"/>
    <n v="0"/>
    <n v="0"/>
    <n v="0"/>
    <n v="0"/>
    <n v="5.7226180475874414E-4"/>
  </r>
  <r>
    <n v="58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97707.78739726031"/>
    <x v="4"/>
    <m/>
    <m/>
    <d v="2017-07-17T00:00:00"/>
    <n v="0.54246575342465753"/>
    <n v="1"/>
    <m/>
    <n v="1"/>
    <n v="1"/>
    <s v="11"/>
    <n v="0.01"/>
    <n v="156000"/>
    <n v="1433418.78"/>
    <n v="222424.64462764203"/>
    <n v="1277418.78"/>
    <m/>
    <n v="15600000"/>
    <s v="DBK GR Equity"/>
    <x v="87"/>
    <n v="3.1935469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600000"/>
    <m/>
    <s v="USD"/>
    <n v="1"/>
    <m/>
    <m/>
    <m/>
    <m/>
    <n v="0"/>
    <n v="0"/>
    <n v="0"/>
    <n v="0"/>
    <n v="0"/>
    <n v="5.5606161156910509E-4"/>
  </r>
  <r>
    <n v="58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58853.2432876714"/>
    <x v="4"/>
    <m/>
    <m/>
    <d v="2017-08-11T00:00:00"/>
    <n v="0.61095890410958908"/>
    <n v="1"/>
    <m/>
    <n v="1"/>
    <n v="1"/>
    <s v="11"/>
    <n v="0.01"/>
    <n v="147000"/>
    <n v="1483608.39"/>
    <n v="230212.60326471939"/>
    <n v="1336608.3899999999"/>
    <m/>
    <n v="14700000"/>
    <s v="DBK GR Equity"/>
    <x v="87"/>
    <n v="3.341520974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700000"/>
    <m/>
    <s v="USD"/>
    <n v="1"/>
    <m/>
    <m/>
    <m/>
    <m/>
    <n v="0"/>
    <n v="0"/>
    <n v="0"/>
    <n v="0"/>
    <n v="0"/>
    <n v="5.7553150816179845E-4"/>
  </r>
  <r>
    <n v="58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24524.1589041098"/>
    <x v="4"/>
    <m/>
    <m/>
    <d v="2017-08-11T00:00:00"/>
    <n v="0.61095890410958908"/>
    <n v="1"/>
    <m/>
    <n v="1"/>
    <n v="1"/>
    <s v="11"/>
    <n v="0.01"/>
    <n v="170000"/>
    <n v="1636845.31"/>
    <n v="253990.48866038476"/>
    <n v="1466845.31"/>
    <m/>
    <n v="17000000"/>
    <s v="DBK GR Equity"/>
    <x v="87"/>
    <n v="3.66711327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6.3497622165096189E-4"/>
  </r>
  <r>
    <n v="58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36400.82739726035"/>
    <x v="4"/>
    <m/>
    <m/>
    <d v="2017-08-11T00:00:00"/>
    <n v="0.61095890410958908"/>
    <n v="1"/>
    <m/>
    <n v="1"/>
    <n v="1"/>
    <s v="11"/>
    <n v="0.01"/>
    <n v="130000"/>
    <n v="1043039.07"/>
    <n v="161849.13837775742"/>
    <n v="913039.07"/>
    <m/>
    <n v="13000000"/>
    <s v="DBK GR Equity"/>
    <x v="87"/>
    <n v="2.28259767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000000"/>
    <m/>
    <s v="USD"/>
    <n v="1"/>
    <m/>
    <m/>
    <m/>
    <m/>
    <n v="0"/>
    <n v="0"/>
    <n v="0"/>
    <n v="0"/>
    <n v="0"/>
    <n v="4.0462284594439357E-4"/>
  </r>
  <r>
    <n v="58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08431.6602739729"/>
    <x v="4"/>
    <m/>
    <m/>
    <d v="2017-08-11T00:00:00"/>
    <n v="0.61095890410958908"/>
    <n v="1"/>
    <m/>
    <n v="1"/>
    <n v="1"/>
    <s v="11"/>
    <n v="0.01"/>
    <n v="140000"/>
    <n v="1122923.54"/>
    <n v="174244.87024546572"/>
    <n v="982923.54"/>
    <m/>
    <n v="14000000"/>
    <s v="DBK GR Equity"/>
    <x v="87"/>
    <n v="2.4573088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4.3561217561366428E-4"/>
  </r>
  <r>
    <n v="58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08431.6602739729"/>
    <x v="4"/>
    <m/>
    <m/>
    <d v="2017-08-11T00:00:00"/>
    <n v="0.61095890410958908"/>
    <n v="1"/>
    <m/>
    <n v="1"/>
    <n v="1"/>
    <s v="11"/>
    <n v="0.01"/>
    <n v="140000"/>
    <n v="1116053.94"/>
    <n v="173178.90936923522"/>
    <n v="976053.94"/>
    <m/>
    <n v="14000000"/>
    <s v="DBK GR Equity"/>
    <x v="87"/>
    <n v="2.440134849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4.3294727342308803E-4"/>
  </r>
  <r>
    <n v="59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008431.6602739729"/>
    <x v="4"/>
    <m/>
    <m/>
    <d v="2017-08-11T00:00:00"/>
    <n v="0.61095890410958908"/>
    <n v="1"/>
    <m/>
    <n v="1"/>
    <n v="1"/>
    <s v="11"/>
    <n v="0.01"/>
    <n v="140000"/>
    <n v="1152963.49"/>
    <n v="178906.19134479031"/>
    <n v="1012963.49"/>
    <m/>
    <n v="14000000"/>
    <s v="DBK GR Equity"/>
    <x v="87"/>
    <n v="2.5324087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4.4726547836197576E-4"/>
  </r>
  <r>
    <n v="59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48277.49589041108"/>
    <x v="4"/>
    <m/>
    <m/>
    <d v="2017-08-11T00:00:00"/>
    <n v="0.61095890410958908"/>
    <n v="1"/>
    <m/>
    <n v="1"/>
    <n v="1"/>
    <s v="11"/>
    <n v="0.01"/>
    <n v="90000"/>
    <n v="724349.48"/>
    <n v="112397.84068910922"/>
    <n v="634349.48"/>
    <m/>
    <n v="9000000"/>
    <s v="DBK GR Equity"/>
    <x v="87"/>
    <n v="1.585873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9000000"/>
    <m/>
    <s v="USD"/>
    <n v="1"/>
    <m/>
    <m/>
    <m/>
    <m/>
    <n v="0"/>
    <n v="0"/>
    <n v="0"/>
    <n v="0"/>
    <n v="0"/>
    <n v="2.8099460172277302E-4"/>
  </r>
  <r>
    <n v="59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48277.49589041108"/>
    <x v="4"/>
    <m/>
    <m/>
    <d v="2017-08-11T00:00:00"/>
    <n v="0.61095890410958908"/>
    <n v="1"/>
    <m/>
    <n v="1"/>
    <n v="1"/>
    <s v="11"/>
    <n v="0.01"/>
    <n v="90000"/>
    <n v="728092"/>
    <n v="112978.57026557803"/>
    <n v="638092"/>
    <m/>
    <n v="9000000"/>
    <s v="DBK GR Equity"/>
    <x v="87"/>
    <n v="1.5952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9000000"/>
    <m/>
    <s v="USD"/>
    <n v="1"/>
    <m/>
    <m/>
    <m/>
    <m/>
    <n v="0"/>
    <n v="0"/>
    <n v="0"/>
    <n v="0"/>
    <n v="0"/>
    <n v="2.8244642566394506E-4"/>
  </r>
  <r>
    <n v="59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648277.49589041108"/>
    <x v="4"/>
    <m/>
    <m/>
    <d v="2017-08-11T00:00:00"/>
    <n v="0.61095890410958908"/>
    <n v="1"/>
    <m/>
    <n v="1"/>
    <n v="1"/>
    <s v="11"/>
    <n v="0.01"/>
    <n v="90000"/>
    <n v="730711.76"/>
    <n v="113385.08034842326"/>
    <n v="640711.76"/>
    <m/>
    <n v="9000000"/>
    <s v="DBK GR Equity"/>
    <x v="87"/>
    <n v="1.6017793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9000000"/>
    <m/>
    <s v="USD"/>
    <n v="1"/>
    <m/>
    <m/>
    <m/>
    <m/>
    <n v="0"/>
    <n v="0"/>
    <n v="0"/>
    <n v="0"/>
    <n v="0"/>
    <n v="2.8346270087105813E-4"/>
  </r>
  <r>
    <n v="59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17492.6136986299"/>
    <x v="4"/>
    <m/>
    <m/>
    <d v="2017-09-18T00:00:00"/>
    <n v="0.71506849315068488"/>
    <n v="1"/>
    <m/>
    <n v="1"/>
    <n v="1"/>
    <s v="11"/>
    <n v="0.01"/>
    <n v="180000"/>
    <n v="1516827.84"/>
    <n v="235367.28971369684"/>
    <n v="1336827.8400000001"/>
    <m/>
    <n v="18000000"/>
    <s v="DBK GR Equity"/>
    <x v="87"/>
    <n v="3.3420696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00000"/>
    <m/>
    <s v="USD"/>
    <n v="1"/>
    <m/>
    <m/>
    <m/>
    <m/>
    <n v="0"/>
    <n v="0"/>
    <n v="0"/>
    <n v="0"/>
    <n v="0"/>
    <n v="5.8841822428424206E-4"/>
  </r>
  <r>
    <n v="59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86102.9041095891"/>
    <x v="4"/>
    <m/>
    <m/>
    <d v="2017-09-18T00:00:00"/>
    <n v="0.71506849315068488"/>
    <n v="1"/>
    <m/>
    <n v="1"/>
    <n v="1"/>
    <s v="11"/>
    <n v="0.01"/>
    <n v="200000"/>
    <n v="1838811.05"/>
    <n v="285329.66083619423"/>
    <n v="1638811.05"/>
    <m/>
    <n v="20000000"/>
    <s v="DBK GR Equity"/>
    <x v="87"/>
    <n v="4.0970276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USD"/>
    <n v="1"/>
    <m/>
    <m/>
    <m/>
    <m/>
    <n v="0"/>
    <n v="0"/>
    <n v="0"/>
    <n v="0"/>
    <n v="0"/>
    <n v="7.1332415209048559E-4"/>
  </r>
  <r>
    <n v="59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034985.2273972598"/>
    <x v="4"/>
    <m/>
    <m/>
    <d v="2017-09-18T00:00:00"/>
    <n v="0.71506849315068488"/>
    <n v="1"/>
    <m/>
    <n v="1"/>
    <n v="1"/>
    <s v="11"/>
    <n v="0.01"/>
    <n v="360000"/>
    <n v="3098662.53"/>
    <n v="480821.74007531843"/>
    <n v="2738662.53"/>
    <m/>
    <n v="36000000"/>
    <s v="DBK GR Equity"/>
    <x v="87"/>
    <n v="6.8466563249999996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6000000"/>
    <m/>
    <s v="USD"/>
    <n v="1"/>
    <m/>
    <m/>
    <m/>
    <m/>
    <n v="0"/>
    <n v="0"/>
    <n v="0"/>
    <n v="0"/>
    <n v="0"/>
    <n v="1.202054350188296E-3"/>
  </r>
  <r>
    <n v="59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17492.6136986299"/>
    <x v="4"/>
    <m/>
    <m/>
    <d v="2017-09-18T00:00:00"/>
    <n v="0.71506849315068488"/>
    <n v="1"/>
    <m/>
    <n v="1"/>
    <n v="1"/>
    <s v="11"/>
    <n v="0.01"/>
    <n v="180000"/>
    <n v="1533603.8"/>
    <n v="237970.42774519906"/>
    <n v="1353603.8"/>
    <m/>
    <n v="18000000"/>
    <s v="DBK GR Equity"/>
    <x v="87"/>
    <n v="3.3840095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00000"/>
    <m/>
    <s v="USD"/>
    <n v="1"/>
    <m/>
    <m/>
    <m/>
    <m/>
    <n v="0"/>
    <n v="0"/>
    <n v="0"/>
    <n v="0"/>
    <n v="0"/>
    <n v="5.9492606936299762E-4"/>
  </r>
  <r>
    <n v="59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17492.6136986299"/>
    <x v="4"/>
    <m/>
    <m/>
    <d v="2017-09-18T00:00:00"/>
    <n v="0.71506849315068488"/>
    <n v="1"/>
    <m/>
    <n v="1"/>
    <n v="1"/>
    <s v="11"/>
    <n v="0.01"/>
    <n v="180000"/>
    <n v="1490914.98"/>
    <n v="231346.37220012423"/>
    <n v="1310914.98"/>
    <m/>
    <n v="18000000"/>
    <s v="DBK GR Equity"/>
    <x v="87"/>
    <n v="3.27728744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00000"/>
    <m/>
    <s v="USD"/>
    <n v="1"/>
    <m/>
    <m/>
    <m/>
    <m/>
    <n v="0"/>
    <n v="0"/>
    <n v="0"/>
    <n v="0"/>
    <n v="0"/>
    <n v="5.7836593050031055E-4"/>
  </r>
  <r>
    <n v="59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407379.05"/>
    <n v="218384.04060301097"/>
    <n v="1237379.05"/>
    <m/>
    <n v="17000000"/>
    <s v="DBK GR Equity"/>
    <x v="87"/>
    <n v="3.0934476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5.4596010150752738E-4"/>
  </r>
  <r>
    <n v="60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408793.69"/>
    <n v="218603.55133055706"/>
    <n v="1238793.69"/>
    <m/>
    <n v="17000000"/>
    <s v="DBK GR Equity"/>
    <x v="87"/>
    <n v="3.0969842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5.4650887832639265E-4"/>
  </r>
  <r>
    <n v="60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408086.37"/>
    <n v="218493.79596678403"/>
    <n v="1238086.3700000001"/>
    <m/>
    <n v="17000000"/>
    <s v="DBK GR Equity"/>
    <x v="87"/>
    <n v="3.09521592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5.4623448991696012E-4"/>
  </r>
  <r>
    <n v="60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405540.01"/>
    <n v="218098.67541583514"/>
    <n v="1235540.01"/>
    <m/>
    <n v="17000000"/>
    <s v="DBK GR Equity"/>
    <x v="87"/>
    <n v="3.0888500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5.4524668853958786E-4"/>
  </r>
  <r>
    <n v="60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399598.53"/>
    <n v="217176.7316015074"/>
    <n v="1229598.53"/>
    <m/>
    <n v="17000000"/>
    <s v="DBK GR Equity"/>
    <x v="87"/>
    <n v="3.07399632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5.4294182900376854E-4"/>
  </r>
  <r>
    <n v="60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399598.53"/>
    <n v="217176.7316015074"/>
    <n v="1229598.53"/>
    <m/>
    <n v="17000000"/>
    <s v="DBK GR Equity"/>
    <x v="87"/>
    <n v="3.07399632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5.4294182900376854E-4"/>
  </r>
  <r>
    <n v="60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323915.31"/>
    <n v="205432.91078120557"/>
    <n v="1153915.31"/>
    <m/>
    <n v="17000000"/>
    <s v="DBK GR Equity"/>
    <x v="87"/>
    <n v="2.88478827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5.1358227695301397E-4"/>
  </r>
  <r>
    <n v="60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392525.33"/>
    <n v="216079.17796377689"/>
    <n v="1222525.33"/>
    <m/>
    <n v="17000000"/>
    <s v="DBK GR Equity"/>
    <x v="87"/>
    <n v="3.0563133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5.4019794490944221E-4"/>
  </r>
  <r>
    <n v="60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48882.3232876712"/>
    <x v="4"/>
    <m/>
    <m/>
    <d v="2017-09-18T00:00:00"/>
    <n v="0.71506849315068488"/>
    <n v="1"/>
    <m/>
    <n v="1"/>
    <n v="1"/>
    <s v="11"/>
    <n v="0.01"/>
    <n v="160000"/>
    <n v="1212086.5900000001"/>
    <n v="188080.36618487755"/>
    <n v="1052086.5900000001"/>
    <m/>
    <n v="16000000"/>
    <s v="DBK GR Equity"/>
    <x v="87"/>
    <n v="2.63021647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00000"/>
    <m/>
    <s v="USD"/>
    <n v="1"/>
    <m/>
    <m/>
    <m/>
    <m/>
    <n v="0"/>
    <n v="0"/>
    <n v="0"/>
    <n v="0"/>
    <n v="0"/>
    <n v="4.7020091546219389E-4"/>
  </r>
  <r>
    <n v="60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286427.3700000001"/>
    <n v="199615.87960464854"/>
    <n v="1116427.3700000001"/>
    <m/>
    <n v="17000000"/>
    <s v="DBK GR Equity"/>
    <x v="87"/>
    <n v="2.791068425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4.9903969901162132E-4"/>
  </r>
  <r>
    <n v="60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48882.3232876712"/>
    <x v="4"/>
    <m/>
    <m/>
    <d v="2017-09-18T00:00:00"/>
    <n v="0.71506849315068488"/>
    <n v="1"/>
    <m/>
    <n v="1"/>
    <n v="1"/>
    <s v="11"/>
    <n v="0.01"/>
    <n v="160000"/>
    <n v="1166818.1299999999"/>
    <n v="181056.02600681692"/>
    <n v="1006818.13"/>
    <m/>
    <n v="16000000"/>
    <s v="DBK GR Equity"/>
    <x v="87"/>
    <n v="2.5170453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00000"/>
    <m/>
    <s v="USD"/>
    <n v="1"/>
    <m/>
    <m/>
    <m/>
    <m/>
    <n v="0"/>
    <n v="0"/>
    <n v="0"/>
    <n v="0"/>
    <n v="0"/>
    <n v="4.5264006501704229E-4"/>
  </r>
  <r>
    <n v="61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48882.3232876712"/>
    <x v="4"/>
    <m/>
    <m/>
    <d v="2017-09-18T00:00:00"/>
    <n v="0.71506849315068488"/>
    <n v="1"/>
    <m/>
    <n v="1"/>
    <n v="1"/>
    <s v="11"/>
    <n v="0.01"/>
    <n v="160000"/>
    <n v="1174140.97"/>
    <n v="182192.31646665387"/>
    <n v="1014140.97"/>
    <m/>
    <n v="16000000"/>
    <s v="DBK GR Equity"/>
    <x v="87"/>
    <n v="2.5353524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00000"/>
    <m/>
    <s v="USD"/>
    <n v="1"/>
    <m/>
    <m/>
    <m/>
    <m/>
    <n v="0"/>
    <n v="0"/>
    <n v="0"/>
    <n v="0"/>
    <n v="0"/>
    <n v="4.5548079116663467E-4"/>
  </r>
  <r>
    <n v="61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183866"/>
    <n v="183701.35651267806"/>
    <n v="1013866"/>
    <m/>
    <n v="17000000"/>
    <s v="DBK GR Equity"/>
    <x v="87"/>
    <n v="2.5346650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4.5925339128169516E-4"/>
  </r>
  <r>
    <n v="61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48882.3232876712"/>
    <x v="4"/>
    <m/>
    <m/>
    <d v="2017-09-18T00:00:00"/>
    <n v="0.71506849315068488"/>
    <n v="1"/>
    <m/>
    <n v="1"/>
    <n v="1"/>
    <s v="11"/>
    <n v="0.01"/>
    <n v="160000"/>
    <n v="1030347.02"/>
    <n v="159879.70365970087"/>
    <n v="870347.02"/>
    <m/>
    <n v="16000000"/>
    <s v="DBK GR Equity"/>
    <x v="87"/>
    <n v="2.1758675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00000"/>
    <m/>
    <s v="USD"/>
    <n v="1"/>
    <m/>
    <m/>
    <m/>
    <m/>
    <n v="0"/>
    <n v="0"/>
    <n v="0"/>
    <n v="0"/>
    <n v="0"/>
    <n v="3.9969925914925218E-4"/>
  </r>
  <r>
    <n v="61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3187.4684931505"/>
    <x v="4"/>
    <m/>
    <m/>
    <d v="2017-09-18T00:00:00"/>
    <n v="0.71506849315068488"/>
    <n v="1"/>
    <m/>
    <n v="1"/>
    <n v="1"/>
    <s v="11"/>
    <n v="0.01"/>
    <n v="170000"/>
    <n v="1166183.01"/>
    <n v="180957.47397005913"/>
    <n v="996183.01"/>
    <m/>
    <n v="17000000"/>
    <s v="DBK GR Equity"/>
    <x v="87"/>
    <n v="2.49045752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000000"/>
    <m/>
    <s v="USD"/>
    <n v="1"/>
    <m/>
    <m/>
    <m/>
    <m/>
    <n v="0"/>
    <n v="0"/>
    <n v="0"/>
    <n v="0"/>
    <n v="0"/>
    <n v="4.5239368492514784E-4"/>
  </r>
  <r>
    <n v="61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39018.3397260273"/>
    <x v="4"/>
    <m/>
    <m/>
    <d v="2017-09-18T00:00:00"/>
    <n v="0.71506849315068488"/>
    <n v="1"/>
    <m/>
    <n v="1"/>
    <n v="1"/>
    <s v="11"/>
    <n v="0.01"/>
    <n v="230000"/>
    <n v="1423706.12"/>
    <n v="220917.52404360092"/>
    <n v="1193706.1200000001"/>
    <m/>
    <n v="23000000"/>
    <s v="DBK GR Equity"/>
    <x v="87"/>
    <n v="2.984265300000000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000000"/>
    <m/>
    <s v="USD"/>
    <n v="1"/>
    <m/>
    <m/>
    <m/>
    <m/>
    <n v="0"/>
    <n v="0"/>
    <n v="0"/>
    <n v="0"/>
    <n v="0"/>
    <n v="5.5229381010900227E-4"/>
  </r>
  <r>
    <n v="61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00240.6301369863"/>
    <x v="4"/>
    <m/>
    <m/>
    <d v="2017-10-16T00:00:00"/>
    <n v="0.79178082191780819"/>
    <n v="1"/>
    <m/>
    <n v="1"/>
    <n v="1"/>
    <s v="11"/>
    <n v="0.01"/>
    <n v="150000"/>
    <n v="893797.66"/>
    <n v="138691.23920262718"/>
    <n v="743797.66"/>
    <m/>
    <n v="15000000"/>
    <s v="DBK GR Equity"/>
    <x v="87"/>
    <n v="1.8594941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3.4672809800656795E-4"/>
  </r>
  <r>
    <n v="61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00240.6301369863"/>
    <x v="4"/>
    <m/>
    <m/>
    <d v="2017-10-16T00:00:00"/>
    <n v="0.79178082191780819"/>
    <n v="1"/>
    <m/>
    <n v="1"/>
    <n v="1"/>
    <s v="11"/>
    <n v="0.01"/>
    <n v="150000"/>
    <n v="901914.44"/>
    <n v="139950.72591524074"/>
    <n v="751914.44"/>
    <m/>
    <n v="15000000"/>
    <s v="DBK GR Equity"/>
    <x v="87"/>
    <n v="1.8797860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3.4987681478810184E-4"/>
  </r>
  <r>
    <n v="61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00240.6301369863"/>
    <x v="4"/>
    <m/>
    <m/>
    <d v="2017-10-16T00:00:00"/>
    <n v="0.79178082191780819"/>
    <n v="1"/>
    <m/>
    <n v="1"/>
    <n v="1"/>
    <s v="11"/>
    <n v="0.01"/>
    <n v="150000"/>
    <n v="900915.45"/>
    <n v="139795.71190339935"/>
    <n v="750915.45"/>
    <m/>
    <n v="15000000"/>
    <s v="DBK GR Equity"/>
    <x v="87"/>
    <n v="1.87728862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3.494892797584984E-4"/>
  </r>
  <r>
    <n v="61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40385.0082191778"/>
    <x v="4"/>
    <m/>
    <m/>
    <d v="2017-10-16T00:00:00"/>
    <n v="0.79178082191780819"/>
    <n v="1"/>
    <m/>
    <n v="1"/>
    <n v="1"/>
    <s v="11"/>
    <n v="0.01"/>
    <n v="240000"/>
    <n v="1352954.27"/>
    <n v="209938.90752722023"/>
    <n v="1112954.27"/>
    <m/>
    <n v="24000000"/>
    <s v="DBK GR Equity"/>
    <x v="87"/>
    <n v="2.7823856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4000000"/>
    <m/>
    <s v="USD"/>
    <n v="1"/>
    <m/>
    <m/>
    <m/>
    <m/>
    <n v="0"/>
    <n v="0"/>
    <n v="0"/>
    <n v="0"/>
    <n v="0"/>
    <n v="5.2484726881805055E-4"/>
  </r>
  <r>
    <n v="61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40385.0082191778"/>
    <x v="4"/>
    <m/>
    <m/>
    <d v="2017-10-16T00:00:00"/>
    <n v="0.79178082191780819"/>
    <n v="1"/>
    <m/>
    <n v="1"/>
    <n v="1"/>
    <s v="11"/>
    <n v="0.01"/>
    <n v="240000"/>
    <n v="1347160.13"/>
    <n v="209039.82656888172"/>
    <n v="1107160.1299999999"/>
    <m/>
    <n v="24000000"/>
    <s v="DBK GR Equity"/>
    <x v="87"/>
    <n v="2.76790032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4000000"/>
    <m/>
    <s v="USD"/>
    <n v="1"/>
    <m/>
    <m/>
    <m/>
    <m/>
    <n v="0"/>
    <n v="0"/>
    <n v="0"/>
    <n v="0"/>
    <n v="0"/>
    <n v="5.2259956642220428E-4"/>
  </r>
  <r>
    <n v="62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33734.3835616438"/>
    <x v="4"/>
    <m/>
    <m/>
    <d v="2017-10-16T00:00:00"/>
    <n v="0.79178082191780819"/>
    <n v="1"/>
    <m/>
    <n v="1"/>
    <n v="1"/>
    <s v="11"/>
    <n v="0.01"/>
    <n v="250000"/>
    <n v="1536490.38"/>
    <n v="238418.34048336567"/>
    <n v="1286490.3799999999"/>
    <m/>
    <n v="25000000"/>
    <s v="DBK GR Equity"/>
    <x v="87"/>
    <n v="3.216225949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5000000"/>
    <m/>
    <s v="USD"/>
    <n v="1"/>
    <m/>
    <m/>
    <m/>
    <m/>
    <n v="0"/>
    <n v="0"/>
    <n v="0"/>
    <n v="0"/>
    <n v="0"/>
    <n v="5.9604585120841421E-4"/>
  </r>
  <r>
    <n v="62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33734.3835616438"/>
    <x v="4"/>
    <m/>
    <m/>
    <d v="2017-10-16T00:00:00"/>
    <n v="0.79178082191780819"/>
    <n v="1"/>
    <m/>
    <n v="1"/>
    <n v="1"/>
    <s v="11"/>
    <n v="0.01"/>
    <n v="250000"/>
    <n v="1530038.58"/>
    <n v="237417.20993991863"/>
    <n v="1280038.58"/>
    <m/>
    <n v="25000000"/>
    <s v="DBK GR Equity"/>
    <x v="87"/>
    <n v="3.200096450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5000000"/>
    <m/>
    <s v="USD"/>
    <n v="1"/>
    <m/>
    <m/>
    <m/>
    <m/>
    <n v="0"/>
    <n v="0"/>
    <n v="0"/>
    <n v="0"/>
    <n v="0"/>
    <n v="5.9354302484979657E-4"/>
  </r>
  <r>
    <n v="62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93590.0054794522"/>
    <x v="4"/>
    <m/>
    <m/>
    <d v="2017-10-16T00:00:00"/>
    <n v="0.79178082191780819"/>
    <n v="1"/>
    <m/>
    <n v="1"/>
    <n v="1"/>
    <s v="11"/>
    <n v="0.01"/>
    <n v="160000"/>
    <n v="966704.02"/>
    <n v="150004.17261772792"/>
    <n v="806704.02"/>
    <m/>
    <n v="16000000"/>
    <s v="DBK GR Equity"/>
    <x v="87"/>
    <n v="2.0167600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000000"/>
    <m/>
    <s v="USD"/>
    <n v="1"/>
    <m/>
    <m/>
    <m/>
    <m/>
    <n v="0"/>
    <n v="0"/>
    <n v="0"/>
    <n v="0"/>
    <n v="0"/>
    <n v="3.7501043154431981E-4"/>
  </r>
  <r>
    <n v="62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547276.2630136991"/>
    <x v="4"/>
    <m/>
    <m/>
    <d v="2017-10-16T00:00:00"/>
    <n v="0.79178082191780819"/>
    <n v="1"/>
    <m/>
    <n v="1"/>
    <n v="1"/>
    <s v="11"/>
    <n v="0.01"/>
    <n v="380000"/>
    <n v="2133003.54"/>
    <n v="330979.72553003835"/>
    <n v="1753003.54"/>
    <m/>
    <n v="38000000"/>
    <s v="DBK GR Equity"/>
    <x v="87"/>
    <n v="4.382508850000000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8000000"/>
    <m/>
    <s v="USD"/>
    <n v="1"/>
    <m/>
    <m/>
    <m/>
    <m/>
    <n v="0"/>
    <n v="0"/>
    <n v="0"/>
    <n v="0"/>
    <n v="0"/>
    <n v="8.2744931382509586E-4"/>
  </r>
  <r>
    <n v="62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06891.2547945206"/>
    <x v="4"/>
    <m/>
    <m/>
    <d v="2017-10-16T00:00:00"/>
    <n v="0.79178082191780819"/>
    <n v="1"/>
    <m/>
    <n v="1"/>
    <n v="1"/>
    <s v="11"/>
    <n v="0.01"/>
    <n v="140000"/>
    <n v="827800.96"/>
    <n v="128450.4828033723"/>
    <n v="687800.96"/>
    <m/>
    <n v="14000000"/>
    <s v="DBK GR Equity"/>
    <x v="87"/>
    <n v="1.71950239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3.2112620700843077E-4"/>
  </r>
  <r>
    <n v="62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00240.6301369863"/>
    <x v="4"/>
    <m/>
    <m/>
    <d v="2017-10-16T00:00:00"/>
    <n v="0.79178082191780819"/>
    <n v="1"/>
    <m/>
    <n v="1"/>
    <n v="1"/>
    <s v="11"/>
    <n v="0.01"/>
    <n v="150000"/>
    <n v="910655.6"/>
    <n v="141307.09813092591"/>
    <n v="760655.6"/>
    <m/>
    <n v="15000000"/>
    <s v="DBK GR Equity"/>
    <x v="87"/>
    <n v="1.9016389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3.5326774532731478E-4"/>
  </r>
  <r>
    <n v="62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00240.6301369863"/>
    <x v="4"/>
    <m/>
    <m/>
    <d v="2017-10-16T00:00:00"/>
    <n v="0.79178082191780819"/>
    <n v="1"/>
    <m/>
    <n v="1"/>
    <n v="1"/>
    <s v="11"/>
    <n v="0.01"/>
    <n v="150000"/>
    <n v="914401.81"/>
    <n v="141888.40028740425"/>
    <n v="764401.81"/>
    <m/>
    <n v="15000000"/>
    <s v="DBK GR Equity"/>
    <x v="87"/>
    <n v="1.9110045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000000"/>
    <m/>
    <s v="USD"/>
    <n v="1"/>
    <m/>
    <m/>
    <m/>
    <m/>
    <n v="0"/>
    <n v="0"/>
    <n v="0"/>
    <n v="0"/>
    <n v="0"/>
    <n v="3.547210007185106E-4"/>
  </r>
  <r>
    <n v="62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06891.2547945206"/>
    <x v="4"/>
    <m/>
    <m/>
    <d v="2017-10-16T00:00:00"/>
    <n v="0.79178082191780819"/>
    <n v="1"/>
    <m/>
    <n v="1"/>
    <n v="1"/>
    <s v="11"/>
    <n v="0.01"/>
    <n v="140000"/>
    <n v="853092.04"/>
    <n v="132374.91825778241"/>
    <n v="713092.04"/>
    <m/>
    <n v="14000000"/>
    <s v="DBK GR Equity"/>
    <x v="87"/>
    <n v="1.7827301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3.3093729564445603E-4"/>
  </r>
  <r>
    <n v="62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06891.2547945206"/>
    <x v="4"/>
    <m/>
    <m/>
    <d v="2017-10-16T00:00:00"/>
    <n v="0.79178082191780819"/>
    <n v="1"/>
    <m/>
    <n v="1"/>
    <n v="1"/>
    <s v="11"/>
    <n v="0.01"/>
    <n v="140000"/>
    <n v="852858.95"/>
    <n v="132338.74951132838"/>
    <n v="712858.95"/>
    <m/>
    <n v="14000000"/>
    <s v="DBK GR Equity"/>
    <x v="87"/>
    <n v="1.78214737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3.3084687377832095E-4"/>
  </r>
  <r>
    <n v="62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06891.2547945206"/>
    <x v="4"/>
    <m/>
    <m/>
    <d v="2017-10-16T00:00:00"/>
    <n v="0.79178082191780819"/>
    <n v="1"/>
    <m/>
    <n v="1"/>
    <n v="1"/>
    <s v="11"/>
    <n v="0.01"/>
    <n v="140000"/>
    <n v="848779.74"/>
    <n v="131705.77550033381"/>
    <n v="708779.74"/>
    <m/>
    <n v="14000000"/>
    <s v="DBK GR Equity"/>
    <x v="87"/>
    <n v="1.7719493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3.292644387508345E-4"/>
  </r>
  <r>
    <n v="63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06891.2547945206"/>
    <x v="4"/>
    <m/>
    <m/>
    <d v="2017-10-16T00:00:00"/>
    <n v="0.79178082191780819"/>
    <n v="1"/>
    <m/>
    <n v="1"/>
    <n v="1"/>
    <s v="11"/>
    <n v="0.01"/>
    <n v="140000"/>
    <n v="878499.67"/>
    <n v="136317.43886127317"/>
    <n v="738499.67"/>
    <m/>
    <n v="14000000"/>
    <s v="DBK GR Equity"/>
    <x v="87"/>
    <n v="1.84624917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3.407935971531829E-4"/>
  </r>
  <r>
    <n v="63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306891.2547945206"/>
    <x v="4"/>
    <m/>
    <m/>
    <d v="2017-10-16T00:00:00"/>
    <n v="0.79178082191780819"/>
    <n v="1"/>
    <m/>
    <n v="1"/>
    <n v="1"/>
    <s v="11"/>
    <n v="0.01"/>
    <n v="140000"/>
    <n v="875585.95"/>
    <n v="135865.31478937811"/>
    <n v="735585.95"/>
    <m/>
    <n v="14000000"/>
    <s v="DBK GR Equity"/>
    <x v="87"/>
    <n v="1.8389648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"/>
    <m/>
    <s v="USD"/>
    <n v="1"/>
    <m/>
    <m/>
    <m/>
    <m/>
    <n v="0"/>
    <n v="0"/>
    <n v="0"/>
    <n v="0"/>
    <n v="0"/>
    <n v="3.3966328697344531E-4"/>
  </r>
  <r>
    <n v="63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82060.495206669"/>
    <x v="4"/>
    <m/>
    <m/>
    <d v="2017-11-13T00:00:00"/>
    <n v="0.86849315068493149"/>
    <n v="1"/>
    <m/>
    <n v="1"/>
    <n v="1"/>
    <s v="11"/>
    <n v="0.01"/>
    <n v="125209.03910000001"/>
    <n v="486587.77909999999"/>
    <n v="75504.182976081196"/>
    <n v="361378.74"/>
    <m/>
    <n v="12520903.91"/>
    <s v="DBK GR Equity"/>
    <x v="87"/>
    <n v="9.034468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520903.91"/>
    <m/>
    <s v="USD"/>
    <n v="1"/>
    <m/>
    <m/>
    <m/>
    <m/>
    <n v="0"/>
    <n v="0"/>
    <n v="0"/>
    <n v="0"/>
    <n v="0"/>
    <n v="1.8876045744020299E-4"/>
  </r>
  <r>
    <n v="63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367209.9924347978"/>
    <x v="4"/>
    <m/>
    <m/>
    <d v="2017-11-13T00:00:00"/>
    <n v="0.86849315068493149"/>
    <n v="1"/>
    <m/>
    <n v="1"/>
    <n v="1"/>
    <s v="11"/>
    <n v="0.01"/>
    <n v="426511.98499999999"/>
    <n v="1435500.9849999999"/>
    <n v="222747.74190641975"/>
    <n v="1008989"/>
    <m/>
    <n v="42651198.5"/>
    <s v="DBK GR Equity"/>
    <x v="87"/>
    <n v="2.5224725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2651198.5"/>
    <m/>
    <s v="USD"/>
    <n v="1"/>
    <m/>
    <m/>
    <m/>
    <m/>
    <n v="0"/>
    <n v="0"/>
    <n v="0"/>
    <n v="0"/>
    <n v="0"/>
    <n v="5.5686935476604931E-4"/>
  </r>
  <r>
    <n v="63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257578.1622068342"/>
    <x v="4"/>
    <m/>
    <m/>
    <d v="2017-11-13T00:00:00"/>
    <n v="0.86849315068493149"/>
    <n v="1"/>
    <m/>
    <n v="1"/>
    <n v="1"/>
    <s v="11"/>
    <n v="0.01"/>
    <n v="318142.73430000001"/>
    <n v="1317181.1343"/>
    <n v="204387.96379304584"/>
    <n v="999038.4"/>
    <m/>
    <n v="31814273.43"/>
    <s v="DBK GR Equity"/>
    <x v="87"/>
    <n v="2.49759599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1814273.43"/>
    <m/>
    <s v="USD"/>
    <n v="1"/>
    <m/>
    <m/>
    <m/>
    <m/>
    <n v="0"/>
    <n v="0"/>
    <n v="0"/>
    <n v="0"/>
    <n v="0"/>
    <n v="5.1096990948261455E-4"/>
  </r>
  <r>
    <n v="63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447307.6856417232"/>
    <x v="4"/>
    <m/>
    <m/>
    <d v="2017-11-13T00:00:00"/>
    <n v="0.86849315068493149"/>
    <n v="1"/>
    <m/>
    <n v="1"/>
    <n v="1"/>
    <s v="11"/>
    <n v="0.01"/>
    <n v="239009.81649999999"/>
    <n v="820354.14649999992"/>
    <n v="127294.95528450873"/>
    <n v="581344.32999999996"/>
    <m/>
    <n v="23900981.649999999"/>
    <s v="DBK GR Equity"/>
    <x v="87"/>
    <n v="1.45336082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3900981.649999999"/>
    <m/>
    <s v="USD"/>
    <n v="1"/>
    <m/>
    <m/>
    <m/>
    <m/>
    <n v="0"/>
    <n v="0"/>
    <n v="0"/>
    <n v="0"/>
    <n v="0"/>
    <n v="3.1823738821127185E-4"/>
  </r>
  <r>
    <n v="63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86062.206556703"/>
    <x v="4"/>
    <m/>
    <m/>
    <d v="2017-11-13T00:00:00"/>
    <n v="0.86849315068493149"/>
    <n v="1"/>
    <m/>
    <n v="1"/>
    <n v="1"/>
    <s v="11"/>
    <n v="0.01"/>
    <n v="223262.20430000001"/>
    <n v="895533.69429999997"/>
    <n v="138960.62091969865"/>
    <n v="672271.49"/>
    <m/>
    <n v="22326220.43"/>
    <s v="DBK GR Equity"/>
    <x v="87"/>
    <n v="1.6806787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326220.43"/>
    <m/>
    <s v="USD"/>
    <n v="1"/>
    <m/>
    <m/>
    <m/>
    <m/>
    <n v="0"/>
    <n v="0"/>
    <n v="0"/>
    <n v="0"/>
    <n v="0"/>
    <n v="3.474015522992466E-4"/>
  </r>
  <r>
    <n v="63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277262.5144369034"/>
    <x v="4"/>
    <m/>
    <m/>
    <d v="2017-11-13T00:00:00"/>
    <n v="0.86849315068493149"/>
    <n v="1"/>
    <m/>
    <n v="1"/>
    <n v="1"/>
    <s v="11"/>
    <n v="0.01"/>
    <n v="222402.8057"/>
    <n v="808734.43570000003"/>
    <n v="125491.91622751665"/>
    <n v="586331.63"/>
    <m/>
    <n v="22240280.57"/>
    <s v="DBK GR Equity"/>
    <x v="87"/>
    <n v="1.4658290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2240280.57"/>
    <m/>
    <s v="USD"/>
    <n v="1"/>
    <m/>
    <m/>
    <m/>
    <m/>
    <n v="0"/>
    <n v="0"/>
    <n v="0"/>
    <n v="0"/>
    <n v="0"/>
    <n v="3.1372979056879159E-4"/>
  </r>
  <r>
    <n v="63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47824.7481137377"/>
    <x v="4"/>
    <m/>
    <m/>
    <d v="2017-11-13T00:00:00"/>
    <n v="0.86849315068493149"/>
    <n v="1"/>
    <m/>
    <n v="1"/>
    <n v="1"/>
    <s v="11"/>
    <n v="0.01"/>
    <n v="190229.1397"/>
    <n v="890570.92969999998"/>
    <n v="138190.54509264295"/>
    <n v="700341.79"/>
    <m/>
    <n v="19022913.969999999"/>
    <s v="DBK GR Equity"/>
    <x v="87"/>
    <n v="1.75085447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9022913.969999999"/>
    <m/>
    <s v="USD"/>
    <n v="1"/>
    <m/>
    <m/>
    <m/>
    <m/>
    <n v="0"/>
    <n v="0"/>
    <n v="0"/>
    <n v="0"/>
    <n v="0"/>
    <n v="3.4547636273160739E-4"/>
  </r>
  <r>
    <n v="63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48077.4166224906"/>
    <x v="4"/>
    <m/>
    <m/>
    <d v="2017-11-13T00:00:00"/>
    <n v="0.86849315068493149"/>
    <n v="1"/>
    <m/>
    <n v="1"/>
    <n v="1"/>
    <s v="11"/>
    <n v="0.01"/>
    <n v="190253.81590000002"/>
    <n v="893063.22590000008"/>
    <n v="138577.27652404772"/>
    <n v="702809.41"/>
    <m/>
    <n v="19025381.59"/>
    <s v="DBK GR Equity"/>
    <x v="87"/>
    <n v="1.7570235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9025381.59"/>
    <m/>
    <s v="USD"/>
    <n v="1"/>
    <m/>
    <m/>
    <m/>
    <m/>
    <n v="0"/>
    <n v="0"/>
    <n v="0"/>
    <n v="0"/>
    <n v="0"/>
    <n v="3.4644319131011927E-4"/>
  </r>
  <r>
    <n v="64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45049.7093839869"/>
    <x v="4"/>
    <m/>
    <m/>
    <d v="2017-11-13T00:00:00"/>
    <n v="0.86849315068493149"/>
    <n v="1"/>
    <m/>
    <n v="1"/>
    <n v="1"/>
    <s v="11"/>
    <n v="0.01"/>
    <n v="189958.12289999999"/>
    <n v="863198.23289999994"/>
    <n v="133943.10363088103"/>
    <n v="673240.11"/>
    <m/>
    <n v="18995812.289999999"/>
    <s v="DBK GR Equity"/>
    <x v="87"/>
    <n v="1.6831002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995812.289999999"/>
    <m/>
    <s v="USD"/>
    <n v="1"/>
    <m/>
    <m/>
    <m/>
    <m/>
    <n v="0"/>
    <n v="0"/>
    <n v="0"/>
    <n v="0"/>
    <n v="0"/>
    <n v="3.3485775907720255E-4"/>
  </r>
  <r>
    <n v="64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50709.8227706545"/>
    <x v="4"/>
    <m/>
    <m/>
    <d v="2017-11-13T00:00:00"/>
    <n v="0.86849315068493149"/>
    <n v="1"/>
    <m/>
    <n v="1"/>
    <n v="1"/>
    <s v="11"/>
    <n v="0.01"/>
    <n v="180744.66800000001"/>
    <n v="765483.47800000012"/>
    <n v="118780.63336276468"/>
    <n v="584738.81000000006"/>
    <m/>
    <n v="18074466.800000001"/>
    <s v="DBK GR Equity"/>
    <x v="87"/>
    <n v="1.46184702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74466.800000001"/>
    <m/>
    <s v="USD"/>
    <n v="1"/>
    <m/>
    <m/>
    <m/>
    <m/>
    <n v="0"/>
    <n v="0"/>
    <n v="0"/>
    <n v="0"/>
    <n v="0"/>
    <n v="2.969515834069117E-4"/>
  </r>
  <r>
    <n v="64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48895.7142384388"/>
    <x v="4"/>
    <m/>
    <m/>
    <d v="2017-11-13T00:00:00"/>
    <n v="0.86849315068493149"/>
    <n v="1"/>
    <m/>
    <n v="1"/>
    <n v="1"/>
    <s v="11"/>
    <n v="0.01"/>
    <n v="180567.49789999999"/>
    <n v="747589.29790000001"/>
    <n v="116003.98029725542"/>
    <n v="567021.80000000005"/>
    <m/>
    <n v="18056749.789999999"/>
    <s v="DBK GR Equity"/>
    <x v="87"/>
    <n v="1.4175545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56749.789999999"/>
    <m/>
    <s v="USD"/>
    <n v="1"/>
    <m/>
    <m/>
    <m/>
    <m/>
    <n v="0"/>
    <n v="0"/>
    <n v="0"/>
    <n v="0"/>
    <n v="0"/>
    <n v="2.9000995074313855E-4"/>
  </r>
  <r>
    <n v="64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42084.9093678563"/>
    <x v="4"/>
    <m/>
    <m/>
    <d v="2017-11-13T00:00:00"/>
    <n v="0.86849315068493149"/>
    <n v="1"/>
    <m/>
    <n v="1"/>
    <n v="1"/>
    <s v="11"/>
    <n v="0.01"/>
    <n v="179902.33870000002"/>
    <n v="680408.21870000008"/>
    <n v="105579.44290786705"/>
    <n v="500505.88"/>
    <m/>
    <n v="17990233.870000001"/>
    <s v="DBK GR Equity"/>
    <x v="87"/>
    <n v="1.251264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990233.870000001"/>
    <m/>
    <s v="USD"/>
    <n v="1"/>
    <m/>
    <m/>
    <m/>
    <m/>
    <n v="0"/>
    <n v="0"/>
    <n v="0"/>
    <n v="0"/>
    <n v="0"/>
    <n v="2.6394860726966762E-4"/>
  </r>
  <r>
    <n v="64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37284.3295499359"/>
    <x v="4"/>
    <m/>
    <m/>
    <d v="2017-11-13T00:00:00"/>
    <n v="0.86849315068493149"/>
    <n v="1"/>
    <m/>
    <n v="1"/>
    <n v="1"/>
    <s v="11"/>
    <n v="0.01"/>
    <n v="179433.50280000002"/>
    <n v="633055.79279999994"/>
    <n v="98231.732210882692"/>
    <n v="453622.29"/>
    <m/>
    <n v="17943350.280000001"/>
    <s v="DBK GR Equity"/>
    <x v="87"/>
    <n v="1.1340557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943350.280000001"/>
    <m/>
    <s v="USD"/>
    <n v="1"/>
    <m/>
    <m/>
    <m/>
    <m/>
    <n v="0"/>
    <n v="0"/>
    <n v="0"/>
    <n v="0"/>
    <n v="0"/>
    <n v="2.4557933052720673E-4"/>
  </r>
  <r>
    <n v="64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37127.3570809276"/>
    <x v="4"/>
    <m/>
    <m/>
    <d v="2017-11-13T00:00:00"/>
    <n v="0.86849315068493149"/>
    <n v="1"/>
    <m/>
    <n v="1"/>
    <n v="1"/>
    <s v="11"/>
    <n v="0.01"/>
    <n v="179418.17250000002"/>
    <n v="631507.4325"/>
    <n v="97991.472006197044"/>
    <n v="452089.26"/>
    <m/>
    <n v="17941817.25"/>
    <s v="DBK GR Equity"/>
    <x v="87"/>
    <n v="1.13022315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941817.25"/>
    <m/>
    <s v="USD"/>
    <n v="1"/>
    <m/>
    <m/>
    <m/>
    <m/>
    <n v="0"/>
    <n v="0"/>
    <n v="0"/>
    <n v="0"/>
    <n v="0"/>
    <n v="2.4497868001549262E-4"/>
  </r>
  <r>
    <n v="64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43111.2291457863"/>
    <x v="4"/>
    <m/>
    <m/>
    <d v="2017-11-13T00:00:00"/>
    <n v="0.86849315068493149"/>
    <n v="1"/>
    <m/>
    <n v="1"/>
    <n v="1"/>
    <s v="11"/>
    <n v="0.01"/>
    <n v="180002.57149999999"/>
    <n v="690531.73149999999"/>
    <n v="107150.31582256639"/>
    <n v="510529.16"/>
    <m/>
    <n v="18000257.149999999"/>
    <s v="DBK GR Equity"/>
    <x v="87"/>
    <n v="1.276322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00257.149999999"/>
    <m/>
    <s v="USD"/>
    <n v="1"/>
    <m/>
    <m/>
    <m/>
    <m/>
    <n v="0"/>
    <n v="0"/>
    <n v="0"/>
    <n v="0"/>
    <n v="0"/>
    <n v="2.6787578955641601E-4"/>
  </r>
  <r>
    <n v="64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53038.3618964793"/>
    <x v="4"/>
    <m/>
    <m/>
    <d v="2017-11-13T00:00:00"/>
    <n v="0.86849315068493149"/>
    <n v="1"/>
    <m/>
    <n v="1"/>
    <n v="1"/>
    <s v="11"/>
    <n v="0.01"/>
    <n v="180972.07860000001"/>
    <n v="788451.9486"/>
    <n v="122344.66781112416"/>
    <n v="607479.87"/>
    <m/>
    <n v="18097207.859999999"/>
    <s v="DBK GR Equity"/>
    <x v="87"/>
    <n v="1.5186996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097207.859999999"/>
    <m/>
    <s v="USD"/>
    <n v="1"/>
    <m/>
    <m/>
    <m/>
    <m/>
    <n v="0"/>
    <n v="0"/>
    <n v="0"/>
    <n v="0"/>
    <n v="0"/>
    <n v="3.0586166952781041E-4"/>
  </r>
  <r>
    <n v="64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33198.3017970072"/>
    <x v="4"/>
    <m/>
    <m/>
    <d v="2017-11-13T00:00:00"/>
    <n v="0.86849315068493149"/>
    <n v="1"/>
    <m/>
    <n v="1"/>
    <n v="1"/>
    <s v="11"/>
    <n v="0.01"/>
    <n v="188800.68660000002"/>
    <n v="746297.1666"/>
    <n v="115803.47933464438"/>
    <n v="557496.48"/>
    <m/>
    <n v="18880068.66"/>
    <s v="DBK GR Equity"/>
    <x v="87"/>
    <n v="1.3937412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880068.66"/>
    <m/>
    <s v="USD"/>
    <n v="1"/>
    <m/>
    <m/>
    <m/>
    <m/>
    <n v="0"/>
    <n v="0"/>
    <n v="0"/>
    <n v="0"/>
    <n v="0"/>
    <n v="2.8950869833661093E-4"/>
  </r>
  <r>
    <n v="64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36688.579315817"/>
    <x v="4"/>
    <m/>
    <m/>
    <d v="2017-11-13T00:00:00"/>
    <n v="0.86849315068493149"/>
    <n v="1"/>
    <m/>
    <n v="1"/>
    <n v="1"/>
    <s v="11"/>
    <n v="0.01"/>
    <n v="189141.55530000001"/>
    <n v="780724.90529999998"/>
    <n v="121145.65682842662"/>
    <n v="591583.35"/>
    <m/>
    <n v="18914155.530000001"/>
    <s v="DBK GR Equity"/>
    <x v="87"/>
    <n v="1.478958374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914155.530000001"/>
    <m/>
    <s v="USD"/>
    <n v="1"/>
    <m/>
    <m/>
    <m/>
    <m/>
    <n v="0"/>
    <n v="0"/>
    <n v="0"/>
    <n v="0"/>
    <n v="0"/>
    <n v="3.0286414207106657E-4"/>
  </r>
  <r>
    <n v="65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26050.4567736664"/>
    <x v="4"/>
    <m/>
    <m/>
    <d v="2017-11-13T00:00:00"/>
    <n v="0.86849315068493149"/>
    <n v="1"/>
    <m/>
    <n v="1"/>
    <n v="1"/>
    <s v="11"/>
    <n v="0.01"/>
    <n v="178336.37640000001"/>
    <n v="522246.02640000003"/>
    <n v="81037.299392867004"/>
    <n v="343909.65"/>
    <m/>
    <n v="17833637.640000001"/>
    <s v="DBK GR Equity"/>
    <x v="87"/>
    <n v="8.597741250000000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7833637.640000001"/>
    <m/>
    <s v="USD"/>
    <n v="1"/>
    <m/>
    <m/>
    <m/>
    <m/>
    <n v="0"/>
    <n v="0"/>
    <n v="0"/>
    <n v="0"/>
    <n v="0"/>
    <n v="2.025932484821675E-4"/>
  </r>
  <r>
    <n v="65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16076.0745194438"/>
    <x v="4"/>
    <m/>
    <m/>
    <d v="2017-11-13T00:00:00"/>
    <n v="0.86849315068493149"/>
    <n v="1"/>
    <m/>
    <n v="1"/>
    <n v="1"/>
    <s v="11"/>
    <n v="0.01"/>
    <n v="118764.8456"/>
    <n v="335430.74560000002"/>
    <n v="52049.035095846171"/>
    <n v="216665.9"/>
    <m/>
    <n v="11876484.560000001"/>
    <s v="DBK GR Equity"/>
    <x v="87"/>
    <n v="5.41664750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876484.560000001"/>
    <m/>
    <s v="USD"/>
    <n v="1"/>
    <m/>
    <m/>
    <m/>
    <m/>
    <n v="0"/>
    <n v="0"/>
    <n v="0"/>
    <n v="0"/>
    <n v="0"/>
    <n v="1.3012258773961542E-4"/>
  </r>
  <r>
    <n v="65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25680.2298551553"/>
    <x v="4"/>
    <m/>
    <m/>
    <d v="2017-11-13T00:00:00"/>
    <n v="0.86849315068493149"/>
    <n v="1"/>
    <m/>
    <n v="1"/>
    <n v="1"/>
    <s v="11"/>
    <n v="0.01"/>
    <n v="109936.5751"/>
    <n v="276619.6151"/>
    <n v="42923.268792147828"/>
    <n v="166683.04"/>
    <m/>
    <n v="10993657.51"/>
    <s v="DBK GR Equity"/>
    <x v="87"/>
    <n v="4.167076000000000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993657.51"/>
    <m/>
    <s v="USD"/>
    <n v="1"/>
    <m/>
    <m/>
    <m/>
    <m/>
    <n v="0"/>
    <n v="0"/>
    <n v="0"/>
    <n v="0"/>
    <n v="0"/>
    <n v="1.0730817198036957E-4"/>
  </r>
  <r>
    <n v="65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25756.390218911"/>
    <x v="4"/>
    <m/>
    <m/>
    <d v="2017-11-13T00:00:00"/>
    <n v="0.86849315068493149"/>
    <n v="1"/>
    <m/>
    <n v="1"/>
    <n v="1"/>
    <s v="11"/>
    <n v="0.01"/>
    <n v="109944.01310000001"/>
    <n v="277370.85310000001"/>
    <n v="43039.838944229123"/>
    <n v="167426.84"/>
    <m/>
    <n v="10994401.310000001"/>
    <s v="DBK GR Equity"/>
    <x v="87"/>
    <n v="4.1856709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994401.310000001"/>
    <m/>
    <s v="USD"/>
    <n v="1"/>
    <m/>
    <m/>
    <m/>
    <m/>
    <n v="0"/>
    <n v="0"/>
    <n v="0"/>
    <n v="0"/>
    <n v="0"/>
    <n v="1.075995973605728E-4"/>
  </r>
  <r>
    <n v="65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23589.8295854665"/>
    <x v="4"/>
    <m/>
    <m/>
    <d v="2017-11-13T00:00:00"/>
    <n v="0.86849315068493149"/>
    <n v="1"/>
    <m/>
    <n v="1"/>
    <n v="1"/>
    <s v="11"/>
    <n v="0.01"/>
    <n v="109732.42170000001"/>
    <n v="256000.12170000002"/>
    <n v="39723.726860726361"/>
    <n v="146267.70000000001"/>
    <m/>
    <n v="10973242.17"/>
    <s v="DBK GR Equity"/>
    <x v="87"/>
    <n v="3.65669250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973242.17"/>
    <m/>
    <s v="USD"/>
    <n v="1"/>
    <m/>
    <m/>
    <m/>
    <m/>
    <n v="0"/>
    <n v="0"/>
    <n v="0"/>
    <n v="0"/>
    <n v="0"/>
    <n v="9.9309317151815898E-5"/>
  </r>
  <r>
    <n v="65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103410.4014078216"/>
    <x v="4"/>
    <m/>
    <m/>
    <d v="2017-12-18T00:00:00"/>
    <n v="0.96438356164383565"/>
    <n v="1"/>
    <m/>
    <n v="1"/>
    <n v="1"/>
    <s v="11"/>
    <n v="0.01"/>
    <n v="184998.31820000001"/>
    <n v="352539.32819999999"/>
    <n v="54703.786420429526"/>
    <n v="167541.01"/>
    <m/>
    <n v="18499831.82"/>
    <s v="DBK GR Equity"/>
    <x v="87"/>
    <n v="4.1885252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8499831.82"/>
    <m/>
    <s v="USD"/>
    <n v="1"/>
    <m/>
    <m/>
    <m/>
    <m/>
    <n v="0"/>
    <n v="0"/>
    <n v="0"/>
    <n v="0"/>
    <n v="0"/>
    <n v="1.3675946605107381E-4"/>
  </r>
  <r>
    <n v="65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548251.9411877261"/>
    <x v="4"/>
    <m/>
    <m/>
    <d v="2017-01-18T00:00:00"/>
    <n v="4.9315068493150684E-2"/>
    <n v="1"/>
    <m/>
    <n v="1"/>
    <n v="1"/>
    <s v="11"/>
    <n v="0.01"/>
    <n v="942961.8"/>
    <n v="3626538.3499999996"/>
    <n v="562732.61867495917"/>
    <n v="2683576.5499999998"/>
    <m/>
    <n v="94296180"/>
    <s v="DBK GR Equity"/>
    <x v="88"/>
    <n v="6.7089413749999993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94296180"/>
    <m/>
    <s v="USD"/>
    <n v="1"/>
    <m/>
    <m/>
    <m/>
    <m/>
    <n v="0"/>
    <n v="0"/>
    <n v="0"/>
    <n v="0"/>
    <n v="0"/>
    <n v="1.4068315466873979E-3"/>
  </r>
  <r>
    <n v="65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6649.58469041098"/>
    <x v="4"/>
    <m/>
    <m/>
    <d v="2017-01-18T00:00:00"/>
    <n v="4.9315068493150684E-2"/>
    <n v="1"/>
    <m/>
    <n v="1"/>
    <n v="1"/>
    <s v="11"/>
    <n v="0.01"/>
    <n v="217830"/>
    <n v="1179783.76"/>
    <n v="183067.91233435864"/>
    <n v="961953.76"/>
    <m/>
    <n v="21783000"/>
    <s v="DBK GR Equity"/>
    <x v="88"/>
    <n v="2.4048844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783000"/>
    <m/>
    <s v="USD"/>
    <n v="1"/>
    <m/>
    <m/>
    <m/>
    <m/>
    <n v="0"/>
    <n v="0"/>
    <n v="0"/>
    <n v="0"/>
    <n v="0"/>
    <n v="4.576697808358966E-4"/>
  </r>
  <r>
    <n v="65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6911.22134794523"/>
    <x v="4"/>
    <m/>
    <m/>
    <d v="2017-01-18T00:00:00"/>
    <n v="4.9315068493150684E-2"/>
    <n v="1"/>
    <m/>
    <n v="1"/>
    <n v="1"/>
    <s v="11"/>
    <n v="0.01"/>
    <n v="218280"/>
    <n v="1225233.76"/>
    <n v="190120.42220752098"/>
    <n v="1006953.76"/>
    <m/>
    <n v="21828000"/>
    <s v="DBK GR Equity"/>
    <x v="88"/>
    <n v="2.51738439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828000"/>
    <m/>
    <s v="USD"/>
    <n v="1"/>
    <m/>
    <m/>
    <m/>
    <m/>
    <n v="0"/>
    <n v="0"/>
    <n v="0"/>
    <n v="0"/>
    <n v="0"/>
    <n v="4.7530105551880247E-4"/>
  </r>
  <r>
    <n v="65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88810.749385841104"/>
    <x v="4"/>
    <m/>
    <m/>
    <d v="2017-01-18T00:00:00"/>
    <n v="4.9315068493150684E-2"/>
    <n v="1"/>
    <m/>
    <n v="1"/>
    <n v="1"/>
    <s v="11"/>
    <n v="0.01"/>
    <n v="152749.38"/>
    <n v="852955.01"/>
    <n v="132353.6552120636"/>
    <n v="700205.63"/>
    <m/>
    <n v="15274938"/>
    <s v="DBK GR Equity"/>
    <x v="88"/>
    <n v="1.75051407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5274938"/>
    <m/>
    <s v="USD"/>
    <n v="1"/>
    <m/>
    <m/>
    <m/>
    <m/>
    <n v="0"/>
    <n v="0"/>
    <n v="0"/>
    <n v="0"/>
    <n v="0"/>
    <n v="3.3088413803015901E-4"/>
  </r>
  <r>
    <n v="66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5289.0740712329"/>
    <x v="4"/>
    <m/>
    <m/>
    <d v="2017-01-18T00:00:00"/>
    <n v="4.9315068493150684E-2"/>
    <n v="1"/>
    <m/>
    <n v="1"/>
    <n v="1"/>
    <s v="11"/>
    <n v="0.01"/>
    <n v="215490"/>
    <n v="943443.76"/>
    <n v="146394.86099391442"/>
    <n v="727953.76"/>
    <m/>
    <n v="21549000"/>
    <s v="DBK GR Equity"/>
    <x v="88"/>
    <n v="1.8198844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1549000"/>
    <m/>
    <s v="USD"/>
    <n v="1"/>
    <m/>
    <m/>
    <m/>
    <m/>
    <n v="0"/>
    <n v="0"/>
    <n v="0"/>
    <n v="0"/>
    <n v="0"/>
    <n v="3.6598715248478605E-4"/>
  </r>
  <r>
    <n v="66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9145.61278641097"/>
    <x v="4"/>
    <m/>
    <m/>
    <d v="2017-01-18T00:00:00"/>
    <n v="4.9315068493150684E-2"/>
    <n v="1"/>
    <m/>
    <n v="1"/>
    <n v="1"/>
    <s v="11"/>
    <n v="0.01"/>
    <n v="204923.6"/>
    <n v="1264307.1100000001"/>
    <n v="196183.46261791766"/>
    <n v="1059383.51"/>
    <m/>
    <n v="20492360"/>
    <s v="DBK GR Equity"/>
    <x v="88"/>
    <n v="2.64845877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492360"/>
    <m/>
    <s v="USD"/>
    <n v="1"/>
    <m/>
    <m/>
    <m/>
    <m/>
    <n v="0"/>
    <n v="0"/>
    <n v="0"/>
    <n v="0"/>
    <n v="0"/>
    <n v="4.9045865654479416E-4"/>
  </r>
  <r>
    <n v="66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8922.58207123292"/>
    <x v="4"/>
    <m/>
    <m/>
    <d v="2017-01-18T00:00:00"/>
    <n v="4.9315068493150684E-2"/>
    <n v="1"/>
    <m/>
    <n v="1"/>
    <n v="1"/>
    <s v="11"/>
    <n v="0.01"/>
    <n v="204540"/>
    <n v="1225563.51"/>
    <n v="190171.5897571508"/>
    <n v="1021023.51"/>
    <m/>
    <n v="20454000"/>
    <s v="DBK GR Equity"/>
    <x v="88"/>
    <n v="2.552558774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454000"/>
    <m/>
    <s v="USD"/>
    <n v="1"/>
    <m/>
    <m/>
    <m/>
    <m/>
    <n v="0"/>
    <n v="0"/>
    <n v="0"/>
    <n v="0"/>
    <n v="0"/>
    <n v="4.75428974392877E-4"/>
  </r>
  <r>
    <n v="66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10533.92941589042"/>
    <x v="4"/>
    <m/>
    <m/>
    <d v="2017-01-18T00:00:00"/>
    <n v="4.9315068493150684E-2"/>
    <n v="1"/>
    <m/>
    <n v="1"/>
    <n v="1"/>
    <s v="11"/>
    <n v="0.01"/>
    <n v="190112"/>
    <n v="1156405.26"/>
    <n v="179440.25332292353"/>
    <n v="966293.26"/>
    <m/>
    <n v="19011200"/>
    <s v="DBK GR Equity"/>
    <x v="88"/>
    <n v="2.4157331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9011200"/>
    <m/>
    <s v="USD"/>
    <n v="1"/>
    <m/>
    <m/>
    <m/>
    <m/>
    <n v="0"/>
    <n v="0"/>
    <n v="0"/>
    <n v="0"/>
    <n v="0"/>
    <n v="4.4860063330730884E-4"/>
  </r>
  <r>
    <n v="66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36058.79094904126"/>
    <x v="4"/>
    <m/>
    <m/>
    <d v="2017-02-15T00:00:00"/>
    <n v="0.12602739726027398"/>
    <n v="1"/>
    <m/>
    <n v="1"/>
    <n v="1"/>
    <s v="11"/>
    <n v="0.01"/>
    <n v="495383"/>
    <n v="1494677.9"/>
    <n v="231930.26725957243"/>
    <n v="999294.9"/>
    <m/>
    <n v="49538300"/>
    <s v="DBK GR Equity"/>
    <x v="88"/>
    <n v="2.49823725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9538300"/>
    <m/>
    <s v="USD"/>
    <n v="1"/>
    <m/>
    <m/>
    <m/>
    <m/>
    <n v="0"/>
    <n v="0"/>
    <n v="0"/>
    <n v="0"/>
    <n v="0"/>
    <n v="5.7982566814893111E-4"/>
  </r>
  <r>
    <n v="66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35861.17452054808"/>
    <x v="4"/>
    <m/>
    <m/>
    <d v="2017-02-15T00:00:00"/>
    <n v="0.12602739726027398"/>
    <n v="1"/>
    <m/>
    <n v="1"/>
    <n v="1"/>
    <s v="11"/>
    <n v="0.01"/>
    <n v="495250"/>
    <n v="1481244.9"/>
    <n v="229845.85878594889"/>
    <n v="985994.9"/>
    <m/>
    <n v="49525000"/>
    <s v="DBK GR Equity"/>
    <x v="88"/>
    <n v="2.4649872499999999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9525000"/>
    <m/>
    <s v="USD"/>
    <n v="1"/>
    <m/>
    <m/>
    <m/>
    <m/>
    <n v="0"/>
    <n v="0"/>
    <n v="0"/>
    <n v="0"/>
    <n v="0"/>
    <n v="5.7461464696487218E-4"/>
  </r>
  <r>
    <n v="66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26682.53152876714"/>
    <x v="4"/>
    <m/>
    <m/>
    <d v="2017-02-15T00:00:00"/>
    <n v="0.12602739726027398"/>
    <n v="1"/>
    <m/>
    <n v="1"/>
    <n v="1"/>
    <s v="11"/>
    <n v="0.01"/>
    <n v="85260"/>
    <n v="290287.7"/>
    <n v="45044.15556232322"/>
    <n v="205027.7"/>
    <m/>
    <n v="8526000"/>
    <s v="DBK GR Equity"/>
    <x v="88"/>
    <n v="5.12569250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526000"/>
    <m/>
    <s v="USD"/>
    <n v="1"/>
    <m/>
    <m/>
    <m/>
    <m/>
    <n v="0"/>
    <n v="0"/>
    <n v="0"/>
    <n v="0"/>
    <n v="0"/>
    <n v="1.1261038890580805E-4"/>
  </r>
  <r>
    <n v="66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1334.30624000003"/>
    <x v="4"/>
    <m/>
    <m/>
    <d v="2017-02-15T00:00:00"/>
    <n v="0.12602739726027398"/>
    <n v="1"/>
    <m/>
    <n v="1"/>
    <n v="1"/>
    <s v="11"/>
    <n v="0.01"/>
    <n v="128772"/>
    <n v="524513.55000000005"/>
    <n v="81389.152694883043"/>
    <n v="395741.55"/>
    <m/>
    <n v="12877200"/>
    <s v="DBK GR Equity"/>
    <x v="88"/>
    <n v="9.893538749999998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877200"/>
    <m/>
    <s v="USD"/>
    <n v="1"/>
    <m/>
    <m/>
    <m/>
    <m/>
    <n v="0"/>
    <n v="0"/>
    <n v="0"/>
    <n v="0"/>
    <n v="0"/>
    <n v="2.0347288173720761E-4"/>
  </r>
  <r>
    <n v="66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69171.54949260279"/>
    <x v="4"/>
    <m/>
    <m/>
    <d v="2017-02-15T00:00:00"/>
    <n v="0.12602739726027398"/>
    <n v="1"/>
    <m/>
    <n v="1"/>
    <n v="1"/>
    <s v="11"/>
    <n v="0.01"/>
    <n v="113856"/>
    <n v="404826.26"/>
    <n v="62817.188021240669"/>
    <n v="290970.26"/>
    <m/>
    <n v="11385600"/>
    <s v="DBK GR Equity"/>
    <x v="88"/>
    <n v="7.274256499999999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1385600"/>
    <m/>
    <s v="USD"/>
    <n v="1"/>
    <m/>
    <m/>
    <m/>
    <m/>
    <n v="0"/>
    <n v="0"/>
    <n v="0"/>
    <n v="0"/>
    <n v="0"/>
    <n v="1.5704297005310168E-4"/>
  </r>
  <r>
    <n v="66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0905.43353978085"/>
    <x v="4"/>
    <m/>
    <m/>
    <d v="2017-02-15T00:00:00"/>
    <n v="0.12602739726027398"/>
    <n v="1"/>
    <m/>
    <n v="1"/>
    <n v="1"/>
    <s v="11"/>
    <n v="0.01"/>
    <n v="121753.15000000001"/>
    <n v="509024.05000000005"/>
    <n v="78985.635606206502"/>
    <n v="387270.9"/>
    <m/>
    <n v="12175315"/>
    <s v="DBK GR Equity"/>
    <x v="88"/>
    <n v="9.6817725000000006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2175315"/>
    <m/>
    <s v="USD"/>
    <n v="1"/>
    <m/>
    <m/>
    <m/>
    <m/>
    <n v="0"/>
    <n v="0"/>
    <n v="0"/>
    <n v="0"/>
    <n v="0"/>
    <n v="1.9746408901551626E-4"/>
  </r>
  <r>
    <n v="67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962099.93949978088"/>
    <x v="4"/>
    <m/>
    <m/>
    <d v="2017-03-15T00:00:00"/>
    <n v="0.20273972602739726"/>
    <n v="1"/>
    <m/>
    <n v="1"/>
    <n v="1"/>
    <s v="11"/>
    <n v="0.01"/>
    <n v="402508.35000000003"/>
    <n v="1160330.27"/>
    <n v="180049.30000669163"/>
    <n v="757821.92"/>
    <m/>
    <n v="40250835"/>
    <s v="DBK GR Equity"/>
    <x v="88"/>
    <n v="1.894554800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0250835"/>
    <m/>
    <s v="USD"/>
    <n v="1"/>
    <m/>
    <m/>
    <m/>
    <m/>
    <n v="0"/>
    <n v="0"/>
    <n v="0"/>
    <n v="0"/>
    <n v="0"/>
    <n v="4.5012325001672908E-4"/>
  </r>
  <r>
    <n v="67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90747.55668701371"/>
    <x v="4"/>
    <m/>
    <m/>
    <d v="2017-03-15T00:00:00"/>
    <n v="0.20273972602739726"/>
    <n v="1"/>
    <m/>
    <n v="1"/>
    <n v="1"/>
    <s v="11"/>
    <n v="0.01"/>
    <n v="205311.30000000002"/>
    <n v="643504.82000000007"/>
    <n v="99853.115434049745"/>
    <n v="438193.52"/>
    <m/>
    <n v="20531130"/>
    <s v="DBK GR Equity"/>
    <x v="88"/>
    <n v="1.095483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20531130"/>
    <m/>
    <s v="USD"/>
    <n v="1"/>
    <m/>
    <m/>
    <m/>
    <m/>
    <n v="0"/>
    <n v="0"/>
    <n v="0"/>
    <n v="0"/>
    <n v="0"/>
    <n v="2.4963278858512435E-4"/>
  </r>
  <r>
    <n v="67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55793.134110685"/>
    <x v="4"/>
    <m/>
    <m/>
    <d v="2017-03-15T00:00:00"/>
    <n v="0.20273972602739726"/>
    <n v="1"/>
    <m/>
    <n v="1"/>
    <n v="1"/>
    <s v="11"/>
    <n v="0.01"/>
    <n v="609052"/>
    <n v="1928302.44"/>
    <n v="299216.1055345005"/>
    <n v="1319250.44"/>
    <m/>
    <n v="60905200"/>
    <s v="DBK GR Equity"/>
    <x v="88"/>
    <n v="3.2981260999999998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60905200"/>
    <m/>
    <s v="USD"/>
    <n v="1"/>
    <m/>
    <m/>
    <m/>
    <m/>
    <n v="0"/>
    <n v="0"/>
    <n v="0"/>
    <n v="0"/>
    <n v="0"/>
    <n v="7.480402638362513E-4"/>
  </r>
  <r>
    <n v="67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351213.5211309595"/>
    <x v="4"/>
    <m/>
    <m/>
    <d v="2017-03-15T00:00:00"/>
    <n v="0.20273972602739726"/>
    <n v="1"/>
    <m/>
    <n v="1"/>
    <n v="1"/>
    <s v="11"/>
    <n v="0.01"/>
    <n v="983664"/>
    <n v="3735400.75"/>
    <n v="579624.87721876882"/>
    <n v="2751736.75"/>
    <m/>
    <n v="98366400"/>
    <s v="DBK GR Equity"/>
    <x v="88"/>
    <n v="6.8793418750000002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98366400"/>
    <m/>
    <s v="USD"/>
    <n v="1"/>
    <m/>
    <m/>
    <m/>
    <m/>
    <n v="0"/>
    <n v="0"/>
    <n v="0"/>
    <n v="0"/>
    <n v="0"/>
    <n v="1.4490621930469221E-3"/>
  </r>
  <r>
    <n v="67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2018038.5536526032"/>
    <x v="4"/>
    <m/>
    <m/>
    <d v="2017-05-17T00:00:00"/>
    <n v="0.37534246575342467"/>
    <n v="1"/>
    <m/>
    <n v="1"/>
    <n v="1"/>
    <s v="11"/>
    <n v="0.01"/>
    <n v="456032"/>
    <n v="1796270.17"/>
    <n v="278728.56124954921"/>
    <n v="1340238.17"/>
    <m/>
    <n v="45603200"/>
    <s v="DBK GR Equity"/>
    <x v="88"/>
    <n v="3.350595424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5603200"/>
    <m/>
    <s v="USD"/>
    <n v="1"/>
    <m/>
    <m/>
    <m/>
    <m/>
    <n v="0"/>
    <n v="0"/>
    <n v="0"/>
    <n v="0"/>
    <n v="0"/>
    <n v="6.9682140312387307E-4"/>
  </r>
  <r>
    <n v="67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723620.411763474"/>
    <x v="4"/>
    <m/>
    <m/>
    <d v="2017-05-17T00:00:00"/>
    <n v="0.37534246575342467"/>
    <n v="1"/>
    <m/>
    <n v="1"/>
    <n v="1"/>
    <s v="11"/>
    <n v="0.01"/>
    <n v="163522.18"/>
    <n v="608738.27"/>
    <n v="94458.364342063112"/>
    <n v="445216.09"/>
    <m/>
    <n v="16352218"/>
    <s v="DBK GR Equity"/>
    <x v="88"/>
    <n v="1.11304022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16352218"/>
    <m/>
    <s v="USD"/>
    <n v="1"/>
    <m/>
    <m/>
    <m/>
    <m/>
    <n v="0"/>
    <n v="0"/>
    <n v="0"/>
    <n v="0"/>
    <n v="0"/>
    <n v="2.3614591085515779E-4"/>
  </r>
  <r>
    <n v="67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37634.9570800005"/>
    <x v="4"/>
    <m/>
    <m/>
    <d v="2017-05-17T00:00:00"/>
    <n v="0.37534246575342467"/>
    <n v="1"/>
    <m/>
    <n v="1"/>
    <n v="1"/>
    <s v="11"/>
    <n v="0.01"/>
    <n v="392667"/>
    <n v="1620884.17"/>
    <n v="251513.78684659099"/>
    <n v="1228217.17"/>
    <m/>
    <n v="39266700"/>
    <s v="DBK GR Equity"/>
    <x v="88"/>
    <n v="3.0705429249999997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266700"/>
    <m/>
    <s v="USD"/>
    <n v="1"/>
    <m/>
    <m/>
    <m/>
    <m/>
    <n v="0"/>
    <n v="0"/>
    <n v="0"/>
    <n v="0"/>
    <n v="0"/>
    <n v="6.2878446711647751E-4"/>
  </r>
  <r>
    <n v="67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347361.48846465757"/>
    <x v="4"/>
    <m/>
    <m/>
    <d v="2017-05-17T00:00:00"/>
    <n v="0.37534246575342467"/>
    <n v="1"/>
    <m/>
    <n v="1"/>
    <n v="1"/>
    <s v="11"/>
    <n v="0.01"/>
    <n v="78496"/>
    <n v="320399.43"/>
    <n v="49716.614816954658"/>
    <n v="241903.43"/>
    <m/>
    <n v="7849600"/>
    <s v="DBK GR Equity"/>
    <x v="88"/>
    <n v="6.0475857500000003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849600"/>
    <m/>
    <s v="USD"/>
    <n v="1"/>
    <m/>
    <m/>
    <m/>
    <m/>
    <n v="0"/>
    <n v="0"/>
    <n v="0"/>
    <n v="0"/>
    <n v="0"/>
    <n v="1.2429153704238664E-4"/>
  </r>
  <r>
    <n v="67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727096.3132665753"/>
    <x v="4"/>
    <m/>
    <m/>
    <d v="2017-05-17T00:00:00"/>
    <n v="0.37534246575342467"/>
    <n v="1"/>
    <m/>
    <n v="1"/>
    <n v="1"/>
    <s v="11"/>
    <n v="0.01"/>
    <n v="390285.5"/>
    <n v="1380352.67"/>
    <n v="214190.33737339955"/>
    <n v="990067.17"/>
    <m/>
    <n v="39028550"/>
    <s v="DBK GR Equity"/>
    <x v="88"/>
    <n v="2.475167925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39028550"/>
    <m/>
    <s v="USD"/>
    <n v="1"/>
    <m/>
    <m/>
    <m/>
    <m/>
    <n v="0"/>
    <n v="0"/>
    <n v="0"/>
    <n v="0"/>
    <n v="0"/>
    <n v="5.3547584343349892E-4"/>
  </r>
  <r>
    <n v="67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2989.78796493154"/>
    <x v="4"/>
    <m/>
    <m/>
    <d v="2017-06-21T00:00:00"/>
    <n v="0.47123287671232877"/>
    <n v="1"/>
    <m/>
    <n v="1"/>
    <n v="1"/>
    <s v="11"/>
    <n v="0.01"/>
    <n v="34737"/>
    <n v="53889.16"/>
    <n v="8362.0205270940714"/>
    <n v="19152.16"/>
    <m/>
    <n v="3473700"/>
    <s v="DBK GR Equity"/>
    <x v="88"/>
    <n v="4.7880399999999996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473700"/>
    <m/>
    <s v="USD"/>
    <n v="1"/>
    <m/>
    <m/>
    <m/>
    <m/>
    <n v="0"/>
    <n v="0"/>
    <n v="0"/>
    <n v="0"/>
    <n v="0"/>
    <n v="2.0905051317735177E-5"/>
  </r>
  <r>
    <n v="68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3200.90613698633"/>
    <x v="4"/>
    <m/>
    <m/>
    <d v="2017-06-21T00:00:00"/>
    <n v="0.47123287671232877"/>
    <n v="1"/>
    <m/>
    <n v="1"/>
    <n v="1"/>
    <s v="11"/>
    <n v="0.01"/>
    <n v="34775"/>
    <n v="57727.16"/>
    <n v="8957.5658052722265"/>
    <n v="22952.16"/>
    <m/>
    <n v="3477500"/>
    <s v="DBK GR Equity"/>
    <x v="88"/>
    <n v="5.7380399999999997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477500"/>
    <m/>
    <s v="USD"/>
    <n v="1"/>
    <m/>
    <m/>
    <m/>
    <m/>
    <n v="0"/>
    <n v="0"/>
    <n v="0"/>
    <n v="0"/>
    <n v="0"/>
    <n v="2.2393914513180567E-5"/>
  </r>
  <r>
    <n v="681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6227.44732054797"/>
    <x v="4"/>
    <m/>
    <m/>
    <d v="2017-06-21T00:00:00"/>
    <n v="0.47123287671232877"/>
    <n v="1"/>
    <m/>
    <n v="1"/>
    <n v="1"/>
    <s v="11"/>
    <n v="0.01"/>
    <n v="28120"/>
    <n v="76481.73000000001"/>
    <n v="11867.72620333415"/>
    <n v="48361.73"/>
    <m/>
    <n v="2812000"/>
    <s v="DBK GR Equity"/>
    <x v="88"/>
    <n v="1.2090432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12000"/>
    <m/>
    <s v="USD"/>
    <n v="1"/>
    <m/>
    <m/>
    <m/>
    <m/>
    <n v="0"/>
    <n v="0"/>
    <n v="0"/>
    <n v="0"/>
    <n v="0"/>
    <n v="2.9669315508335377E-5"/>
  </r>
  <r>
    <n v="682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6121.88823452056"/>
    <x v="4"/>
    <m/>
    <m/>
    <d v="2017-06-21T00:00:00"/>
    <n v="0.47123287671232877"/>
    <n v="1"/>
    <m/>
    <n v="1"/>
    <n v="1"/>
    <s v="11"/>
    <n v="0.01"/>
    <n v="28101"/>
    <n v="74562.73000000001"/>
    <n v="11569.953564245074"/>
    <n v="46461.73"/>
    <m/>
    <n v="2810100"/>
    <s v="DBK GR Equity"/>
    <x v="88"/>
    <n v="1.161543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10100"/>
    <m/>
    <s v="USD"/>
    <n v="1"/>
    <m/>
    <m/>
    <m/>
    <m/>
    <n v="0"/>
    <n v="0"/>
    <n v="0"/>
    <n v="0"/>
    <n v="0"/>
    <n v="2.8924883910612685E-5"/>
  </r>
  <r>
    <n v="683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428274.26827294257"/>
    <x v="4"/>
    <m/>
    <m/>
    <d v="2017-06-21T00:00:00"/>
    <n v="0.47123287671232877"/>
    <n v="1"/>
    <m/>
    <n v="1"/>
    <n v="1"/>
    <s v="11"/>
    <n v="0.01"/>
    <n v="77086.790000000008"/>
    <n v="185760.54"/>
    <n v="28824.599392606593"/>
    <n v="108673.75"/>
    <m/>
    <n v="7708679"/>
    <s v="DBK GR Equity"/>
    <x v="88"/>
    <n v="2.716843749999999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708679"/>
    <m/>
    <s v="USD"/>
    <n v="1"/>
    <m/>
    <m/>
    <m/>
    <m/>
    <n v="0"/>
    <n v="0"/>
    <n v="0"/>
    <n v="0"/>
    <n v="0"/>
    <n v="7.2061498481516481E-5"/>
  </r>
  <r>
    <n v="684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57943.06025556169"/>
    <x v="4"/>
    <m/>
    <m/>
    <d v="2017-06-21T00:00:00"/>
    <n v="0.47123287671232877"/>
    <n v="1"/>
    <m/>
    <n v="1"/>
    <n v="1"/>
    <s v="11"/>
    <n v="0.01"/>
    <n v="28428.799999999999"/>
    <n v="107670.53"/>
    <n v="16707.31520073978"/>
    <n v="79241.73"/>
    <m/>
    <n v="2842880"/>
    <s v="DBK GR Equity"/>
    <x v="88"/>
    <n v="1.9810432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2842880"/>
    <m/>
    <s v="USD"/>
    <n v="1"/>
    <m/>
    <m/>
    <m/>
    <m/>
    <n v="0"/>
    <n v="0"/>
    <n v="0"/>
    <n v="0"/>
    <n v="0"/>
    <n v="4.1768288001849451E-5"/>
  </r>
  <r>
    <n v="685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604.53826820475"/>
    <x v="4"/>
    <m/>
    <m/>
    <d v="2017-02-13T00:00:00"/>
    <n v="0.12054794520547946"/>
    <n v="1"/>
    <m/>
    <n v="1"/>
    <n v="1"/>
    <s v="11"/>
    <n v="0.01"/>
    <n v="101041.99560000001"/>
    <n v="307799.5356"/>
    <n v="47761.479951018395"/>
    <n v="206757.54"/>
    <m/>
    <n v="10104199.560000001"/>
    <s v="DBK GR Equity"/>
    <x v="89"/>
    <n v="5.168938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104199.560000001"/>
    <m/>
    <s v="USD"/>
    <n v="1"/>
    <m/>
    <m/>
    <m/>
    <m/>
    <n v="0"/>
    <n v="0"/>
    <n v="0"/>
    <n v="0"/>
    <n v="0"/>
    <n v="1.1940369987754598E-4"/>
  </r>
  <r>
    <n v="686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43672.58648726094"/>
    <x v="4"/>
    <m/>
    <m/>
    <d v="2017-02-13T00:00:00"/>
    <n v="0.12054794520547946"/>
    <n v="1"/>
    <m/>
    <n v="1"/>
    <n v="1"/>
    <s v="11"/>
    <n v="0.01"/>
    <n v="101089.87519999999"/>
    <n v="312635.37520000001"/>
    <n v="48511.860732625209"/>
    <n v="211545.5"/>
    <m/>
    <n v="10108987.52"/>
    <s v="DBK GR Equity"/>
    <x v="89"/>
    <n v="5.28863750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0108987.52"/>
    <m/>
    <s v="USD"/>
    <n v="1"/>
    <m/>
    <m/>
    <m/>
    <m/>
    <n v="0"/>
    <n v="0"/>
    <n v="0"/>
    <n v="0"/>
    <n v="0"/>
    <n v="1.2127965183156303E-4"/>
  </r>
  <r>
    <n v="687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7695.62015984001"/>
    <x v="4"/>
    <m/>
    <m/>
    <d v="2017-03-13T00:00:00"/>
    <n v="0.19726027397260273"/>
    <n v="1"/>
    <m/>
    <n v="1"/>
    <n v="1"/>
    <s v="11"/>
    <n v="0.01"/>
    <n v="85006.273499999996"/>
    <n v="202505.05349999998"/>
    <n v="31422.857847613195"/>
    <n v="117498.78"/>
    <m/>
    <n v="8500627.3499999996"/>
    <s v="DBK GR Equity"/>
    <x v="89"/>
    <n v="2.9374695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500627.3499999996"/>
    <m/>
    <s v="USD"/>
    <n v="1"/>
    <m/>
    <m/>
    <m/>
    <m/>
    <n v="0"/>
    <n v="0"/>
    <n v="0"/>
    <n v="0"/>
    <n v="0"/>
    <n v="7.855714461903299E-5"/>
  </r>
  <r>
    <n v="688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97680.11824602258"/>
    <x v="4"/>
    <m/>
    <m/>
    <d v="2017-03-13T00:00:00"/>
    <n v="0.19726027397260273"/>
    <n v="1"/>
    <m/>
    <n v="1"/>
    <n v="1"/>
    <s v="11"/>
    <n v="0.01"/>
    <n v="84999.607899999988"/>
    <n v="201831.82789999997"/>
    <n v="31318.392936923079"/>
    <n v="116832.22"/>
    <m/>
    <n v="8499960.7899999991"/>
    <s v="DBK GR Equity"/>
    <x v="89"/>
    <n v="2.9208054999999998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499960.7899999991"/>
    <m/>
    <s v="USD"/>
    <n v="1"/>
    <m/>
    <m/>
    <m/>
    <m/>
    <n v="0"/>
    <n v="0"/>
    <n v="0"/>
    <n v="0"/>
    <n v="0"/>
    <n v="7.8295982342307699E-5"/>
  </r>
  <r>
    <n v="689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6213.07426038315"/>
    <x v="4"/>
    <m/>
    <m/>
    <d v="2017-03-13T00:00:00"/>
    <n v="0.19726027397260273"/>
    <n v="1"/>
    <m/>
    <n v="1"/>
    <n v="1"/>
    <s v="11"/>
    <n v="0.01"/>
    <n v="80068.943899999998"/>
    <n v="183312.60389999999"/>
    <n v="28444.751350491726"/>
    <n v="103243.66"/>
    <m/>
    <n v="8006894.3899999997"/>
    <s v="DBK GR Equity"/>
    <x v="89"/>
    <n v="2.58109150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8006894.3899999997"/>
    <m/>
    <s v="USD"/>
    <n v="1"/>
    <m/>
    <m/>
    <m/>
    <m/>
    <n v="0"/>
    <n v="0"/>
    <n v="0"/>
    <n v="0"/>
    <n v="0"/>
    <n v="7.1111878376229313E-5"/>
  </r>
  <r>
    <n v="690"/>
    <s v="DEUTSCHE BANK-RG"/>
    <s v="FX Forward"/>
    <s v="1"/>
    <s v="Banks"/>
    <m/>
    <s v="A-"/>
    <s v="Baa2"/>
    <s v="A-"/>
    <s v="A"/>
    <s v="Baa"/>
    <s v="A"/>
    <n v="8.0000000000000002E-3"/>
    <n v="0.01"/>
    <n v="8.0000000000000002E-3"/>
    <n v="8.0000000000000002E-3"/>
    <n v="185718.36841239454"/>
    <x v="4"/>
    <m/>
    <m/>
    <d v="2017-03-13T00:00:00"/>
    <n v="0.19726027397260273"/>
    <n v="1"/>
    <m/>
    <n v="1"/>
    <n v="1"/>
    <s v="11"/>
    <n v="0.01"/>
    <n v="79856.227500000008"/>
    <n v="161828.2475"/>
    <n v="25111.007992306058"/>
    <n v="81972.02"/>
    <m/>
    <n v="7985622.75"/>
    <s v="DBK GR Equity"/>
    <x v="89"/>
    <n v="2.0493005000000002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7985622.75"/>
    <m/>
    <s v="USD"/>
    <n v="1"/>
    <m/>
    <m/>
    <m/>
    <m/>
    <n v="0"/>
    <n v="0"/>
    <n v="0"/>
    <n v="0"/>
    <n v="0"/>
    <n v="6.277751998076515E-5"/>
  </r>
  <r>
    <n v="691"/>
    <s v="DEUTSCHE BANK-RG"/>
    <s v="Dividend Future"/>
    <s v="1"/>
    <s v="Banks"/>
    <m/>
    <s v="A-"/>
    <s v="Baa2"/>
    <s v="A-"/>
    <s v="A"/>
    <s v="Baa"/>
    <s v="A"/>
    <n v="8.0000000000000002E-3"/>
    <n v="0.01"/>
    <n v="8.0000000000000002E-3"/>
    <n v="8.0000000000000002E-3"/>
    <n v="90859.661882293527"/>
    <x v="5"/>
    <m/>
    <m/>
    <d v="2017-12-15T00:00:00"/>
    <n v="0.95616438356164379"/>
    <n v="3"/>
    <m/>
    <n v="3"/>
    <n v="1"/>
    <s v="31"/>
    <n v="0.06"/>
    <n v="48359.674199999994"/>
    <n v="65006.724199999997"/>
    <n v="10087.141127446464"/>
    <n v="16647.05"/>
    <m/>
    <n v="805994.57"/>
    <s v="DBK GR Equity"/>
    <x v="90"/>
    <n v="4.1617625000000001E-5"/>
    <n v="0.15517073428299999"/>
    <d v="2017-05-29T10:12:30"/>
    <m/>
    <m/>
    <m/>
    <m/>
    <m/>
    <m/>
    <m/>
    <m/>
    <m/>
    <m/>
    <m/>
    <m/>
    <m/>
    <m/>
    <m/>
    <s v="DEDZ7 Index"/>
    <m/>
    <m/>
    <m/>
    <m/>
    <m/>
    <m/>
    <n v="66"/>
    <n v="116.2"/>
    <s v="EUR"/>
    <n v="1.0509500000000001"/>
    <n v="100"/>
    <m/>
    <m/>
    <m/>
    <n v="0"/>
    <n v="0"/>
    <n v="0"/>
    <n v="0"/>
    <n v="0"/>
    <n v="2.5217852818616161E-5"/>
  </r>
  <r>
    <n v="692"/>
    <s v="DEUTSCHE BANK-RG"/>
    <s v="Dividend Future"/>
    <s v="1"/>
    <s v="Banks"/>
    <m/>
    <s v="A-"/>
    <s v="Baa2"/>
    <s v="A-"/>
    <s v="A"/>
    <s v="Baa"/>
    <s v="A"/>
    <n v="8.0000000000000002E-3"/>
    <n v="0.01"/>
    <n v="8.0000000000000002E-3"/>
    <n v="8.0000000000000002E-3"/>
    <n v="1132524.3198150715"/>
    <x v="5"/>
    <m/>
    <m/>
    <d v="2017-12-27T00:00:00"/>
    <n v="0.989041095890411"/>
    <n v="3"/>
    <m/>
    <n v="3"/>
    <n v="1"/>
    <s v="31"/>
    <n v="0.06"/>
    <n v="582744.27"/>
    <n v="582744.27"/>
    <n v="90424.856275110811"/>
    <n v="-231485.82"/>
    <m/>
    <n v="9712404.5"/>
    <s v="DBK GR Equity"/>
    <x v="91"/>
    <n v="-5.7871455E-4"/>
    <n v="0.15517073428299999"/>
    <d v="2017-05-29T10:12:30"/>
    <m/>
    <m/>
    <m/>
    <m/>
    <m/>
    <m/>
    <m/>
    <m/>
    <m/>
    <m/>
    <m/>
    <m/>
    <m/>
    <m/>
    <m/>
    <s v="DHCZ7 Index"/>
    <m/>
    <m/>
    <m/>
    <m/>
    <m/>
    <m/>
    <n v="4715"/>
    <n v="319.5"/>
    <s v="HKD"/>
    <n v="7.7552500000000002"/>
    <n v="50"/>
    <m/>
    <m/>
    <m/>
    <n v="0"/>
    <n v="0"/>
    <n v="0"/>
    <n v="0"/>
    <n v="0"/>
    <n v="2.2606214068777704E-4"/>
  </r>
  <r>
    <n v="693"/>
    <s v="MORGAN STANLEY &amp;"/>
    <s v="Equity Index Future"/>
    <s v="1"/>
    <s v="Brokers"/>
    <m/>
    <s v="A+"/>
    <s v="A1"/>
    <m/>
    <s v="A"/>
    <s v="A"/>
    <n v="0"/>
    <n v="8.0000000000000002E-3"/>
    <n v="8.0000000000000002E-3"/>
    <s v=""/>
    <n v="8.0000000000000002E-3"/>
    <n v="359574.44538219186"/>
    <x v="6"/>
    <m/>
    <m/>
    <d v="2017-03-17T00:00:00"/>
    <n v="0.20821917808219179"/>
    <n v="3"/>
    <m/>
    <n v="3"/>
    <n v="1"/>
    <s v="31"/>
    <n v="0.06"/>
    <n v="878846.25"/>
    <n v="878846.25"/>
    <n v="44078683.717934363"/>
    <n v="-244642.5"/>
    <m/>
    <n v="-14647437.5"/>
    <s v="56243Z LN Equity"/>
    <x v="92"/>
    <n v="-6.1160624999999998E-4"/>
    <n v="0.15517073428299999"/>
    <d v="2017-05-29T10:12:30"/>
    <n v="694"/>
    <n v="3"/>
    <s v="S&amp;P 500 INDEX"/>
    <s v="Equity Index"/>
    <m/>
    <s v="Index"/>
    <m/>
    <m/>
    <m/>
    <m/>
    <s v="1"/>
    <n v="-14647437.5"/>
    <m/>
    <n v="0"/>
    <s v="S&amp;P500 EMINI FUT  Mar17"/>
    <s v="SPX Index"/>
    <m/>
    <m/>
    <m/>
    <m/>
    <m/>
    <m/>
    <n v="-131"/>
    <n v="2236.25"/>
    <s v="USD"/>
    <n v="1"/>
    <n v="50"/>
    <m/>
    <m/>
    <m/>
    <n v="0"/>
    <n v="0"/>
    <n v="0"/>
    <n v="0"/>
    <n v="0"/>
    <n v="0.11019670929483591"/>
  </r>
  <r>
    <n v="695"/>
    <s v="MORGAN STANLEY &amp;"/>
    <s v="Equity Index Future"/>
    <s v="1"/>
    <s v="Brokers"/>
    <m/>
    <s v="A+"/>
    <s v="A1"/>
    <m/>
    <s v="A"/>
    <s v="A"/>
    <n v="0"/>
    <n v="8.0000000000000002E-3"/>
    <n v="8.0000000000000002E-3"/>
    <s v=""/>
    <n v="8.0000000000000002E-3"/>
    <n v="163906.96773150685"/>
    <x v="6"/>
    <m/>
    <m/>
    <d v="2017-01-25T00:00:00"/>
    <n v="6.8493150684931503E-2"/>
    <n v="3"/>
    <m/>
    <n v="3"/>
    <n v="1"/>
    <s v="31"/>
    <n v="0.06"/>
    <n v="1217853.5999999999"/>
    <n v="1217853.5999999999"/>
    <n v="61081655.237361193"/>
    <n v="-381583.46"/>
    <m/>
    <n v="-20297560"/>
    <s v="56243Z LN Equity"/>
    <x v="93"/>
    <n v="-9.5395865000000009E-4"/>
    <n v="0.15517073428299999"/>
    <d v="2017-05-29T10:12:30"/>
    <n v="696"/>
    <n v="3"/>
    <s v="Nifty 50"/>
    <s v="Equity Index"/>
    <m/>
    <s v="Index"/>
    <m/>
    <m/>
    <m/>
    <m/>
    <s v="1"/>
    <n v="-20297560"/>
    <m/>
    <n v="0"/>
    <s v="SGX Nifty 50      Jan17"/>
    <s v="NIFTY Index"/>
    <m/>
    <m/>
    <m/>
    <m/>
    <m/>
    <m/>
    <n v="-1240"/>
    <n v="8184.5"/>
    <s v="USD"/>
    <n v="1"/>
    <n v="2"/>
    <m/>
    <m/>
    <m/>
    <n v="0"/>
    <n v="0"/>
    <n v="0"/>
    <n v="0"/>
    <n v="0"/>
    <n v="0.15270413809340297"/>
  </r>
  <r>
    <n v="697"/>
    <s v="SHINHAN INVESTME"/>
    <s v="Equity Index Future"/>
    <s v="1"/>
    <s v="Banks"/>
    <m/>
    <m/>
    <m/>
    <m/>
    <n v="0"/>
    <n v="0"/>
    <n v="0"/>
    <s v=""/>
    <s v=""/>
    <s v=""/>
    <n v="0.1"/>
    <n v="15674639.766704436"/>
    <x v="6"/>
    <m/>
    <m/>
    <d v="2017-09-03T00:00:00"/>
    <n v="0.67397260273972603"/>
    <n v="3"/>
    <m/>
    <n v="3"/>
    <n v="1"/>
    <s v="31"/>
    <n v="0.06"/>
    <n v="833245.15619999997"/>
    <n v="833245.15619999997"/>
    <n v="44995238.434799999"/>
    <n v="-486276.71"/>
    <m/>
    <n v="-13887419.27"/>
    <s v="008670 KS Equity"/>
    <x v="94"/>
    <n v="-1.215691775E-3"/>
    <n v="4"/>
    <d v="2017-05-29T10:12:30"/>
    <n v="698"/>
    <n v="3"/>
    <s v="KOSPI 200 INDEX"/>
    <s v="Equity Index"/>
    <m/>
    <s v="Index"/>
    <m/>
    <m/>
    <m/>
    <m/>
    <s v="1"/>
    <n v="-13887419.27"/>
    <m/>
    <n v="0"/>
    <s v="KOSPI2 INX FUT    Mar17"/>
    <s v="KOSPI2 Index"/>
    <m/>
    <m/>
    <m/>
    <m/>
    <m/>
    <m/>
    <n v="-129"/>
    <n v="260.05"/>
    <s v="KRW"/>
    <n v="1207.8"/>
    <n v="500000"/>
    <m/>
    <m/>
    <m/>
    <n v="0"/>
    <n v="0"/>
    <n v="0"/>
    <n v="0"/>
    <n v="0"/>
    <n v="0.112488096087"/>
  </r>
  <r>
    <n v="699"/>
    <s v="DEUTSCHE BANK-RG"/>
    <s v="Dividend Future"/>
    <s v="1"/>
    <s v="Banks"/>
    <m/>
    <s v="A-"/>
    <s v="Baa2"/>
    <s v="A-"/>
    <s v="A"/>
    <s v="Baa"/>
    <s v="A"/>
    <n v="8.0000000000000002E-3"/>
    <n v="0.01"/>
    <n v="8.0000000000000002E-3"/>
    <n v="8.0000000000000002E-3"/>
    <n v="116487.29073808108"/>
    <x v="5"/>
    <m/>
    <m/>
    <d v="2017-03-31T00:00:00"/>
    <n v="0.24657534246575341"/>
    <n v="3"/>
    <m/>
    <n v="3"/>
    <n v="1"/>
    <s v="31"/>
    <n v="0.06"/>
    <n v="240421.72679999997"/>
    <n v="266068.66679999995"/>
    <n v="41286.070397054857"/>
    <n v="25646.94"/>
    <m/>
    <n v="4007028.78"/>
    <s v="DBK GR Equity"/>
    <x v="95"/>
    <n v="6.4117349999999994E-5"/>
    <n v="0.15517073428299999"/>
    <d v="2017-05-29T10:12:30"/>
    <m/>
    <m/>
    <m/>
    <m/>
    <m/>
    <m/>
    <m/>
    <m/>
    <m/>
    <m/>
    <m/>
    <m/>
    <m/>
    <m/>
    <m/>
    <s v="MNDZ6 Index"/>
    <m/>
    <m/>
    <m/>
    <m/>
    <m/>
    <m/>
    <n v="143"/>
    <n v="328.1"/>
    <s v="JPY"/>
    <n v="117.09"/>
    <n v="10000"/>
    <m/>
    <m/>
    <m/>
    <n v="0"/>
    <n v="0"/>
    <n v="0"/>
    <n v="0"/>
    <n v="0"/>
    <n v="1.0321517599263714E-4"/>
  </r>
  <r>
    <n v="700"/>
    <s v="DEUTSCHE BANK-RG"/>
    <s v="Equity Index Future"/>
    <s v="1"/>
    <s v="Banks"/>
    <m/>
    <s v="A-"/>
    <s v="Baa2"/>
    <s v="A-"/>
    <s v="A"/>
    <s v="Baa"/>
    <s v="A"/>
    <n v="8.0000000000000002E-3"/>
    <n v="0.01"/>
    <n v="8.0000000000000002E-3"/>
    <n v="8.0000000000000002E-3"/>
    <n v="266507.62912828673"/>
    <x v="6"/>
    <m/>
    <m/>
    <d v="2017-03-09T00:00:00"/>
    <n v="0.18630136986301371"/>
    <n v="3"/>
    <m/>
    <n v="3"/>
    <n v="1"/>
    <s v="31"/>
    <n v="0.06"/>
    <n v="728011.78559999994"/>
    <n v="728011.78559999994"/>
    <n v="36513555.403338231"/>
    <n v="-6554.79"/>
    <m/>
    <n v="-12133529.76"/>
    <s v="DBK GR Equity"/>
    <x v="96"/>
    <n v="-1.6386974999999999E-5"/>
    <n v="0.15517073428299999"/>
    <d v="2017-05-29T10:12:30"/>
    <n v="701"/>
    <n v="3"/>
    <s v="NIKKEI 225"/>
    <s v="Equity Index"/>
    <m/>
    <s v="Index"/>
    <m/>
    <m/>
    <m/>
    <m/>
    <s v="1"/>
    <n v="-12133529.76"/>
    <m/>
    <n v="0"/>
    <s v="NIKKEI 225  (SGX) Mar17"/>
    <s v="NKY Index"/>
    <m/>
    <m/>
    <m/>
    <m/>
    <m/>
    <m/>
    <n v="-149"/>
    <n v="19070"/>
    <s v="JPY"/>
    <n v="117.09"/>
    <n v="500"/>
    <m/>
    <m/>
    <m/>
    <n v="0"/>
    <n v="0"/>
    <n v="0"/>
    <n v="0"/>
    <n v="0"/>
    <n v="9.1283888508345581E-2"/>
  </r>
  <r>
    <n v="702"/>
    <s v="MORGAN STANLEY &amp;"/>
    <s v="Equity Index Future"/>
    <s v="1"/>
    <s v="Brokers"/>
    <m/>
    <s v="A+"/>
    <s v="A1"/>
    <m/>
    <s v="A"/>
    <s v="A"/>
    <n v="0"/>
    <n v="8.0000000000000002E-3"/>
    <n v="8.0000000000000002E-3"/>
    <s v=""/>
    <n v="8.0000000000000002E-3"/>
    <n v="21497.467403468061"/>
    <x v="6"/>
    <m/>
    <m/>
    <d v="2017-03-09T00:00:00"/>
    <n v="0.18630136986301371"/>
    <n v="3"/>
    <m/>
    <n v="3"/>
    <n v="1"/>
    <s v="31"/>
    <n v="0.06"/>
    <n v="58724.058600000004"/>
    <n v="58724.058600000004"/>
    <n v="2945315.1852930402"/>
    <n v="-2049.6999999999998"/>
    <m/>
    <n v="-978734.31"/>
    <s v="56243Z LN Equity"/>
    <x v="97"/>
    <n v="-5.1242499999999993E-6"/>
    <n v="0.15517073428299999"/>
    <d v="2017-05-29T10:12:30"/>
    <n v="703"/>
    <n v="3"/>
    <s v="NIKKEI 225"/>
    <s v="Equity Index"/>
    <m/>
    <s v="Index"/>
    <m/>
    <m/>
    <m/>
    <m/>
    <s v="1"/>
    <n v="-978734.31"/>
    <m/>
    <n v="0"/>
    <s v="NIKKEI 225  (OSE) Mar17"/>
    <s v="NKY Index"/>
    <m/>
    <m/>
    <m/>
    <m/>
    <m/>
    <m/>
    <n v="-6"/>
    <n v="19100"/>
    <s v="JPY"/>
    <n v="117.09"/>
    <n v="1000"/>
    <m/>
    <m/>
    <m/>
    <n v="0"/>
    <n v="0"/>
    <n v="0"/>
    <n v="0"/>
    <n v="0"/>
    <n v="7.3632879632326009E-3"/>
  </r>
  <r>
    <n v="704"/>
    <s v="DEUTSCHE BANK-RG"/>
    <s v="Dividend Future"/>
    <s v="1"/>
    <s v="Banks"/>
    <m/>
    <s v="A-"/>
    <s v="Baa2"/>
    <s v="A-"/>
    <s v="A"/>
    <s v="Baa"/>
    <s v="A"/>
    <n v="8.0000000000000002E-3"/>
    <n v="0.01"/>
    <n v="8.0000000000000002E-3"/>
    <n v="8.0000000000000002E-3"/>
    <n v="239368.56638533919"/>
    <x v="5"/>
    <m/>
    <m/>
    <d v="2018-03-30T00:00:00"/>
    <n v="1.2438356164383562"/>
    <n v="3"/>
    <m/>
    <n v="3"/>
    <n v="2"/>
    <s v="32"/>
    <n v="0.08"/>
    <n v="130583.31199999999"/>
    <n v="231574.00199999998"/>
    <n v="40048.289982608832"/>
    <n v="100990.69"/>
    <m/>
    <n v="1632291.4"/>
    <s v="DBK GR Equity"/>
    <x v="98"/>
    <n v="2.5247672499999999E-4"/>
    <n v="0.17293949077500001"/>
    <d v="2017-05-29T10:12:30"/>
    <m/>
    <m/>
    <m/>
    <m/>
    <m/>
    <m/>
    <m/>
    <m/>
    <m/>
    <m/>
    <m/>
    <m/>
    <m/>
    <m/>
    <m/>
    <s v="MNDZ7 Index"/>
    <m/>
    <m/>
    <m/>
    <m/>
    <m/>
    <m/>
    <n v="55"/>
    <n v="347.5"/>
    <s v="JPY"/>
    <n v="117.09"/>
    <n v="10000"/>
    <m/>
    <m/>
    <m/>
    <n v="0"/>
    <n v="0"/>
    <n v="0"/>
    <n v="0"/>
    <n v="0"/>
    <n v="1.0012072495652208E-4"/>
  </r>
  <r>
    <n v="705"/>
    <s v="BNP PARIBAS"/>
    <s v="Equity Index Option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585382.1002237452"/>
    <x v="6"/>
    <m/>
    <m/>
    <d v="2017-12-08T00:00:00"/>
    <n v="0.93698630136986305"/>
    <n v="3"/>
    <m/>
    <n v="3"/>
    <n v="1"/>
    <s v="31"/>
    <n v="0.06"/>
    <n v="861084.00360000005"/>
    <n v="3834495.5436"/>
    <n v="43649201.669105306"/>
    <n v="2973411.54"/>
    <m/>
    <n v="14351400.060000001"/>
    <s v="BNP FP Equity"/>
    <x v="99"/>
    <n v="7.4335288500000001E-3"/>
    <n v="0.15517073428299999"/>
    <d v="2017-05-29T10:12:30"/>
    <n v="706"/>
    <n v="3"/>
    <s v="NIKKEI 225"/>
    <s v="Equity Index"/>
    <m/>
    <s v="Index"/>
    <m/>
    <m/>
    <m/>
    <m/>
    <s v="1"/>
    <n v="14351400.060000001"/>
    <m/>
    <n v="3.0300000000000001E-2"/>
    <s v="OTC_EQUITY_OPTION - N225 CALL 16750 08 DEC 2017 RC1"/>
    <s v="NKY Index"/>
    <m/>
    <m/>
    <m/>
    <m/>
    <m/>
    <m/>
    <n v="122000"/>
    <m/>
    <s v="JPY"/>
    <n v="117.09"/>
    <n v="1"/>
    <n v="0.72060000000000002"/>
    <n v="19114.37"/>
    <m/>
    <n v="0"/>
    <n v="0"/>
    <n v="0"/>
    <n v="0"/>
    <n v="0"/>
    <n v="0.10912300417276327"/>
  </r>
  <r>
    <n v="707"/>
    <s v="BNP PARIBAS"/>
    <s v="Equity Index Option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621477.45827184326"/>
    <x v="6"/>
    <m/>
    <m/>
    <d v="2017-12-08T00:00:00"/>
    <n v="0.93698630136986305"/>
    <n v="3"/>
    <m/>
    <n v="3"/>
    <n v="1"/>
    <s v="31"/>
    <n v="0.06"/>
    <n v="337549.098"/>
    <n v="1294661.9180000001"/>
    <n v="17078348.540464297"/>
    <n v="957112.82"/>
    <m/>
    <n v="5625818.2999999998"/>
    <s v="BNP FP Equity"/>
    <x v="100"/>
    <n v="2.3927820499999998E-3"/>
    <n v="0.15517073428299999"/>
    <d v="2017-05-29T10:12:30"/>
    <n v="708"/>
    <n v="3"/>
    <s v="NIKKEI 225"/>
    <s v="Equity Index"/>
    <m/>
    <s v="Index"/>
    <m/>
    <m/>
    <m/>
    <m/>
    <s v="1"/>
    <n v="5625818.2999999998"/>
    <m/>
    <n v="3.0300000000000001E-2"/>
    <s v="OTC_EQUITY_OPTION - N225 CALL 18000 08 DEC 2017 RC1"/>
    <s v="NKY Index"/>
    <m/>
    <m/>
    <m/>
    <m/>
    <m/>
    <m/>
    <n v="56000"/>
    <m/>
    <s v="JPY"/>
    <n v="117.09"/>
    <n v="1"/>
    <n v="0.61539999999999995"/>
    <n v="19114.37"/>
    <m/>
    <n v="0"/>
    <n v="0"/>
    <n v="0"/>
    <n v="0"/>
    <n v="0"/>
    <n v="4.2695871351160743E-2"/>
  </r>
  <r>
    <n v="709"/>
    <s v="BNP PARIBAS"/>
    <s v="Equity Index Option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27834.48021344974"/>
    <x v="6"/>
    <m/>
    <m/>
    <d v="2017-12-08T00:00:00"/>
    <n v="0.93698630136986305"/>
    <n v="3"/>
    <m/>
    <n v="3"/>
    <n v="1"/>
    <s v="31"/>
    <n v="0.06"/>
    <n v="178059.93059999999"/>
    <n v="644023.32059999998"/>
    <n v="9002930.1015528776"/>
    <n v="465963.39"/>
    <m/>
    <n v="2967665.51"/>
    <s v="BNP FP Equity"/>
    <x v="101"/>
    <n v="1.1649084750000001E-3"/>
    <n v="0.15517073428299999"/>
    <d v="2017-05-29T10:12:30"/>
    <n v="710"/>
    <n v="3"/>
    <s v="NIKKEI 225"/>
    <s v="Equity Index"/>
    <m/>
    <s v="Index"/>
    <m/>
    <m/>
    <m/>
    <m/>
    <s v="1"/>
    <n v="2967665.51"/>
    <m/>
    <n v="3.0300000000000001E-2"/>
    <s v="OTC_EQUITY_OPTION - N225 CALL 18500 08 DEC 2017 RC1"/>
    <s v="NKY Index"/>
    <m/>
    <m/>
    <m/>
    <m/>
    <m/>
    <m/>
    <n v="32000"/>
    <m/>
    <s v="JPY"/>
    <n v="117.09"/>
    <n v="1"/>
    <n v="0.56810000000000005"/>
    <n v="19114.37"/>
    <m/>
    <n v="0"/>
    <n v="0"/>
    <n v="0"/>
    <n v="0"/>
    <n v="0"/>
    <n v="2.2507325253882195E-2"/>
  </r>
  <r>
    <n v="711"/>
    <s v="BNP PARIBAS"/>
    <s v="Equity Index Option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581922.79366197414"/>
    <x v="6"/>
    <m/>
    <m/>
    <d v="2017-12-08T00:00:00"/>
    <n v="0.93698630136986305"/>
    <n v="3"/>
    <m/>
    <n v="3"/>
    <n v="1"/>
    <s v="31"/>
    <n v="0.06"/>
    <n v="316065.38819999999"/>
    <n v="1171691.7782000001"/>
    <n v="15985081.683576647"/>
    <n v="855626.39"/>
    <m/>
    <n v="-5267756.47"/>
    <s v="BNP FP Equity"/>
    <x v="102"/>
    <n v="2.1390659749999999E-3"/>
    <n v="0.15517073428299999"/>
    <d v="2017-05-29T10:12:30"/>
    <n v="712"/>
    <n v="3"/>
    <s v="NIKKEI 225"/>
    <s v="Equity Index"/>
    <m/>
    <s v="Index"/>
    <m/>
    <m/>
    <m/>
    <m/>
    <s v="1"/>
    <n v="-5267756.47"/>
    <m/>
    <n v="0"/>
    <s v="OTC_EQUITY_OPTION - N225 PUT 16750 08 DEC 2017 RC1"/>
    <s v="NKY Index"/>
    <m/>
    <m/>
    <m/>
    <m/>
    <m/>
    <m/>
    <n v="122000"/>
    <m/>
    <s v="JPY"/>
    <n v="117.09"/>
    <n v="1"/>
    <n v="-0.26450000000000001"/>
    <n v="19114.37"/>
    <m/>
    <n v="0"/>
    <n v="0"/>
    <n v="0"/>
    <n v="0"/>
    <n v="0"/>
    <n v="3.9962704208941616E-2"/>
  </r>
  <r>
    <n v="713"/>
    <s v="BNP PARIBAS"/>
    <s v="Equity Index Option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73149.04275643366"/>
    <x v="6"/>
    <m/>
    <m/>
    <d v="2017-12-08T00:00:00"/>
    <n v="0.93698630136986305"/>
    <n v="3"/>
    <m/>
    <n v="3"/>
    <n v="1"/>
    <s v="31"/>
    <n v="0.06"/>
    <n v="202672.0698"/>
    <n v="785797.47980000009"/>
    <n v="10255536.261938296"/>
    <n v="583125.41"/>
    <m/>
    <n v="-3377867.83"/>
    <s v="BNP FP Equity"/>
    <x v="103"/>
    <n v="1.4578135250000001E-3"/>
    <n v="0.15517073428299999"/>
    <d v="2017-05-29T10:12:30"/>
    <n v="714"/>
    <n v="3"/>
    <s v="NIKKEI 225"/>
    <s v="Equity Index"/>
    <m/>
    <s v="Index"/>
    <m/>
    <m/>
    <m/>
    <m/>
    <s v="1"/>
    <n v="-3377867.83"/>
    <m/>
    <n v="0"/>
    <s v="OTC_EQUITY_OPTION - N225 PUT 18000 08 DEC 2017 RC1"/>
    <s v="NKY Index"/>
    <m/>
    <m/>
    <m/>
    <m/>
    <m/>
    <m/>
    <n v="56000"/>
    <m/>
    <s v="JPY"/>
    <n v="117.09"/>
    <n v="1"/>
    <n v="-0.3695"/>
    <n v="19114.37"/>
    <m/>
    <n v="0"/>
    <n v="0"/>
    <n v="0"/>
    <n v="0"/>
    <n v="0"/>
    <n v="2.563884065484574E-2"/>
  </r>
  <r>
    <n v="715"/>
    <s v="BNP PARIBAS"/>
    <s v="Equity Index Option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40696.64125560617"/>
    <x v="6"/>
    <m/>
    <m/>
    <d v="2017-12-08T00:00:00"/>
    <n v="0.93698630136986305"/>
    <n v="3"/>
    <m/>
    <n v="3"/>
    <n v="1"/>
    <s v="31"/>
    <n v="0.06"/>
    <n v="130731.9084"/>
    <n v="519699.22840000002"/>
    <n v="6617237.5308771366"/>
    <n v="388967.32"/>
    <m/>
    <n v="-2178865.14"/>
    <s v="BNP FP Equity"/>
    <x v="104"/>
    <n v="9.7241830000000006E-4"/>
    <n v="0.15517073428299999"/>
    <d v="2017-05-29T10:12:30"/>
    <n v="716"/>
    <n v="3"/>
    <s v="NIKKEI 225"/>
    <s v="Equity Index"/>
    <m/>
    <s v="Index"/>
    <m/>
    <m/>
    <m/>
    <m/>
    <s v="1"/>
    <n v="-2178865.14"/>
    <m/>
    <n v="0"/>
    <s v="OTC_EQUITY_OPTION - N225 PUT 18500 08 DEC 2017 RC1"/>
    <s v="NKY Index"/>
    <m/>
    <m/>
    <m/>
    <m/>
    <m/>
    <m/>
    <n v="32000"/>
    <m/>
    <s v="JPY"/>
    <n v="117.09"/>
    <n v="1"/>
    <n v="-0.41710000000000003"/>
    <n v="19114.37"/>
    <m/>
    <n v="0"/>
    <n v="0"/>
    <n v="0"/>
    <n v="0"/>
    <n v="0"/>
    <n v="1.654309382719284E-2"/>
  </r>
  <r>
    <n v="717"/>
    <s v="MERRILL LYNCH IN"/>
    <s v="Equity Index Option"/>
    <s v="1"/>
    <s v="Brokers"/>
    <m/>
    <s v="A+"/>
    <m/>
    <s v="A"/>
    <s v="A"/>
    <n v="0"/>
    <s v="A"/>
    <n v="8.0000000000000002E-3"/>
    <s v=""/>
    <n v="8.0000000000000002E-3"/>
    <n v="8.0000000000000002E-3"/>
    <n v="7118.4221066561631"/>
    <x v="6"/>
    <m/>
    <m/>
    <d v="2017-01-25T00:00:00"/>
    <n v="6.8493150684931503E-2"/>
    <n v="3"/>
    <m/>
    <n v="3"/>
    <n v="1"/>
    <s v="31"/>
    <n v="0.06"/>
    <n v="52890.954599999997"/>
    <n v="75757.954599999997"/>
    <n v="2656303.1474430603"/>
    <n v="22867"/>
    <m/>
    <n v="-881515.91"/>
    <s v="1128007Z LN Equity"/>
    <x v="105"/>
    <n v="5.7167499999999998E-5"/>
    <n v="0.15517073428299999"/>
    <d v="2017-05-29T10:12:30"/>
    <n v="718"/>
    <n v="3"/>
    <s v="Nifty 50"/>
    <s v="Equity Index"/>
    <m/>
    <s v="Index"/>
    <m/>
    <m/>
    <m/>
    <m/>
    <s v="1"/>
    <n v="-881515.91"/>
    <m/>
    <n v="0"/>
    <s v="OTC_EQUITY_OPTION - NSEI PUT 7400 25 JAN 2017 RC1"/>
    <s v="NIFTY Index"/>
    <m/>
    <m/>
    <m/>
    <m/>
    <m/>
    <m/>
    <n v="255000"/>
    <m/>
    <s v="INR"/>
    <n v="67.959950000000006"/>
    <n v="1"/>
    <n v="-2.87E-2"/>
    <n v="8185.8"/>
    <m/>
    <n v="0"/>
    <n v="0"/>
    <n v="0"/>
    <n v="0"/>
    <n v="0"/>
    <n v="6.6407578686076508E-3"/>
  </r>
  <r>
    <n v="719"/>
    <s v="MERRILL LYNCH IN"/>
    <s v="Equity Index Option"/>
    <s v="1"/>
    <s v="Brokers"/>
    <m/>
    <s v="A+"/>
    <m/>
    <s v="A"/>
    <s v="A"/>
    <n v="0"/>
    <s v="A"/>
    <n v="8.0000000000000002E-3"/>
    <s v=""/>
    <n v="8.0000000000000002E-3"/>
    <n v="8.0000000000000002E-3"/>
    <n v="47145.284876979626"/>
    <x v="6"/>
    <m/>
    <m/>
    <d v="2017-02-23T00:00:00"/>
    <n v="0.14794520547945206"/>
    <n v="3"/>
    <m/>
    <n v="3"/>
    <n v="1"/>
    <s v="31"/>
    <n v="0.06"/>
    <n v="162174.35579999999"/>
    <n v="254288.86579999997"/>
    <n v="8148175.9800261781"/>
    <n v="92114.51"/>
    <m/>
    <n v="-2702905.93"/>
    <s v="1128007Z LN Equity"/>
    <x v="106"/>
    <n v="2.30286275E-4"/>
    <n v="0.15517073428299999"/>
    <d v="2017-05-29T10:12:30"/>
    <n v="720"/>
    <n v="3"/>
    <s v="Nifty 50"/>
    <s v="Equity Index"/>
    <m/>
    <s v="Index"/>
    <m/>
    <m/>
    <m/>
    <m/>
    <s v="1"/>
    <n v="-2702905.93"/>
    <m/>
    <n v="0"/>
    <s v="OTC_EQUITY_OPTION - NSEI PUT 7400 23 FEB 2017 RC1"/>
    <s v="NIFTY Index"/>
    <m/>
    <m/>
    <m/>
    <m/>
    <m/>
    <m/>
    <n v="255000"/>
    <m/>
    <s v="INR"/>
    <n v="67.959950000000006"/>
    <n v="1"/>
    <n v="-8.7999999999999995E-2"/>
    <n v="8185.8"/>
    <m/>
    <n v="0"/>
    <n v="0"/>
    <n v="0"/>
    <n v="0"/>
    <n v="0"/>
    <n v="2.0370439950065444E-2"/>
  </r>
  <r>
    <n v="721"/>
    <s v="MERRILL LYNCH IN"/>
    <s v="Equity Index Option"/>
    <s v="1"/>
    <s v="Brokers"/>
    <m/>
    <s v="A+"/>
    <m/>
    <s v="A"/>
    <s v="A"/>
    <n v="0"/>
    <s v="A"/>
    <n v="8.0000000000000002E-3"/>
    <s v=""/>
    <n v="8.0000000000000002E-3"/>
    <n v="8.0000000000000002E-3"/>
    <n v="118947.30167706119"/>
    <x v="6"/>
    <m/>
    <m/>
    <d v="2017-02-23T00:00:00"/>
    <n v="0.14794520547945206"/>
    <n v="3"/>
    <m/>
    <n v="3"/>
    <n v="1"/>
    <s v="31"/>
    <n v="0.06"/>
    <n v="409165.03259999998"/>
    <n v="639835.90259999991"/>
    <n v="20557535.436827067"/>
    <n v="230670.87"/>
    <m/>
    <n v="-6819417.21"/>
    <s v="1128007Z LN Equity"/>
    <x v="107"/>
    <n v="5.76677175E-4"/>
    <n v="0.15517073428299999"/>
    <d v="2017-05-29T10:12:30"/>
    <n v="722"/>
    <n v="3"/>
    <s v="Nifty 50"/>
    <s v="Equity Index"/>
    <m/>
    <s v="Index"/>
    <m/>
    <m/>
    <m/>
    <m/>
    <s v="1"/>
    <n v="-6819417.21"/>
    <m/>
    <n v="0"/>
    <s v="OTC_EQUITY_OPTION - NSEI PUT 7500 23 FEB 2017 RC1"/>
    <s v="NIFTY Index"/>
    <m/>
    <m/>
    <m/>
    <m/>
    <m/>
    <m/>
    <n v="505500"/>
    <m/>
    <s v="INR"/>
    <n v="67.959950000000006"/>
    <n v="1"/>
    <n v="-0.112"/>
    <n v="8185.8"/>
    <m/>
    <n v="0"/>
    <n v="0"/>
    <n v="0"/>
    <n v="0"/>
    <n v="0"/>
    <n v="5.139383859206767E-2"/>
  </r>
  <r>
    <n v="723"/>
    <s v="MERRILL LYNCH IN"/>
    <s v="Equity Index Option"/>
    <s v="1"/>
    <s v="Brokers"/>
    <m/>
    <s v="A+"/>
    <m/>
    <s v="A"/>
    <s v="A"/>
    <n v="0"/>
    <s v="A"/>
    <n v="8.0000000000000002E-3"/>
    <s v=""/>
    <n v="8.0000000000000002E-3"/>
    <n v="8.0000000000000002E-3"/>
    <n v="72277.881727229265"/>
    <x v="6"/>
    <m/>
    <m/>
    <d v="2017-02-23T00:00:00"/>
    <n v="0.14794520547945206"/>
    <n v="3"/>
    <m/>
    <n v="3"/>
    <n v="1"/>
    <s v="31"/>
    <n v="0.06"/>
    <n v="248627.5974"/>
    <n v="391734.58739999996"/>
    <n v="12492165.613570906"/>
    <n v="143106.99"/>
    <m/>
    <n v="-4143793.29"/>
    <s v="1128007Z LN Equity"/>
    <x v="108"/>
    <n v="3.5776747499999999E-4"/>
    <n v="0.15517073428299999"/>
    <d v="2017-05-29T10:12:30"/>
    <n v="724"/>
    <n v="3"/>
    <s v="Nifty 50"/>
    <s v="Equity Index"/>
    <m/>
    <s v="Index"/>
    <m/>
    <m/>
    <m/>
    <m/>
    <s v="1"/>
    <n v="-4143793.29"/>
    <m/>
    <n v="0"/>
    <s v="OTC_EQUITY_OPTION - NSEI PUT 7600 23 FEB 2017 RC1"/>
    <s v="NIFTY Index"/>
    <m/>
    <m/>
    <m/>
    <m/>
    <m/>
    <m/>
    <n v="247500"/>
    <m/>
    <s v="INR"/>
    <n v="67.959950000000006"/>
    <n v="1"/>
    <n v="-0.13900000000000001"/>
    <n v="8185.8"/>
    <m/>
    <n v="0"/>
    <n v="0"/>
    <n v="0"/>
    <n v="0"/>
    <n v="0"/>
    <n v="3.1230414033927265E-2"/>
  </r>
  <r>
    <n v="725"/>
    <s v="MERRILL LYNCH IN"/>
    <s v="Equity Index Option"/>
    <s v="1"/>
    <s v="Brokers"/>
    <m/>
    <s v="A+"/>
    <m/>
    <s v="A"/>
    <s v="A"/>
    <n v="0"/>
    <s v="A"/>
    <n v="8.0000000000000002E-3"/>
    <s v=""/>
    <n v="8.0000000000000002E-3"/>
    <n v="8.0000000000000002E-3"/>
    <n v="30259.49476226027"/>
    <x v="6"/>
    <m/>
    <m/>
    <d v="2017-01-25T00:00:00"/>
    <n v="6.8493150684931503E-2"/>
    <n v="3"/>
    <m/>
    <n v="3"/>
    <n v="1"/>
    <s v="31"/>
    <n v="0.06"/>
    <n v="224832.63"/>
    <n v="224832.63"/>
    <n v="11276518.944287878"/>
    <n v="-88389.1"/>
    <m/>
    <n v="3747210.5"/>
    <s v="1128007Z LN Equity"/>
    <x v="109"/>
    <n v="-2.2097275000000001E-4"/>
    <n v="0.15517073428299999"/>
    <d v="2017-05-29T10:12:30"/>
    <n v="726"/>
    <n v="3"/>
    <s v="Nifty 50"/>
    <s v="Equity Index"/>
    <m/>
    <s v="Index"/>
    <m/>
    <m/>
    <m/>
    <m/>
    <s v="1"/>
    <n v="3747210.5"/>
    <m/>
    <n v="0.25490000000000002"/>
    <s v="OTC_EQUITY_OPTION - NSEI PUT 7900 25 JAN 2017 RC1"/>
    <s v="NIFTY Index"/>
    <m/>
    <m/>
    <m/>
    <m/>
    <m/>
    <m/>
    <n v="-170000"/>
    <m/>
    <s v="INR"/>
    <n v="67.959950000000006"/>
    <n v="1"/>
    <n v="-0.183"/>
    <n v="8185.8"/>
    <m/>
    <n v="0"/>
    <n v="0"/>
    <n v="0"/>
    <n v="0"/>
    <n v="0"/>
    <n v="2.8191297360719694E-2"/>
  </r>
  <r>
    <n v="727"/>
    <s v="MERRILL LYNCH IN"/>
    <s v="Equity Index Option"/>
    <s v="1"/>
    <s v="Brokers"/>
    <m/>
    <s v="A+"/>
    <m/>
    <s v="A"/>
    <s v="A"/>
    <n v="0"/>
    <s v="A"/>
    <n v="8.0000000000000002E-3"/>
    <s v=""/>
    <n v="8.0000000000000002E-3"/>
    <n v="8.0000000000000002E-3"/>
    <n v="96790.698488185677"/>
    <x v="6"/>
    <m/>
    <m/>
    <d v="2017-02-23T00:00:00"/>
    <n v="0.14794520547945206"/>
    <n v="3"/>
    <m/>
    <n v="3"/>
    <n v="1"/>
    <s v="31"/>
    <n v="0.06"/>
    <n v="332948.86680000002"/>
    <n v="332948.86680000002"/>
    <n v="16699107.260140048"/>
    <n v="-203056.95"/>
    <m/>
    <n v="5549147.7800000003"/>
    <s v="1128007Z LN Equity"/>
    <x v="110"/>
    <n v="-5.0764237500000001E-4"/>
    <n v="0.15517073428299999"/>
    <d v="2017-05-29T10:12:30"/>
    <n v="728"/>
    <n v="3"/>
    <s v="Nifty 50"/>
    <s v="Equity Index"/>
    <m/>
    <s v="Index"/>
    <m/>
    <m/>
    <m/>
    <m/>
    <s v="1"/>
    <n v="5549147.7800000003"/>
    <m/>
    <n v="0.25490000000000002"/>
    <s v="OTC_EQUITY_OPTION - NSEI PUT 7900 23 FEB 2017 RC1"/>
    <s v="NIFTY Index"/>
    <m/>
    <m/>
    <m/>
    <m/>
    <m/>
    <m/>
    <n v="-170000"/>
    <m/>
    <s v="INR"/>
    <n v="67.959950000000006"/>
    <n v="1"/>
    <n v="-0.27100000000000002"/>
    <n v="8185.8"/>
    <m/>
    <n v="0"/>
    <n v="0"/>
    <n v="0"/>
    <n v="0"/>
    <n v="0"/>
    <n v="4.1747768150350119E-2"/>
  </r>
  <r>
    <n v="729"/>
    <s v="MERRILL LYNCH IN"/>
    <s v="Equity Index Option"/>
    <s v="1"/>
    <s v="Brokers"/>
    <m/>
    <s v="A+"/>
    <m/>
    <s v="A"/>
    <s v="A"/>
    <n v="0"/>
    <s v="A"/>
    <n v="8.0000000000000002E-3"/>
    <s v=""/>
    <n v="8.0000000000000002E-3"/>
    <n v="8.0000000000000002E-3"/>
    <n v="236478.56419172027"/>
    <x v="6"/>
    <m/>
    <m/>
    <d v="2017-02-23T00:00:00"/>
    <n v="0.14794520547945206"/>
    <n v="3"/>
    <m/>
    <n v="3"/>
    <n v="1"/>
    <s v="31"/>
    <n v="0.06"/>
    <n v="813459.05339999998"/>
    <n v="813459.05339999998"/>
    <n v="40799177.708625235"/>
    <n v="-514101.85"/>
    <m/>
    <n v="13557650.890000001"/>
    <s v="1128007Z LN Equity"/>
    <x v="111"/>
    <n v="-1.2852546249999999E-3"/>
    <n v="0.15517073428299999"/>
    <d v="2017-05-29T10:12:30"/>
    <n v="730"/>
    <n v="3"/>
    <s v="Nifty 50"/>
    <s v="Equity Index"/>
    <m/>
    <s v="Index"/>
    <m/>
    <m/>
    <m/>
    <m/>
    <s v="1"/>
    <n v="13557650.890000001"/>
    <m/>
    <n v="0.25490000000000002"/>
    <s v="OTC_EQUITY_OPTION - NSEI PUT 8000 23 FEB 2017 RC1"/>
    <s v="NIFTY Index"/>
    <m/>
    <m/>
    <m/>
    <m/>
    <m/>
    <m/>
    <n v="-337000"/>
    <m/>
    <s v="INR"/>
    <n v="67.959950000000006"/>
    <n v="1"/>
    <n v="-0.33400000000000002"/>
    <n v="8185.8"/>
    <m/>
    <n v="0"/>
    <n v="0"/>
    <n v="0"/>
    <n v="0"/>
    <n v="0"/>
    <n v="0.10199794427156308"/>
  </r>
  <r>
    <n v="731"/>
    <s v="MORGAN STANLEY &amp;"/>
    <s v="Equity Index Option"/>
    <s v="1"/>
    <s v="Brokers"/>
    <m/>
    <s v="A+"/>
    <s v="A1"/>
    <m/>
    <s v="A"/>
    <s v="A"/>
    <n v="0"/>
    <n v="8.0000000000000002E-3"/>
    <n v="8.0000000000000002E-3"/>
    <s v=""/>
    <n v="8.0000000000000002E-3"/>
    <n v="39199.431036413691"/>
    <x v="6"/>
    <m/>
    <m/>
    <d v="2017-01-25T00:00:00"/>
    <n v="6.8493150684931503E-2"/>
    <n v="3"/>
    <m/>
    <n v="3"/>
    <n v="1"/>
    <s v="31"/>
    <n v="0.06"/>
    <n v="291257.71079999994"/>
    <n v="420466.17079999996"/>
    <n v="14628129.584464196"/>
    <n v="129208.46"/>
    <m/>
    <n v="-4854295.18"/>
    <s v="56243Z LN Equity"/>
    <x v="112"/>
    <n v="3.2302114999999999E-4"/>
    <n v="0.15517073428299999"/>
    <d v="2017-05-29T10:12:30"/>
    <n v="732"/>
    <n v="3"/>
    <s v="Nifty 50"/>
    <s v="Equity Index"/>
    <m/>
    <s v="Index"/>
    <m/>
    <m/>
    <m/>
    <m/>
    <s v="1"/>
    <n v="-4854295.18"/>
    <m/>
    <n v="0"/>
    <s v="OTC_EQUITY_OPTION - NSEI PUT 8100 25 JAN 2017 RC1"/>
    <s v="NIFTY Index"/>
    <m/>
    <m/>
    <m/>
    <m/>
    <m/>
    <m/>
    <n v="115908"/>
    <m/>
    <s v="INR"/>
    <n v="67.959950000000006"/>
    <n v="1"/>
    <n v="-0.34770000000000001"/>
    <n v="8185.8"/>
    <m/>
    <n v="0"/>
    <n v="0"/>
    <n v="0"/>
    <n v="0"/>
    <n v="0"/>
    <n v="3.6570323961160493E-2"/>
  </r>
  <r>
    <n v="733"/>
    <s v="MERRILL LYNCH IN"/>
    <s v="Equity Index Option"/>
    <s v="1"/>
    <s v="Brokers"/>
    <m/>
    <s v="A+"/>
    <m/>
    <s v="A"/>
    <s v="A"/>
    <n v="0"/>
    <s v="A"/>
    <n v="8.0000000000000002E-3"/>
    <s v=""/>
    <n v="8.0000000000000002E-3"/>
    <n v="8.0000000000000002E-3"/>
    <n v="140395.88519752343"/>
    <x v="6"/>
    <m/>
    <m/>
    <d v="2017-02-23T00:00:00"/>
    <n v="0.14794520547945206"/>
    <n v="3"/>
    <m/>
    <n v="3"/>
    <n v="1"/>
    <s v="31"/>
    <n v="0.06"/>
    <n v="482945.69219999999"/>
    <n v="482945.69219999999"/>
    <n v="24222223.647677485"/>
    <n v="-321255.40999999997"/>
    <m/>
    <n v="8049094.8700000001"/>
    <s v="1128007Z LN Equity"/>
    <x v="113"/>
    <n v="-8.0313852499999997E-4"/>
    <n v="0.15517073428299999"/>
    <d v="2017-05-29T10:12:30"/>
    <n v="734"/>
    <n v="3"/>
    <s v="Nifty 50"/>
    <s v="Equity Index"/>
    <m/>
    <s v="Index"/>
    <m/>
    <m/>
    <m/>
    <m/>
    <s v="1"/>
    <n v="8049094.8700000001"/>
    <m/>
    <n v="0.25490000000000002"/>
    <s v="OTC_EQUITY_OPTION - NSEI PUT 8100 23 FEB 2017 RC1"/>
    <s v="NIFTY Index"/>
    <m/>
    <m/>
    <m/>
    <m/>
    <m/>
    <m/>
    <n v="-165000"/>
    <m/>
    <s v="INR"/>
    <n v="67.959950000000006"/>
    <n v="1"/>
    <n v="-0.40500000000000003"/>
    <n v="8185.8"/>
    <m/>
    <n v="0"/>
    <n v="0"/>
    <n v="0"/>
    <n v="0"/>
    <n v="0"/>
    <n v="6.0555559119193712E-2"/>
  </r>
  <r>
    <n v="735"/>
    <s v="MORGAN STANLEY &amp;"/>
    <s v="Equity Index Option"/>
    <s v="1"/>
    <s v="Brokers"/>
    <m/>
    <s v="A+"/>
    <s v="A1"/>
    <m/>
    <s v="A"/>
    <s v="A"/>
    <n v="0"/>
    <n v="8.0000000000000002E-3"/>
    <n v="8.0000000000000002E-3"/>
    <s v=""/>
    <n v="8.0000000000000002E-3"/>
    <n v="68560.485139450684"/>
    <x v="6"/>
    <m/>
    <m/>
    <d v="2017-01-25T00:00:00"/>
    <n v="6.8493150684931503E-2"/>
    <n v="3"/>
    <m/>
    <n v="3"/>
    <n v="1"/>
    <s v="31"/>
    <n v="0.06"/>
    <n v="509414.79059999995"/>
    <n v="509414.79059999995"/>
    <n v="25549785.797112025"/>
    <n v="-448099.46"/>
    <m/>
    <n v="8490246.5099999998"/>
    <s v="56243Z LN Equity"/>
    <x v="114"/>
    <n v="-1.1202486500000001E-3"/>
    <n v="0.15517073428299999"/>
    <d v="2017-05-29T10:12:30"/>
    <n v="736"/>
    <n v="3"/>
    <s v="Nifty 50"/>
    <s v="Equity Index"/>
    <m/>
    <s v="Index"/>
    <m/>
    <m/>
    <m/>
    <m/>
    <s v="1"/>
    <n v="8490246.5099999998"/>
    <m/>
    <n v="0.25490000000000002"/>
    <s v="OTC_EQUITY_OPTION - NSEI PUT 8600 25 JAN 2017 RC1"/>
    <s v="NIFTY Index"/>
    <m/>
    <m/>
    <m/>
    <m/>
    <m/>
    <m/>
    <n v="-77272"/>
    <m/>
    <s v="INR"/>
    <n v="67.959950000000006"/>
    <n v="1"/>
    <n v="-0.91220000000000001"/>
    <n v="8185.8"/>
    <m/>
    <n v="0"/>
    <n v="0"/>
    <n v="0"/>
    <n v="0"/>
    <n v="0"/>
    <n v="6.3874464492780059E-2"/>
  </r>
  <r>
    <n v="737"/>
    <s v="MORGAN STANLEY &amp;"/>
    <s v="Equity Index Option"/>
    <s v="1"/>
    <s v="Brokers"/>
    <m/>
    <s v="A+"/>
    <s v="A1"/>
    <m/>
    <s v="A"/>
    <s v="A"/>
    <n v="0"/>
    <n v="8.0000000000000002E-3"/>
    <n v="8.0000000000000002E-3"/>
    <s v=""/>
    <n v="8.0000000000000002E-3"/>
    <n v="57092.69144204427"/>
    <x v="6"/>
    <m/>
    <m/>
    <d v="2017-03-17T00:00:00"/>
    <n v="0.20821917808219179"/>
    <n v="3"/>
    <m/>
    <n v="3"/>
    <n v="1"/>
    <s v="31"/>
    <n v="0.06"/>
    <n v="139541.89019999999"/>
    <n v="139541.89019999999"/>
    <n v="6998747.3275655713"/>
    <n v="-125640.36"/>
    <m/>
    <n v="-2325698.17"/>
    <s v="56243Z LN Equity"/>
    <x v="115"/>
    <n v="-3.1410090000000003E-4"/>
    <n v="0.15517073428299999"/>
    <d v="2017-05-29T10:12:30"/>
    <n v="738"/>
    <n v="3"/>
    <s v="S&amp;P 500 INDEX"/>
    <s v="Equity Index"/>
    <m/>
    <s v="Index"/>
    <m/>
    <m/>
    <m/>
    <m/>
    <s v="1"/>
    <n v="-2325698.17"/>
    <m/>
    <n v="0"/>
    <s v="OTC_EQUITY_OPTION - SPX CALL 2204 17 MAR 2017 RC1"/>
    <s v="SPX Index"/>
    <m/>
    <m/>
    <m/>
    <m/>
    <m/>
    <m/>
    <n v="-1701"/>
    <m/>
    <s v="USD"/>
    <n v="1"/>
    <n v="1"/>
    <n v="0.61070000000000002"/>
    <n v="2238.83"/>
    <m/>
    <n v="0"/>
    <n v="0"/>
    <n v="0"/>
    <n v="0"/>
    <n v="0"/>
    <n v="1.7496868318913929E-2"/>
  </r>
  <r>
    <n v="739"/>
    <s v="MORGAN STANLEY &amp;"/>
    <s v="Equity Index Option"/>
    <s v="1"/>
    <s v="Brokers"/>
    <m/>
    <s v="A+"/>
    <s v="A1"/>
    <m/>
    <s v="A"/>
    <s v="A"/>
    <n v="0"/>
    <n v="8.0000000000000002E-3"/>
    <n v="8.0000000000000002E-3"/>
    <s v=""/>
    <n v="8.0000000000000002E-3"/>
    <n v="74458.096887123073"/>
    <x v="6"/>
    <m/>
    <m/>
    <d v="2017-03-17T00:00:00"/>
    <n v="0.20821917808219179"/>
    <n v="3"/>
    <m/>
    <n v="3"/>
    <n v="1"/>
    <s v="31"/>
    <n v="0.06"/>
    <n v="181985.17739999999"/>
    <n v="337478.28739999997"/>
    <n v="9151625.6236604284"/>
    <n v="155493.10999999999"/>
    <m/>
    <n v="-3033086.29"/>
    <s v="56243Z LN Equity"/>
    <x v="116"/>
    <n v="3.8873277499999997E-4"/>
    <n v="0.15517073428299999"/>
    <d v="2017-05-29T10:12:30"/>
    <n v="740"/>
    <n v="3"/>
    <s v="S&amp;P 500 INDEX"/>
    <s v="Equity Index"/>
    <m/>
    <s v="Index"/>
    <m/>
    <m/>
    <m/>
    <m/>
    <s v="1"/>
    <n v="-3033086.29"/>
    <m/>
    <n v="0"/>
    <s v="OTC_EQUITY_OPTION - SPX PUT 1900 17 MAR 2017 RC1"/>
    <s v="SPX Index"/>
    <m/>
    <m/>
    <m/>
    <m/>
    <m/>
    <m/>
    <n v="23358"/>
    <m/>
    <s v="USD"/>
    <n v="1"/>
    <n v="1"/>
    <n v="-5.8000000000000003E-2"/>
    <n v="2238.83"/>
    <m/>
    <n v="0"/>
    <n v="0"/>
    <n v="0"/>
    <n v="0"/>
    <n v="0"/>
    <n v="2.287906405915107E-2"/>
  </r>
  <r>
    <n v="741"/>
    <s v="DEUTSCHE BANK-RG"/>
    <s v="Equity Inde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166009.69423386565"/>
    <x v="6"/>
    <m/>
    <m/>
    <d v="2017-03-17T00:00:00"/>
    <n v="0.20821917808219179"/>
    <n v="3"/>
    <m/>
    <n v="3"/>
    <n v="1"/>
    <s v="31"/>
    <n v="0.06"/>
    <n v="405749.07119999995"/>
    <n v="743684.68119999999"/>
    <n v="20402851.658056822"/>
    <n v="337935.61"/>
    <m/>
    <n v="-6762484.5199999996"/>
    <s v="DBK GR Equity"/>
    <x v="117"/>
    <n v="8.4483902500000002E-4"/>
    <n v="0.15517073428299999"/>
    <d v="2017-05-29T10:12:30"/>
    <n v="742"/>
    <n v="3"/>
    <s v="S&amp;P 500 INDEX"/>
    <s v="Equity Index"/>
    <m/>
    <s v="Index"/>
    <m/>
    <m/>
    <m/>
    <m/>
    <s v="1"/>
    <n v="-6762484.5199999996"/>
    <m/>
    <n v="0"/>
    <s v="OTC_EQUITY_OPTION - SPX PUT 1975 17 MAR 2017 RC1"/>
    <s v="SPX Index"/>
    <m/>
    <m/>
    <m/>
    <m/>
    <m/>
    <m/>
    <n v="32832"/>
    <m/>
    <s v="USD"/>
    <n v="1"/>
    <n v="1"/>
    <n v="-9.1999999999999998E-2"/>
    <n v="2238.83"/>
    <m/>
    <n v="0"/>
    <n v="0"/>
    <n v="0"/>
    <n v="0"/>
    <n v="0"/>
    <n v="5.1007129145142056E-2"/>
  </r>
  <r>
    <n v="743"/>
    <s v="MORGAN STANLEY &amp;"/>
    <s v="Equity Index Option"/>
    <s v="1"/>
    <s v="Brokers"/>
    <m/>
    <s v="A+"/>
    <s v="A1"/>
    <m/>
    <s v="A"/>
    <s v="A"/>
    <n v="0"/>
    <n v="8.0000000000000002E-3"/>
    <n v="8.0000000000000002E-3"/>
    <s v=""/>
    <n v="8.0000000000000002E-3"/>
    <n v="143347.18680567038"/>
    <x v="6"/>
    <m/>
    <m/>
    <d v="2017-03-17T00:00:00"/>
    <n v="0.20821917808219179"/>
    <n v="3"/>
    <m/>
    <n v="3"/>
    <n v="1"/>
    <s v="31"/>
    <n v="0.06"/>
    <n v="350358.98459999997"/>
    <n v="642161.93460000004"/>
    <n v="17617593.968920473"/>
    <n v="291802.95"/>
    <m/>
    <n v="-5839316.4100000001"/>
    <s v="56243Z LN Equity"/>
    <x v="118"/>
    <n v="7.2950737500000003E-4"/>
    <n v="0.15517073428299999"/>
    <d v="2017-05-29T10:12:30"/>
    <n v="744"/>
    <n v="3"/>
    <s v="S&amp;P 500 INDEX"/>
    <s v="Equity Index"/>
    <m/>
    <s v="Index"/>
    <m/>
    <m/>
    <m/>
    <m/>
    <s v="1"/>
    <n v="-5839316.4100000001"/>
    <m/>
    <n v="0"/>
    <s v="OTC_EQUITY_OPTION - SPX PUT 1975 17 MAR 2017 RC1 MS"/>
    <s v="SPX Index"/>
    <m/>
    <m/>
    <m/>
    <m/>
    <m/>
    <m/>
    <n v="28350"/>
    <m/>
    <s v="USD"/>
    <n v="1"/>
    <n v="1"/>
    <n v="-9.1999999999999998E-2"/>
    <n v="2238.83"/>
    <m/>
    <n v="0"/>
    <n v="0"/>
    <n v="0"/>
    <n v="0"/>
    <n v="0"/>
    <n v="4.4043984922301181E-2"/>
  </r>
  <r>
    <n v="745"/>
    <s v="MORGAN STANLEY &amp;"/>
    <s v="Equity Index Option"/>
    <s v="1"/>
    <s v="Brokers"/>
    <m/>
    <s v="A+"/>
    <s v="A1"/>
    <m/>
    <s v="A"/>
    <s v="A"/>
    <n v="0"/>
    <n v="8.0000000000000002E-3"/>
    <n v="8.0000000000000002E-3"/>
    <s v=""/>
    <n v="8.0000000000000002E-3"/>
    <n v="164537.64037502906"/>
    <x v="6"/>
    <m/>
    <m/>
    <d v="2017-03-17T00:00:00"/>
    <n v="0.20821917808219179"/>
    <n v="3"/>
    <m/>
    <n v="3"/>
    <n v="1"/>
    <s v="31"/>
    <n v="0.06"/>
    <n v="402151.18199999997"/>
    <n v="740734.97199999995"/>
    <n v="20222499.48951434"/>
    <n v="338583.79"/>
    <m/>
    <n v="-6702519.7000000002"/>
    <s v="56243Z LN Equity"/>
    <x v="119"/>
    <n v="8.4645947499999998E-4"/>
    <n v="0.15517073428299999"/>
    <d v="2017-05-29T10:12:30"/>
    <n v="746"/>
    <n v="3"/>
    <s v="S&amp;P 500 INDEX"/>
    <s v="Equity Index"/>
    <m/>
    <s v="Index"/>
    <m/>
    <m/>
    <m/>
    <m/>
    <s v="1"/>
    <n v="-6702519.7000000002"/>
    <m/>
    <n v="0"/>
    <s v="OTC_EQUITY_OPTION - SPX PUT 2000 17 MAR 2017 RC1"/>
    <s v="SPX Index"/>
    <m/>
    <m/>
    <m/>
    <m/>
    <m/>
    <m/>
    <n v="28350"/>
    <m/>
    <s v="USD"/>
    <n v="1"/>
    <n v="1"/>
    <n v="-0.1056"/>
    <n v="2238.83"/>
    <m/>
    <n v="0"/>
    <n v="0"/>
    <n v="0"/>
    <n v="0"/>
    <n v="0"/>
    <n v="5.0556248723785849E-2"/>
  </r>
  <r>
    <n v="747"/>
    <s v="MORGAN STANLEY &amp;"/>
    <s v="Equity Index Option"/>
    <s v="1"/>
    <s v="Brokers"/>
    <m/>
    <s v="A+"/>
    <s v="A1"/>
    <m/>
    <s v="A"/>
    <s v="A"/>
    <n v="0"/>
    <n v="8.0000000000000002E-3"/>
    <n v="8.0000000000000002E-3"/>
    <s v=""/>
    <n v="8.0000000000000002E-3"/>
    <n v="392179.70010463323"/>
    <x v="6"/>
    <m/>
    <m/>
    <d v="2017-03-17T00:00:00"/>
    <n v="0.20821917808219179"/>
    <n v="3"/>
    <m/>
    <n v="3"/>
    <n v="1"/>
    <s v="31"/>
    <n v="0.06"/>
    <n v="958537.69139999989"/>
    <n v="958537.69139999989"/>
    <n v="48075621.567412473"/>
    <n v="-762123.45"/>
    <m/>
    <n v="15975628.189999999"/>
    <s v="56243Z LN Equity"/>
    <x v="120"/>
    <n v="-1.905308625E-3"/>
    <n v="0.15517073428299999"/>
    <d v="2017-05-29T10:12:30"/>
    <n v="748"/>
    <n v="3"/>
    <s v="S&amp;P 500 INDEX"/>
    <s v="Equity Index"/>
    <m/>
    <s v="Index"/>
    <m/>
    <m/>
    <m/>
    <m/>
    <s v="1"/>
    <n v="15975628.189999999"/>
    <m/>
    <n v="0.14810000000000001"/>
    <s v="OTC_EQUITY_OPTION - SPX PUT 2100 17 MAR 2017 RC1"/>
    <s v="SPX Index"/>
    <m/>
    <m/>
    <m/>
    <m/>
    <m/>
    <m/>
    <n v="-34472"/>
    <m/>
    <s v="USD"/>
    <n v="1"/>
    <n v="1"/>
    <n v="-0.20699999999999999"/>
    <n v="2238.83"/>
    <m/>
    <n v="0"/>
    <n v="0"/>
    <n v="0"/>
    <n v="0"/>
    <n v="0"/>
    <n v="0.12018905391853119"/>
  </r>
  <r>
    <n v="749"/>
    <s v="DEUTSCHE BANK-RG"/>
    <s v="Equity Inde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249014.54159628475"/>
    <x v="6"/>
    <m/>
    <m/>
    <d v="2017-03-17T00:00:00"/>
    <n v="0.20821917808219179"/>
    <n v="3"/>
    <m/>
    <n v="3"/>
    <n v="1"/>
    <s v="31"/>
    <n v="0.06"/>
    <n v="608623.60739999998"/>
    <n v="608623.60739999998"/>
    <n v="30525620.942062225"/>
    <n v="-483910.37"/>
    <m/>
    <n v="10143726.789999999"/>
    <s v="DBK GR Equity"/>
    <x v="121"/>
    <n v="-1.2097759249999999E-3"/>
    <n v="0.15517073428299999"/>
    <d v="2017-05-29T10:12:30"/>
    <n v="750"/>
    <n v="3"/>
    <s v="S&amp;P 500 INDEX"/>
    <s v="Equity Index"/>
    <m/>
    <s v="Index"/>
    <m/>
    <m/>
    <m/>
    <m/>
    <s v="1"/>
    <n v="10143726.789999999"/>
    <m/>
    <n v="0.14810000000000001"/>
    <s v="OTC_EQUITY_OPTION - SPX PUT 2100 17 MAR 2017 RC1 DB"/>
    <s v="SPX Index"/>
    <m/>
    <m/>
    <m/>
    <m/>
    <m/>
    <m/>
    <n v="-21888"/>
    <m/>
    <s v="USD"/>
    <n v="1"/>
    <n v="1"/>
    <n v="-0.20699999999999999"/>
    <n v="2238.83"/>
    <m/>
    <n v="0"/>
    <n v="0"/>
    <n v="0"/>
    <n v="0"/>
    <n v="0"/>
    <n v="7.6314052355155565E-2"/>
  </r>
  <r>
    <n v="751"/>
    <s v="MORGAN STANLEY &amp;"/>
    <s v="Equity Index Option"/>
    <s v="1"/>
    <s v="Brokers"/>
    <m/>
    <s v="A+"/>
    <s v="A1"/>
    <m/>
    <s v="A"/>
    <s v="A"/>
    <n v="0"/>
    <n v="8.0000000000000002E-3"/>
    <n v="8.0000000000000002E-3"/>
    <s v=""/>
    <n v="8.0000000000000002E-3"/>
    <n v="236003.48429082811"/>
    <x v="6"/>
    <m/>
    <m/>
    <d v="2017-03-17T00:00:00"/>
    <n v="0.20821917808219179"/>
    <n v="3"/>
    <m/>
    <n v="3"/>
    <n v="1"/>
    <s v="31"/>
    <n v="0.06"/>
    <n v="576822.90780000004"/>
    <n v="576822.90780000004"/>
    <n v="28930651.424154583"/>
    <n v="-490291.55"/>
    <m/>
    <n v="9613715.1300000008"/>
    <s v="56243Z LN Equity"/>
    <x v="122"/>
    <n v="-1.2257288749999999E-3"/>
    <n v="0.15517073428299999"/>
    <d v="2017-05-29T10:12:30"/>
    <n v="752"/>
    <n v="3"/>
    <s v="S&amp;P 500 INDEX"/>
    <s v="Equity Index"/>
    <m/>
    <s v="Index"/>
    <m/>
    <m/>
    <m/>
    <m/>
    <s v="1"/>
    <n v="9613715.1300000008"/>
    <m/>
    <n v="0.14810000000000001"/>
    <s v="OTC_EQUITY_OPTION - SPX PUT 2125 17 MAR 2017 RC1"/>
    <s v="SPX Index"/>
    <m/>
    <m/>
    <m/>
    <m/>
    <m/>
    <m/>
    <n v="-18900"/>
    <m/>
    <s v="USD"/>
    <n v="1"/>
    <n v="1"/>
    <n v="-0.22720000000000001"/>
    <n v="2238.83"/>
    <m/>
    <n v="0"/>
    <n v="0"/>
    <n v="0"/>
    <n v="0"/>
    <n v="0"/>
    <n v="7.2326628560386463E-2"/>
  </r>
  <r>
    <n v="753"/>
    <s v="MORGAN STANLEY &amp;"/>
    <s v="Equity Index Option"/>
    <s v="1"/>
    <s v="Brokers"/>
    <m/>
    <s v="A+"/>
    <s v="A1"/>
    <m/>
    <s v="A"/>
    <s v="A"/>
    <n v="0"/>
    <n v="8.0000000000000002E-3"/>
    <n v="8.0000000000000002E-3"/>
    <s v=""/>
    <n v="8.0000000000000002E-3"/>
    <n v="35945.865197454477"/>
    <x v="6"/>
    <m/>
    <m/>
    <d v="2017-03-17T00:00:00"/>
    <n v="0.20821917808219179"/>
    <n v="3"/>
    <m/>
    <n v="3"/>
    <n v="1"/>
    <s v="31"/>
    <n v="0.06"/>
    <n v="87856.323600000003"/>
    <n v="162537.3236"/>
    <n v="4418037.2158514056"/>
    <n v="74681"/>
    <m/>
    <n v="-1464272.06"/>
    <s v="56243Z LN Equity"/>
    <x v="123"/>
    <n v="1.867025E-4"/>
    <n v="0.15517073428299999"/>
    <d v="2017-05-29T10:12:30"/>
    <n v="754"/>
    <n v="3"/>
    <s v="S&amp;P 500 INDEX"/>
    <s v="Equity Index"/>
    <m/>
    <s v="Index"/>
    <m/>
    <m/>
    <m/>
    <m/>
    <s v="1"/>
    <n v="-1464272.06"/>
    <m/>
    <n v="0"/>
    <s v="OTC_EQUITY_OPTION - SPX PUT 2204 17 MAR 2017 RC1"/>
    <s v="SPX Index"/>
    <m/>
    <m/>
    <m/>
    <m/>
    <m/>
    <m/>
    <n v="1701"/>
    <m/>
    <s v="USD"/>
    <n v="1"/>
    <n v="1"/>
    <n v="-0.38450000000000001"/>
    <n v="2238.83"/>
    <m/>
    <n v="0"/>
    <n v="0"/>
    <n v="0"/>
    <n v="0"/>
    <n v="0"/>
    <n v="1.1045093039628515E-2"/>
  </r>
  <r>
    <n v="755"/>
    <s v="DEUTSCHE BANK-RG"/>
    <s v="F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980006.93698630144"/>
    <x v="4"/>
    <m/>
    <m/>
    <d v="2017-03-15T00:00:00"/>
    <n v="0.20273972602739726"/>
    <n v="1"/>
    <m/>
    <n v="1"/>
    <n v="1"/>
    <s v="11"/>
    <n v="0.01"/>
    <n v="410000"/>
    <n v="918277"/>
    <n v="142489.71636519037"/>
    <n v="508277"/>
    <m/>
    <n v="41000000"/>
    <s v="DBK GR Equity"/>
    <x v="124"/>
    <n v="1.2706925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1000000"/>
    <m/>
    <s v="USD"/>
    <n v="1"/>
    <m/>
    <m/>
    <m/>
    <m/>
    <n v="0"/>
    <n v="0"/>
    <n v="0"/>
    <n v="0"/>
    <n v="0"/>
    <n v="3.5622429091297593E-4"/>
  </r>
  <r>
    <n v="756"/>
    <s v="DEUTSCHE BANK-RG"/>
    <s v="F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980006.93698630144"/>
    <x v="4"/>
    <m/>
    <m/>
    <d v="2017-03-15T00:00:00"/>
    <n v="0.20273972602739726"/>
    <n v="1"/>
    <m/>
    <n v="1"/>
    <n v="1"/>
    <s v="11"/>
    <n v="0.01"/>
    <n v="410000"/>
    <n v="849971"/>
    <n v="131890.62418925579"/>
    <n v="439971"/>
    <m/>
    <n v="41000000"/>
    <s v="DBK GR Equity"/>
    <x v="125"/>
    <n v="1.0999275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41000000"/>
    <m/>
    <s v="USD"/>
    <n v="1"/>
    <m/>
    <m/>
    <m/>
    <m/>
    <n v="0"/>
    <n v="0"/>
    <n v="0"/>
    <n v="0"/>
    <n v="0"/>
    <n v="3.2972656047313949E-4"/>
  </r>
  <r>
    <n v="757"/>
    <s v="DEUTSCHE BANK-RG"/>
    <s v="F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1960013.8739726029"/>
    <x v="4"/>
    <m/>
    <m/>
    <d v="2017-03-15T00:00:00"/>
    <n v="0.20273972602739726"/>
    <n v="1"/>
    <m/>
    <n v="1"/>
    <n v="1"/>
    <s v="11"/>
    <n v="0.01"/>
    <n v="820000"/>
    <n v="1347834"/>
    <n v="209144.391471593"/>
    <n v="527834"/>
    <m/>
    <n v="82000000"/>
    <s v="DBK GR Equity"/>
    <x v="126"/>
    <n v="1.3195850000000001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82000000"/>
    <m/>
    <s v="USD"/>
    <n v="1"/>
    <m/>
    <m/>
    <m/>
    <m/>
    <n v="0"/>
    <n v="0"/>
    <n v="0"/>
    <n v="0"/>
    <n v="0"/>
    <n v="5.2286097867898246E-4"/>
  </r>
  <r>
    <n v="758"/>
    <s v="DEUTSCHE BANK-RG"/>
    <s v="F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1960013.8739726029"/>
    <x v="4"/>
    <m/>
    <m/>
    <d v="2017-03-15T00:00:00"/>
    <n v="0.20273972602739726"/>
    <n v="1"/>
    <m/>
    <n v="1"/>
    <n v="1"/>
    <s v="11"/>
    <n v="0.01"/>
    <n v="820000"/>
    <n v="820000"/>
    <n v="127240.00211205998"/>
    <n v="-997694"/>
    <m/>
    <n v="-82000000"/>
    <s v="DBK GR Equity"/>
    <x v="127"/>
    <n v="-2.494235E-3"/>
    <n v="0.15517073428299999"/>
    <d v="2017-05-29T10:12:30"/>
    <m/>
    <m/>
    <m/>
    <m/>
    <m/>
    <m/>
    <m/>
    <m/>
    <m/>
    <m/>
    <m/>
    <m/>
    <m/>
    <m/>
    <m/>
    <m/>
    <m/>
    <m/>
    <m/>
    <m/>
    <m/>
    <m/>
    <n v="-82000000"/>
    <m/>
    <s v="USD"/>
    <n v="1"/>
    <m/>
    <m/>
    <m/>
    <m/>
    <n v="0"/>
    <n v="0"/>
    <n v="0"/>
    <n v="0"/>
    <n v="0"/>
    <n v="3.1810000528014994E-4"/>
  </r>
  <r>
    <n v="759"/>
    <s v="SHINHAN INVESTME"/>
    <s v="Equity Index Option"/>
    <s v="1"/>
    <s v="Banks"/>
    <m/>
    <m/>
    <m/>
    <m/>
    <n v="0"/>
    <n v="0"/>
    <n v="0"/>
    <s v=""/>
    <s v=""/>
    <s v=""/>
    <n v="0.1"/>
    <n v="2235092.7257503774"/>
    <x v="6"/>
    <m/>
    <m/>
    <d v="2017-03-09T00:00:00"/>
    <n v="0.18630136986301371"/>
    <n v="3"/>
    <m/>
    <n v="3"/>
    <n v="1"/>
    <s v="31"/>
    <n v="0.06"/>
    <n v="429830.24219999998"/>
    <n v="667535.16220000002"/>
    <n v="24161652.7588"/>
    <n v="237704.92"/>
    <m/>
    <n v="-7163837.3700000001"/>
    <s v="008670 KS Equity"/>
    <x v="128"/>
    <n v="5.9426230000000002E-4"/>
    <n v="4"/>
    <d v="2017-05-29T10:12:30"/>
    <n v="760"/>
    <n v="3"/>
    <s v="KOSPI 200 INDEX"/>
    <s v="Equity Index"/>
    <m/>
    <s v="Index"/>
    <m/>
    <m/>
    <m/>
    <m/>
    <s v="1"/>
    <n v="-7163837.3700000001"/>
    <m/>
    <n v="0"/>
    <s v="March 17 Puts on KOSPI2 Put 230 09/03/2017"/>
    <s v="KOSPI2 Index"/>
    <m/>
    <m/>
    <m/>
    <m/>
    <m/>
    <m/>
    <n v="1305"/>
    <m/>
    <s v="KRW"/>
    <n v="1207.8"/>
    <n v="500000"/>
    <n v="-5.0999999999999997E-2"/>
    <n v="260.01"/>
    <m/>
    <n v="0"/>
    <n v="0"/>
    <n v="0"/>
    <n v="0"/>
    <n v="0"/>
    <n v="6.0404131897000002E-2"/>
  </r>
  <r>
    <n v="761"/>
    <s v="SHINHAN INVESTME"/>
    <s v="Equity Index Option"/>
    <s v="1"/>
    <s v="Banks"/>
    <m/>
    <m/>
    <m/>
    <m/>
    <n v="0"/>
    <n v="0"/>
    <n v="0"/>
    <s v=""/>
    <s v=""/>
    <s v=""/>
    <n v="0.1"/>
    <n v="4733137.5379843153"/>
    <x v="6"/>
    <m/>
    <m/>
    <d v="2017-03-09T00:00:00"/>
    <n v="0.18630136986301371"/>
    <n v="3"/>
    <m/>
    <n v="3"/>
    <n v="1"/>
    <s v="31"/>
    <n v="0.06"/>
    <n v="910228.74840000004"/>
    <n v="910228.74840000004"/>
    <n v="49152352.413600005"/>
    <n v="-515027.32"/>
    <m/>
    <n v="15170479.140000001"/>
    <s v="008670 KS Equity"/>
    <x v="129"/>
    <n v="-1.2875683000000001E-3"/>
    <n v="4"/>
    <d v="2017-05-29T10:12:30"/>
    <n v="762"/>
    <n v="3"/>
    <s v="KOSPI 200 INDEX"/>
    <s v="Equity Index"/>
    <m/>
    <s v="Index"/>
    <m/>
    <m/>
    <m/>
    <m/>
    <s v="1"/>
    <n v="15170479.140000001"/>
    <m/>
    <n v="0.1341"/>
    <s v="March 17 Puts on KOSPI2 Put 245 09/03/2017"/>
    <s v="KOSPI2 Index"/>
    <m/>
    <m/>
    <m/>
    <m/>
    <m/>
    <m/>
    <n v="-870"/>
    <m/>
    <s v="KRW"/>
    <n v="1207.8"/>
    <n v="500000"/>
    <n v="-0.16200000000000001"/>
    <n v="260.01"/>
    <m/>
    <n v="0"/>
    <n v="0"/>
    <n v="0"/>
    <n v="0"/>
    <n v="0"/>
    <n v="0.12288088103400001"/>
  </r>
  <r>
    <n v="763"/>
    <s v="DEUTSCHE BANK-RG"/>
    <s v="Equity Inde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4777.2727173443291"/>
    <x v="6"/>
    <m/>
    <m/>
    <d v="2017-01-13T00:00:00"/>
    <n v="3.5616438356164383E-2"/>
    <n v="3"/>
    <m/>
    <n v="3"/>
    <n v="1"/>
    <s v="31"/>
    <n v="0.06"/>
    <n v="68261.269199999995"/>
    <n v="105181.58919999999"/>
    <n v="3429384.564429217"/>
    <n v="36920.32"/>
    <m/>
    <n v="-1137687.82"/>
    <s v="DBK GR Equity"/>
    <x v="130"/>
    <n v="9.2300799999999996E-5"/>
    <n v="0.15517073428299999"/>
    <d v="2017-05-29T10:12:30"/>
    <n v="764"/>
    <n v="3"/>
    <s v="NIKKEI 225"/>
    <s v="Equity Index"/>
    <m/>
    <s v="Index"/>
    <m/>
    <m/>
    <m/>
    <m/>
    <s v="1"/>
    <n v="-1137687.82"/>
    <m/>
    <n v="0"/>
    <s v="January 17 Puts on NKY Put 17750 13/01/2017"/>
    <s v="NKY Index"/>
    <m/>
    <m/>
    <m/>
    <m/>
    <m/>
    <m/>
    <n v="131"/>
    <m/>
    <s v="JPY"/>
    <n v="117.09"/>
    <n v="1000"/>
    <n v="-5.3199999999999997E-2"/>
    <n v="19114.37"/>
    <m/>
    <n v="0"/>
    <n v="0"/>
    <n v="0"/>
    <n v="0"/>
    <n v="0"/>
    <n v="8.5734614110730429E-3"/>
  </r>
  <r>
    <n v="765"/>
    <s v="DEUTSCHE BANK-RG"/>
    <s v="Equity Inde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11727.665783649863"/>
    <x v="6"/>
    <m/>
    <m/>
    <d v="2017-01-13T00:00:00"/>
    <n v="3.5616438356164383E-2"/>
    <n v="3"/>
    <m/>
    <n v="3"/>
    <n v="1"/>
    <s v="31"/>
    <n v="0.06"/>
    <n v="167573.71799999999"/>
    <n v="167573.71799999999"/>
    <n v="8404688.4368685912"/>
    <n v="-78315.820000000007"/>
    <m/>
    <n v="2792895.3"/>
    <s v="DBK GR Equity"/>
    <x v="131"/>
    <n v="-1.9578955000000003E-4"/>
    <n v="0.15517073428299999"/>
    <d v="2017-05-29T10:12:30"/>
    <n v="766"/>
    <n v="3"/>
    <s v="NIKKEI 225"/>
    <s v="Equity Index"/>
    <m/>
    <s v="Index"/>
    <m/>
    <m/>
    <m/>
    <m/>
    <s v="1"/>
    <n v="2792895.3"/>
    <m/>
    <n v="3.0300000000000001E-2"/>
    <s v="January 17 Puts on NKY Put 18250 13/01/2017"/>
    <s v="NKY Index"/>
    <m/>
    <m/>
    <m/>
    <m/>
    <m/>
    <m/>
    <n v="-131"/>
    <m/>
    <s v="JPY"/>
    <n v="117.09"/>
    <n v="1000"/>
    <n v="-0.13059999999999999"/>
    <n v="19114.37"/>
    <m/>
    <n v="0"/>
    <n v="0"/>
    <n v="0"/>
    <n v="0"/>
    <n v="0"/>
    <n v="2.1011721092171479E-2"/>
  </r>
  <r>
    <n v="767"/>
    <s v="DEUTSCHE BANK-RG"/>
    <s v="Equity Inde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21569.497438514467"/>
    <x v="6"/>
    <m/>
    <m/>
    <d v="2017-01-13T00:00:00"/>
    <n v="3.5616438356164383E-2"/>
    <n v="3"/>
    <m/>
    <n v="3"/>
    <n v="1"/>
    <s v="31"/>
    <n v="0.06"/>
    <n v="308201.21819999994"/>
    <n v="437204.54819999996"/>
    <n v="15477902.260776062"/>
    <n v="129003.33"/>
    <m/>
    <n v="-5136686.97"/>
    <s v="DBK GR Equity"/>
    <x v="132"/>
    <n v="3.22508325E-4"/>
    <n v="0.15517073428299999"/>
    <d v="2017-05-29T10:12:30"/>
    <n v="768"/>
    <n v="3"/>
    <s v="NIKKEI 225"/>
    <s v="Equity Index"/>
    <m/>
    <s v="Index"/>
    <m/>
    <m/>
    <m/>
    <m/>
    <s v="1"/>
    <n v="-5136686.97"/>
    <m/>
    <n v="0"/>
    <s v="January 17 Puts on NKY Put 18500 13/01/2017"/>
    <s v="NKY Index"/>
    <m/>
    <m/>
    <m/>
    <m/>
    <m/>
    <m/>
    <n v="159"/>
    <m/>
    <s v="JPY"/>
    <n v="117.09"/>
    <n v="1000"/>
    <n v="-0.19789999999999999"/>
    <n v="19114.37"/>
    <m/>
    <n v="0"/>
    <n v="0"/>
    <n v="0"/>
    <n v="0"/>
    <n v="0"/>
    <n v="3.8694755651940152E-2"/>
  </r>
  <r>
    <n v="769"/>
    <s v="DEUTSCHE BANK-RG"/>
    <s v="Equity Index Option"/>
    <s v="1"/>
    <s v="Banks"/>
    <m/>
    <s v="A-"/>
    <s v="Baa2"/>
    <s v="A-"/>
    <s v="A"/>
    <s v="Baa"/>
    <s v="A"/>
    <n v="8.0000000000000002E-3"/>
    <n v="0.01"/>
    <n v="8.0000000000000002E-3"/>
    <n v="8.0000000000000002E-3"/>
    <n v="46670.332544953548"/>
    <x v="6"/>
    <m/>
    <m/>
    <d v="2017-01-13T00:00:00"/>
    <n v="3.5616438356164383E-2"/>
    <n v="3"/>
    <m/>
    <n v="3"/>
    <n v="1"/>
    <s v="31"/>
    <n v="0.06"/>
    <n v="666860.84759999998"/>
    <n v="666860.84759999998"/>
    <n v="33446519.667386677"/>
    <n v="-278375.61"/>
    <m/>
    <n v="11114347.460000001"/>
    <s v="DBK GR Equity"/>
    <x v="133"/>
    <n v="-6.9593902499999992E-4"/>
    <n v="0.15517073428299999"/>
    <d v="2017-05-29T10:12:30"/>
    <n v="770"/>
    <n v="3"/>
    <s v="NIKKEI 225"/>
    <s v="Equity Index"/>
    <m/>
    <s v="Index"/>
    <m/>
    <m/>
    <m/>
    <m/>
    <s v="1"/>
    <n v="11114347.460000001"/>
    <m/>
    <n v="3.0300000000000001E-2"/>
    <s v="January 17 Puts on NKY Put 19000 13/01/2017"/>
    <s v="NKY Index"/>
    <m/>
    <m/>
    <m/>
    <m/>
    <m/>
    <m/>
    <n v="-159"/>
    <m/>
    <s v="JPY"/>
    <n v="117.09"/>
    <n v="1000"/>
    <n v="-0.42820000000000003"/>
    <n v="19114.37"/>
    <m/>
    <n v="0"/>
    <n v="0"/>
    <n v="0"/>
    <n v="0"/>
    <n v="0"/>
    <n v="8.361629916846669E-2"/>
  </r>
  <r>
    <n v="77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9212829.240934268"/>
    <x v="6"/>
    <m/>
    <m/>
    <d v="2021-12-10T00:00:00"/>
    <n v="4.9452054794520546"/>
    <n v="3"/>
    <m/>
    <n v="3"/>
    <n v="2"/>
    <s v="32"/>
    <n v="0.08"/>
    <n v="5380558.8455999997"/>
    <n v="5397253.1955999993"/>
    <n v="204160132.99045289"/>
    <n v="16694.349999999999"/>
    <m/>
    <n v="67256985.569999993"/>
    <s v="BNP FP Equity"/>
    <x v="134"/>
    <n v="4.1735875E-5"/>
    <n v="0.44266522133899999"/>
    <d v="2017-05-29T10:12:30"/>
    <n v="772"/>
    <n v="3"/>
    <s v="NIKKEI 225"/>
    <s v="Equity Index"/>
    <m/>
    <s v="Index"/>
    <m/>
    <m/>
    <m/>
    <m/>
    <s v="1"/>
    <n v="67256985.569999993"/>
    <m/>
    <n v="3.0300000000000001E-2"/>
    <s v="NKY 20211210 3mJPY4bp RC1"/>
    <s v="NKY Index"/>
    <m/>
    <m/>
    <m/>
    <m/>
    <m/>
    <m/>
    <n v="412000"/>
    <n v="19114.37"/>
    <s v="JPY"/>
    <n v="117.09"/>
    <n v="1"/>
    <m/>
    <m/>
    <m/>
    <n v="0"/>
    <n v="0"/>
    <n v="0"/>
    <n v="0"/>
    <n v="0"/>
    <n v="0.51040033247613226"/>
  </r>
  <r>
    <n v="77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9234553.800070509"/>
    <x v="6"/>
    <m/>
    <m/>
    <d v="2021-12-11T00:00:00"/>
    <n v="4.9479452054794519"/>
    <n v="3"/>
    <m/>
    <n v="3"/>
    <n v="2"/>
    <s v="32"/>
    <n v="0.08"/>
    <n v="5380558.8455999997"/>
    <n v="5416680.4355999995"/>
    <n v="204169814.18850353"/>
    <n v="36121.589999999997"/>
    <m/>
    <n v="67256985.569999993"/>
    <s v="BNP FP Equity"/>
    <x v="135"/>
    <n v="9.0303974999999986E-5"/>
    <n v="0.44286487028799998"/>
    <d v="2017-05-29T10:12:30"/>
    <n v="774"/>
    <n v="3"/>
    <s v="NIKKEI 225"/>
    <s v="Equity Index"/>
    <m/>
    <s v="Index"/>
    <m/>
    <m/>
    <m/>
    <m/>
    <s v="1"/>
    <n v="67256985.569999993"/>
    <m/>
    <n v="3.0300000000000001E-2"/>
    <s v="NKY 20211211 3mJPY3bp RC1"/>
    <s v="NKY Index"/>
    <m/>
    <m/>
    <m/>
    <m/>
    <m/>
    <m/>
    <n v="412000"/>
    <n v="19114.37"/>
    <s v="JPY"/>
    <n v="117.09"/>
    <n v="1"/>
    <m/>
    <m/>
    <m/>
    <n v="0"/>
    <n v="0"/>
    <n v="0"/>
    <n v="0"/>
    <n v="0"/>
    <n v="0.51042453547125888"/>
  </r>
  <r>
    <n v="77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s v=""/>
    <n v="0"/>
    <x v="6"/>
    <m/>
    <m/>
    <d v="2017-01-04T00:00:00"/>
    <s v=""/>
    <s v=""/>
    <m/>
    <s v=""/>
    <n v="3"/>
    <s v=""/>
    <s v=""/>
    <n v="0"/>
    <n v="3919029.78"/>
    <n v="608118.72863954387"/>
    <n v="3919029.78"/>
    <m/>
    <n v="54220678.689999998"/>
    <s v="BNP FP Equity"/>
    <x v="136"/>
    <n v="9.7975744499999989E-3"/>
    <n v="0.15517073428299999"/>
    <d v="2017-05-29T10:12:30"/>
    <n v="776"/>
    <n v="3"/>
    <s v="Euro Stoxx 50 Pr"/>
    <s v="Equity Index"/>
    <m/>
    <s v="Index"/>
    <m/>
    <m/>
    <m/>
    <m/>
    <s v="1"/>
    <n v="54220678.689999998"/>
    <m/>
    <n v="0.217"/>
    <s v="SX5E 20170104 3mEUR57bp"/>
    <s v="SX5E Index"/>
    <m/>
    <m/>
    <m/>
    <m/>
    <m/>
    <m/>
    <n v="15679"/>
    <n v="3290.52"/>
    <s v="EUR"/>
    <n v="1.0509500000000001"/>
    <n v="1"/>
    <m/>
    <m/>
    <m/>
    <n v="0"/>
    <n v="0"/>
    <n v="0"/>
    <n v="0"/>
    <n v="0"/>
    <n v="1.5202968215988597E-3"/>
  </r>
  <r>
    <n v="77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6583.62136580099"/>
    <x v="6"/>
    <m/>
    <m/>
    <d v="2017-01-06T00:00:00"/>
    <n v="1.643835616438356E-2"/>
    <n v="3"/>
    <m/>
    <n v="3"/>
    <n v="1"/>
    <s v="31"/>
    <n v="0.06"/>
    <n v="3299718.5532"/>
    <n v="7428106.3832"/>
    <n v="166138552.38181338"/>
    <n v="4128387.83"/>
    <m/>
    <n v="54995309.219999999"/>
    <s v="BNP FP Equity"/>
    <x v="137"/>
    <n v="1.0320969575E-2"/>
    <n v="0.15517073428299999"/>
    <d v="2017-05-29T10:12:30"/>
    <n v="778"/>
    <n v="3"/>
    <s v="Euro Stoxx 50 Pr"/>
    <s v="Equity Index"/>
    <m/>
    <s v="Index"/>
    <m/>
    <m/>
    <m/>
    <m/>
    <s v="1"/>
    <n v="54995309.219999999"/>
    <m/>
    <n v="0.217"/>
    <s v="SX5E 20170106 3mEUR58bp"/>
    <s v="SX5E Index"/>
    <m/>
    <m/>
    <m/>
    <m/>
    <m/>
    <m/>
    <n v="15903"/>
    <n v="3290.52"/>
    <s v="EUR"/>
    <n v="1.0509500000000001"/>
    <n v="1"/>
    <m/>
    <m/>
    <m/>
    <n v="0"/>
    <n v="0"/>
    <n v="0"/>
    <n v="0"/>
    <n v="0"/>
    <n v="0.41534638095453347"/>
  </r>
  <r>
    <n v="77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68615.93253984104"/>
    <x v="6"/>
    <m/>
    <m/>
    <d v="2017-02-02T00:00:00"/>
    <n v="9.0410958904109592E-2"/>
    <n v="3"/>
    <m/>
    <n v="3"/>
    <n v="1"/>
    <s v="31"/>
    <n v="0.06"/>
    <n v="2074903.1963999998"/>
    <n v="5111473.5263999999"/>
    <n v="104538310.9203596"/>
    <n v="3036570.33"/>
    <m/>
    <n v="34581719.939999998"/>
    <s v="BNP FP Equity"/>
    <x v="138"/>
    <n v="7.5914258250000003E-3"/>
    <n v="0.15517073428299999"/>
    <d v="2017-05-29T10:12:30"/>
    <n v="780"/>
    <n v="3"/>
    <s v="Euro Stoxx 50 Pr"/>
    <s v="Equity Index"/>
    <m/>
    <s v="Index"/>
    <m/>
    <m/>
    <m/>
    <m/>
    <s v="1"/>
    <n v="34581719.939999998"/>
    <m/>
    <n v="0.217"/>
    <s v="SX5E 20170202 3mEUR52bp"/>
    <s v="SX5E Index"/>
    <m/>
    <m/>
    <m/>
    <m/>
    <m/>
    <m/>
    <n v="10000"/>
    <n v="3290.52"/>
    <s v="EUR"/>
    <n v="1.0509500000000001"/>
    <n v="1"/>
    <m/>
    <m/>
    <m/>
    <n v="0"/>
    <n v="0"/>
    <n v="0"/>
    <n v="0"/>
    <n v="0"/>
    <n v="0.26134577730089897"/>
  </r>
  <r>
    <n v="78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47765.0143080412"/>
    <x v="6"/>
    <m/>
    <m/>
    <d v="2017-03-03T00:00:00"/>
    <n v="0.16986301369863013"/>
    <n v="3"/>
    <m/>
    <n v="3"/>
    <n v="1"/>
    <s v="31"/>
    <n v="0.06"/>
    <n v="3438737.0675999997"/>
    <n v="7107684.7775999997"/>
    <n v="173039758.04599229"/>
    <n v="3668947.71"/>
    <m/>
    <n v="57312284.460000001"/>
    <s v="BNP FP Equity"/>
    <x v="139"/>
    <n v="9.1723692749999999E-3"/>
    <n v="0.15517073428299999"/>
    <d v="2017-05-29T10:12:30"/>
    <n v="782"/>
    <n v="3"/>
    <s v="Euro Stoxx 50 Pr"/>
    <s v="Equity Index"/>
    <m/>
    <s v="Index"/>
    <m/>
    <m/>
    <m/>
    <m/>
    <s v="1"/>
    <n v="57312284.460000001"/>
    <m/>
    <n v="0.217"/>
    <s v="SX5E 20170303 3mEUR47bp"/>
    <s v="SX5E Index"/>
    <m/>
    <m/>
    <m/>
    <m/>
    <m/>
    <m/>
    <n v="16573"/>
    <n v="3290.52"/>
    <s v="EUR"/>
    <n v="1.0509500000000001"/>
    <n v="1"/>
    <m/>
    <m/>
    <m/>
    <n v="0"/>
    <n v="0"/>
    <n v="0"/>
    <n v="0"/>
    <n v="0"/>
    <n v="0.43259939511498069"/>
  </r>
  <r>
    <n v="78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41631.551001858"/>
    <x v="6"/>
    <m/>
    <m/>
    <d v="2017-04-03T00:00:00"/>
    <n v="0.25479452054794521"/>
    <n v="3"/>
    <m/>
    <n v="3"/>
    <n v="1"/>
    <s v="31"/>
    <n v="0.06"/>
    <n v="2080505.4347999999"/>
    <n v="4871227.9748"/>
    <n v="104781143.7617096"/>
    <n v="2790722.54"/>
    <m/>
    <n v="34675090.579999998"/>
    <s v="BNP FP Equity"/>
    <x v="140"/>
    <n v="6.9768063499999998E-3"/>
    <n v="0.15517073428299999"/>
    <d v="2017-05-29T10:12:30"/>
    <n v="784"/>
    <n v="3"/>
    <s v="Euro Stoxx 50 Pr"/>
    <s v="Equity Index"/>
    <m/>
    <s v="Index"/>
    <m/>
    <m/>
    <m/>
    <m/>
    <s v="1"/>
    <n v="34675090.579999998"/>
    <m/>
    <n v="0.217"/>
    <s v="SX5E 20170403 3mEUR54bpTRSEUR"/>
    <s v="SX5E Index"/>
    <m/>
    <m/>
    <m/>
    <m/>
    <m/>
    <m/>
    <n v="10027"/>
    <n v="3290.52"/>
    <s v="EUR"/>
    <n v="1.0509500000000001"/>
    <n v="1"/>
    <m/>
    <m/>
    <m/>
    <n v="0"/>
    <n v="0"/>
    <n v="0"/>
    <n v="0"/>
    <n v="0"/>
    <n v="0.26195285940427399"/>
  </r>
  <r>
    <n v="78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818166.51953430334"/>
    <x v="6"/>
    <m/>
    <m/>
    <d v="2017-04-18T00:00:00"/>
    <n v="0.29589041095890412"/>
    <n v="3"/>
    <m/>
    <n v="3"/>
    <n v="1"/>
    <s v="31"/>
    <n v="0.06"/>
    <n v="1407199.3476"/>
    <n v="3212807.3975999998"/>
    <n v="70858501.062995449"/>
    <n v="1805608.05"/>
    <m/>
    <n v="23453322.460000001"/>
    <s v="BNP FP Equity"/>
    <x v="141"/>
    <n v="4.5140201250000005E-3"/>
    <n v="0.15517073428299999"/>
    <d v="2017-05-29T10:12:30"/>
    <n v="786"/>
    <n v="3"/>
    <s v="Euro Stoxx 50 Pr"/>
    <s v="Equity Index"/>
    <m/>
    <s v="Index"/>
    <m/>
    <m/>
    <m/>
    <m/>
    <s v="1"/>
    <n v="23453322.460000001"/>
    <m/>
    <n v="0.217"/>
    <s v="SX5E 20170418 3mEUR44"/>
    <s v="SX5E Index"/>
    <m/>
    <m/>
    <m/>
    <m/>
    <m/>
    <m/>
    <n v="6782"/>
    <n v="3290.52"/>
    <s v="EUR"/>
    <n v="1.0509500000000001"/>
    <n v="1"/>
    <m/>
    <m/>
    <m/>
    <n v="0"/>
    <n v="0"/>
    <n v="0"/>
    <n v="0"/>
    <n v="0"/>
    <n v="0.17714625265748862"/>
  </r>
  <r>
    <n v="78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723898.3126904145"/>
    <x v="6"/>
    <m/>
    <m/>
    <d v="2017-05-04T00:00:00"/>
    <n v="0.33972602739726027"/>
    <n v="3"/>
    <m/>
    <n v="3"/>
    <n v="1"/>
    <s v="31"/>
    <n v="0.06"/>
    <n v="2582424.5183999999"/>
    <n v="6576965.3684"/>
    <n v="130141778.4655685"/>
    <n v="3994540.85"/>
    <m/>
    <n v="43040408.640000001"/>
    <s v="BNP FP Equity"/>
    <x v="142"/>
    <n v="9.9863521250000004E-3"/>
    <n v="0.15517073428299999"/>
    <d v="2017-05-29T10:12:30"/>
    <n v="788"/>
    <n v="3"/>
    <s v="Euro Stoxx 50 Pr"/>
    <s v="Equity Index"/>
    <m/>
    <s v="Index"/>
    <m/>
    <m/>
    <m/>
    <m/>
    <s v="1"/>
    <n v="43040408.640000001"/>
    <m/>
    <n v="0.217"/>
    <s v="SX5E 20170504 3mEUR59bp"/>
    <s v="SX5E Index"/>
    <m/>
    <m/>
    <m/>
    <m/>
    <m/>
    <m/>
    <n v="12446"/>
    <n v="3290.52"/>
    <s v="EUR"/>
    <n v="1.0509500000000001"/>
    <n v="1"/>
    <m/>
    <m/>
    <m/>
    <n v="0"/>
    <n v="0"/>
    <n v="0"/>
    <n v="0"/>
    <n v="0"/>
    <n v="0.32535444616392123"/>
  </r>
  <r>
    <n v="78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729628.0801836089"/>
    <x v="6"/>
    <m/>
    <m/>
    <d v="2017-05-25T00:00:00"/>
    <n v="0.39726027397260272"/>
    <n v="3"/>
    <m/>
    <n v="3"/>
    <n v="1"/>
    <s v="31"/>
    <n v="0.06"/>
    <n v="4777879.5905999998"/>
    <n v="10417914.650599999"/>
    <n v="240510534.99603125"/>
    <n v="5640035.0599999996"/>
    <m/>
    <n v="79631326.510000005"/>
    <s v="BNP FP Equity"/>
    <x v="143"/>
    <n v="1.4100087649999999E-2"/>
    <n v="0.15517073428299999"/>
    <d v="2017-05-29T10:12:30"/>
    <n v="790"/>
    <n v="3"/>
    <s v="Euro Stoxx 50 Pr"/>
    <s v="Equity Index"/>
    <m/>
    <s v="Index"/>
    <m/>
    <m/>
    <m/>
    <m/>
    <s v="1"/>
    <n v="79631326.510000005"/>
    <m/>
    <n v="0.217"/>
    <s v="SX5E 20170525 3mEUR45"/>
    <s v="SX5E Index"/>
    <m/>
    <m/>
    <m/>
    <m/>
    <m/>
    <m/>
    <n v="23027"/>
    <n v="3290.52"/>
    <s v="EUR"/>
    <n v="1.0509500000000001"/>
    <n v="1"/>
    <m/>
    <m/>
    <m/>
    <n v="0"/>
    <n v="0"/>
    <n v="0"/>
    <n v="0"/>
    <n v="0"/>
    <n v="0.60127633749007814"/>
  </r>
  <r>
    <n v="79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091763.6090137735"/>
    <x v="6"/>
    <m/>
    <m/>
    <d v="2017-05-29T00:00:00"/>
    <n v="0.40821917808219177"/>
    <n v="3"/>
    <m/>
    <n v="3"/>
    <n v="1"/>
    <s v="31"/>
    <n v="0.06"/>
    <n v="2607738.3372"/>
    <n v="5785991.6072000004"/>
    <n v="131284733.42624448"/>
    <n v="3178253.27"/>
    <m/>
    <n v="43462305.619999997"/>
    <s v="BNP FP Equity"/>
    <x v="144"/>
    <n v="7.9456331749999994E-3"/>
    <n v="0.15517073428299999"/>
    <d v="2017-05-29T10:12:30"/>
    <n v="792"/>
    <n v="3"/>
    <s v="Euro Stoxx 50 Pr"/>
    <s v="Equity Index"/>
    <m/>
    <s v="Index"/>
    <m/>
    <m/>
    <m/>
    <m/>
    <s v="1"/>
    <n v="43462305.619999997"/>
    <m/>
    <n v="0.217"/>
    <s v="SX5E 20170529 3mEUR62bp"/>
    <s v="SX5E Index"/>
    <m/>
    <m/>
    <m/>
    <m/>
    <m/>
    <m/>
    <n v="12568"/>
    <n v="3290.52"/>
    <s v="EUR"/>
    <n v="1.0509500000000001"/>
    <n v="1"/>
    <m/>
    <m/>
    <m/>
    <n v="0"/>
    <n v="0"/>
    <n v="0"/>
    <n v="0"/>
    <n v="0"/>
    <n v="0.32821183356561123"/>
  </r>
  <r>
    <n v="79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52230.9345017881"/>
    <x v="6"/>
    <m/>
    <m/>
    <d v="2017-06-06T00:00:00"/>
    <n v="0.43013698630136987"/>
    <n v="3"/>
    <m/>
    <n v="3"/>
    <n v="1"/>
    <s v="31"/>
    <n v="0.06"/>
    <n v="1244941.9176"/>
    <n v="2486449.0175999999"/>
    <n v="62632919.999818236"/>
    <n v="1241507.1000000001"/>
    <m/>
    <n v="20749031.960000001"/>
    <s v="BNP FP Equity"/>
    <x v="145"/>
    <n v="3.1037677500000004E-3"/>
    <n v="0.15517073428299999"/>
    <d v="2017-05-29T10:12:30"/>
    <n v="794"/>
    <n v="3"/>
    <s v="Euro Stoxx 50 Pr"/>
    <s v="Equity Index"/>
    <m/>
    <s v="Index"/>
    <m/>
    <m/>
    <m/>
    <m/>
    <s v="1"/>
    <n v="20749031.960000001"/>
    <m/>
    <n v="0.217"/>
    <s v="SX5E 20170606 3mEUR43 RC"/>
    <s v="SX5E Index"/>
    <m/>
    <m/>
    <m/>
    <m/>
    <m/>
    <m/>
    <n v="6000"/>
    <n v="3290.52"/>
    <s v="EUR"/>
    <n v="1.0509500000000001"/>
    <n v="1"/>
    <m/>
    <m/>
    <m/>
    <n v="0"/>
    <n v="0"/>
    <n v="0"/>
    <n v="0"/>
    <n v="0"/>
    <n v="0.15658229999954559"/>
  </r>
  <r>
    <n v="79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547446.3339059558"/>
    <x v="6"/>
    <m/>
    <m/>
    <d v="2017-06-12T00:00:00"/>
    <n v="0.44657534246575342"/>
    <n v="3"/>
    <m/>
    <n v="3"/>
    <n v="1"/>
    <s v="31"/>
    <n v="0.06"/>
    <n v="1763460.2268000001"/>
    <n v="2266819.0567999999"/>
    <n v="88524755.317530364"/>
    <n v="503358.83"/>
    <m/>
    <n v="29391003.780000001"/>
    <s v="BNP FP Equity"/>
    <x v="146"/>
    <n v="1.258397075E-3"/>
    <n v="0.15517073428299999"/>
    <d v="2017-05-29T10:12:30"/>
    <n v="796"/>
    <n v="3"/>
    <s v="Euro Stoxx 50 Pr"/>
    <s v="Equity Index"/>
    <m/>
    <s v="Index"/>
    <m/>
    <m/>
    <m/>
    <m/>
    <s v="1"/>
    <n v="29391003.780000001"/>
    <m/>
    <n v="0.217"/>
    <s v="SX5E 20170612 3mEUR67bp"/>
    <s v="SX5E Index"/>
    <m/>
    <m/>
    <m/>
    <m/>
    <m/>
    <m/>
    <n v="8499"/>
    <n v="3290.52"/>
    <s v="EUR"/>
    <n v="1.0509500000000001"/>
    <n v="1"/>
    <m/>
    <m/>
    <m/>
    <n v="0"/>
    <n v="0"/>
    <n v="0"/>
    <n v="0"/>
    <n v="0"/>
    <n v="0.22131188829382592"/>
  </r>
  <r>
    <n v="79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076597.8561551678"/>
    <x v="6"/>
    <m/>
    <m/>
    <d v="2017-06-14T00:00:00"/>
    <n v="0.45205479452054792"/>
    <n v="3"/>
    <m/>
    <n v="3"/>
    <n v="1"/>
    <s v="31"/>
    <n v="0.06"/>
    <n v="2337793.4315999998"/>
    <n v="3342209.1615999998"/>
    <n v="117408284.62973285"/>
    <n v="1004415.73"/>
    <m/>
    <n v="38963223.859999999"/>
    <s v="BNP FP Equity"/>
    <x v="147"/>
    <n v="2.5110393250000001E-3"/>
    <n v="0.15517073428299999"/>
    <d v="2017-05-29T10:12:30"/>
    <n v="798"/>
    <n v="3"/>
    <s v="Euro Stoxx 50 Pr"/>
    <s v="Equity Index"/>
    <m/>
    <s v="Index"/>
    <m/>
    <m/>
    <m/>
    <m/>
    <s v="1"/>
    <n v="38963223.859999999"/>
    <m/>
    <n v="0.217"/>
    <s v="SX5E 20170614 3mEUR45"/>
    <s v="SX5E Index"/>
    <m/>
    <m/>
    <m/>
    <m/>
    <m/>
    <m/>
    <n v="11267"/>
    <n v="3290.52"/>
    <s v="EUR"/>
    <n v="1.0509500000000001"/>
    <n v="1"/>
    <m/>
    <m/>
    <m/>
    <n v="0"/>
    <n v="0"/>
    <n v="0"/>
    <n v="0"/>
    <n v="0"/>
    <n v="0.29352071157433213"/>
  </r>
  <r>
    <n v="79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50930.2304566335"/>
    <x v="6"/>
    <m/>
    <m/>
    <d v="2017-06-19T00:00:00"/>
    <n v="0.46575342465753422"/>
    <n v="3"/>
    <m/>
    <n v="3"/>
    <n v="1"/>
    <s v="31"/>
    <n v="0.06"/>
    <n v="1803920.8392"/>
    <n v="1803920.8392"/>
    <n v="90475957.681207076"/>
    <n v="-24020.68"/>
    <m/>
    <n v="30065347.32"/>
    <s v="BNP FP Equity"/>
    <x v="148"/>
    <n v="-6.00517E-5"/>
    <n v="0.15517073428299999"/>
    <d v="2017-05-29T10:12:30"/>
    <n v="800"/>
    <n v="3"/>
    <s v="Euro Stoxx 50 Pr"/>
    <s v="Equity Index"/>
    <m/>
    <s v="Index"/>
    <m/>
    <m/>
    <m/>
    <m/>
    <s v="1"/>
    <n v="30065347.32"/>
    <m/>
    <n v="0.217"/>
    <s v="SX5E 20170619 3mEUR67bp"/>
    <s v="SX5E Index"/>
    <m/>
    <m/>
    <m/>
    <m/>
    <m/>
    <m/>
    <n v="8694"/>
    <n v="3290.52"/>
    <s v="EUR"/>
    <n v="1.0509500000000001"/>
    <n v="1"/>
    <m/>
    <m/>
    <m/>
    <n v="0"/>
    <n v="0"/>
    <n v="0"/>
    <n v="0"/>
    <n v="0"/>
    <n v="0.22618989420301769"/>
  </r>
  <r>
    <n v="80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90057.8401397159"/>
    <x v="6"/>
    <m/>
    <m/>
    <d v="2017-06-26T00:00:00"/>
    <n v="0.48493150684931507"/>
    <n v="3"/>
    <m/>
    <n v="3"/>
    <n v="1"/>
    <s v="31"/>
    <n v="0.06"/>
    <n v="2298370.2708000001"/>
    <n v="2298370.2708000001"/>
    <n v="115275153.34257424"/>
    <n v="-258383.9"/>
    <m/>
    <n v="38306171.18"/>
    <s v="BNP FP Equity"/>
    <x v="149"/>
    <n v="-6.4595975000000003E-4"/>
    <n v="0.15517073428299999"/>
    <d v="2017-05-29T10:12:30"/>
    <n v="802"/>
    <n v="3"/>
    <s v="Euro Stoxx 50 Pr"/>
    <s v="Equity Index"/>
    <m/>
    <s v="Index"/>
    <m/>
    <m/>
    <m/>
    <m/>
    <s v="1"/>
    <n v="38306171.18"/>
    <m/>
    <n v="0.217"/>
    <s v="SX5E 20170626 3mEUR66.5bp"/>
    <s v="SX5E Index"/>
    <m/>
    <m/>
    <m/>
    <m/>
    <m/>
    <m/>
    <n v="11077"/>
    <n v="3290.52"/>
    <s v="EUR"/>
    <n v="1.0509500000000001"/>
    <n v="1"/>
    <m/>
    <m/>
    <m/>
    <n v="0"/>
    <n v="0"/>
    <n v="0"/>
    <n v="0"/>
    <n v="0"/>
    <n v="0.28818788335643558"/>
  </r>
  <r>
    <n v="80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529394.2063393949"/>
    <x v="6"/>
    <m/>
    <m/>
    <d v="2017-06-27T00:00:00"/>
    <n v="0.48767123287671232"/>
    <n v="3"/>
    <m/>
    <n v="3"/>
    <n v="1"/>
    <s v="31"/>
    <n v="0.06"/>
    <n v="1596015.5388"/>
    <n v="1596015.5388"/>
    <n v="80048431.843082666"/>
    <n v="-108567.09"/>
    <m/>
    <n v="26600258.98"/>
    <s v="BNP FP Equity"/>
    <x v="150"/>
    <n v="-2.7141772500000001E-4"/>
    <n v="0.15517073428299999"/>
    <d v="2017-05-29T10:12:30"/>
    <n v="804"/>
    <n v="3"/>
    <s v="Euro Stoxx 50 Pr"/>
    <s v="Equity Index"/>
    <m/>
    <s v="Index"/>
    <m/>
    <m/>
    <m/>
    <m/>
    <s v="1"/>
    <n v="26600258.98"/>
    <m/>
    <n v="0.217"/>
    <s v="SX5E 20170627 3mEUR42_1b"/>
    <s v="SX5E Index"/>
    <m/>
    <m/>
    <m/>
    <m/>
    <m/>
    <m/>
    <n v="7692"/>
    <n v="3290.52"/>
    <s v="EUR"/>
    <n v="1.0509500000000001"/>
    <n v="1"/>
    <m/>
    <m/>
    <m/>
    <n v="0"/>
    <n v="0"/>
    <n v="0"/>
    <n v="0"/>
    <n v="0"/>
    <n v="0.20012107960770667"/>
  </r>
  <r>
    <n v="80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385950.3998274165"/>
    <x v="6"/>
    <m/>
    <m/>
    <d v="2017-06-27T00:00:00"/>
    <n v="0.48767123287671232"/>
    <n v="3"/>
    <m/>
    <n v="3"/>
    <n v="1"/>
    <s v="31"/>
    <n v="0.06"/>
    <n v="2489883.8358"/>
    <n v="2685739.9158000001"/>
    <n v="124910940.02482784"/>
    <n v="195856.08"/>
    <m/>
    <n v="41498063.93"/>
    <s v="BNP FP Equity"/>
    <x v="151"/>
    <n v="4.8964020000000002E-4"/>
    <n v="0.15517073428299999"/>
    <d v="2017-05-29T10:12:30"/>
    <n v="806"/>
    <n v="3"/>
    <s v="Euro Stoxx 50 Pr"/>
    <s v="Equity Index"/>
    <m/>
    <s v="Index"/>
    <m/>
    <m/>
    <m/>
    <m/>
    <s v="1"/>
    <n v="41498063.93"/>
    <m/>
    <n v="0.217"/>
    <s v="SX5E 20170627 3mEUR42_3"/>
    <s v="SX5E Index"/>
    <m/>
    <m/>
    <m/>
    <m/>
    <m/>
    <m/>
    <n v="12000"/>
    <n v="3290.52"/>
    <s v="EUR"/>
    <n v="1.0509500000000001"/>
    <n v="1"/>
    <m/>
    <m/>
    <m/>
    <n v="0"/>
    <n v="0"/>
    <n v="0"/>
    <n v="0"/>
    <n v="0"/>
    <n v="0.31227735006206958"/>
  </r>
  <r>
    <n v="80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82708.7703617855"/>
    <x v="6"/>
    <m/>
    <m/>
    <d v="2017-06-28T00:00:00"/>
    <n v="0.49041095890410957"/>
    <n v="3"/>
    <m/>
    <n v="3"/>
    <n v="1"/>
    <s v="31"/>
    <n v="0.06"/>
    <n v="1123560.081"/>
    <n v="2909814.3810000001"/>
    <n v="56629522.084127009"/>
    <n v="1786254.3"/>
    <m/>
    <n v="18726001.350000001"/>
    <s v="BNP FP Equity"/>
    <x v="152"/>
    <n v="4.4656357500000004E-3"/>
    <n v="0.15517073428299999"/>
    <d v="2017-05-29T10:12:30"/>
    <n v="808"/>
    <n v="3"/>
    <s v="Euro Stoxx 50 Pr"/>
    <s v="Equity Index"/>
    <m/>
    <s v="Index"/>
    <m/>
    <m/>
    <m/>
    <m/>
    <s v="1"/>
    <n v="18726001.350000001"/>
    <m/>
    <n v="0.217"/>
    <s v="SX5E 20170628 3mEUR44_1"/>
    <s v="SX5E Index"/>
    <m/>
    <m/>
    <m/>
    <m/>
    <m/>
    <m/>
    <n v="5415"/>
    <n v="3290.52"/>
    <s v="EUR"/>
    <n v="1.0509500000000001"/>
    <n v="1"/>
    <m/>
    <m/>
    <m/>
    <n v="0"/>
    <n v="0"/>
    <n v="0"/>
    <n v="0"/>
    <n v="0"/>
    <n v="0.14157380521031751"/>
  </r>
  <r>
    <n v="80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925091.94845604501"/>
    <x v="6"/>
    <m/>
    <m/>
    <d v="2017-08-03T00:00:00"/>
    <n v="0.58904109589041098"/>
    <n v="3"/>
    <m/>
    <n v="3"/>
    <n v="1"/>
    <s v="31"/>
    <n v="0.06"/>
    <n v="799252.7111999999"/>
    <n v="1901734.3511999999"/>
    <n v="40257729.075686909"/>
    <n v="1102481.6399999999"/>
    <m/>
    <n v="13320878.52"/>
    <s v="BNP FP Equity"/>
    <x v="153"/>
    <n v="2.7562040999999995E-3"/>
    <n v="0.15517073428299999"/>
    <d v="2017-05-29T10:12:30"/>
    <n v="810"/>
    <n v="3"/>
    <s v="Euro Stoxx 50 Pr"/>
    <s v="Equity Index"/>
    <m/>
    <s v="Index"/>
    <m/>
    <m/>
    <m/>
    <m/>
    <s v="1"/>
    <n v="13320878.52"/>
    <m/>
    <n v="0.217"/>
    <s v="SX5E 20170803 3mEUR65.5bp"/>
    <s v="SX5E Index"/>
    <m/>
    <m/>
    <m/>
    <m/>
    <m/>
    <m/>
    <n v="3852"/>
    <n v="3290.52"/>
    <s v="EUR"/>
    <n v="1.0509500000000001"/>
    <n v="1"/>
    <m/>
    <m/>
    <m/>
    <n v="0"/>
    <n v="0"/>
    <n v="0"/>
    <n v="0"/>
    <n v="0"/>
    <n v="0.10064432268921727"/>
  </r>
  <r>
    <n v="81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83535.3638441453"/>
    <x v="6"/>
    <m/>
    <m/>
    <d v="2017-08-29T00:00:00"/>
    <n v="0.66027397260273968"/>
    <n v="3"/>
    <m/>
    <n v="3"/>
    <n v="1"/>
    <s v="31"/>
    <n v="0.06"/>
    <n v="835148.53679999989"/>
    <n v="1792771.5967999999"/>
    <n v="42035612.525077157"/>
    <n v="957623.06"/>
    <m/>
    <n v="13919142.279999999"/>
    <s v="BNP FP Equity"/>
    <x v="154"/>
    <n v="2.3940576500000002E-3"/>
    <n v="0.15517073428299999"/>
    <d v="2017-05-29T10:12:30"/>
    <n v="812"/>
    <n v="3"/>
    <s v="Euro Stoxx 50 Pr"/>
    <s v="Equity Index"/>
    <m/>
    <s v="Index"/>
    <m/>
    <m/>
    <m/>
    <m/>
    <s v="1"/>
    <n v="13919142.279999999"/>
    <m/>
    <n v="0.217"/>
    <s v="SX5E 20170829 3mEUR38.5bp"/>
    <s v="SX5E Index"/>
    <m/>
    <m/>
    <m/>
    <m/>
    <m/>
    <m/>
    <n v="4025"/>
    <n v="3290.52"/>
    <s v="EUR"/>
    <n v="1.0509500000000001"/>
    <n v="1"/>
    <m/>
    <m/>
    <m/>
    <n v="0"/>
    <n v="0"/>
    <n v="0"/>
    <n v="0"/>
    <n v="0"/>
    <n v="0.10508903131269288"/>
  </r>
  <r>
    <n v="81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9110677.8779046237"/>
    <x v="6"/>
    <m/>
    <m/>
    <d v="2017-09-18T00:00:00"/>
    <n v="0.71506849315068488"/>
    <n v="3"/>
    <m/>
    <n v="3"/>
    <n v="1"/>
    <s v="31"/>
    <n v="0.06"/>
    <n v="6484072.4885999998"/>
    <n v="10198669.5386"/>
    <n v="325786159.47101426"/>
    <n v="3714597.05"/>
    <m/>
    <n v="108067874.81"/>
    <s v="BNP FP Equity"/>
    <x v="155"/>
    <n v="9.286492625E-3"/>
    <n v="0.15517073428299999"/>
    <d v="2017-05-29T10:12:30"/>
    <n v="814"/>
    <n v="3"/>
    <s v="Euro Stoxx 50 Pr"/>
    <s v="Equity Index"/>
    <m/>
    <s v="Index"/>
    <m/>
    <m/>
    <m/>
    <m/>
    <s v="1"/>
    <n v="108067874.81"/>
    <m/>
    <n v="0.217"/>
    <s v="SX5E 20170907 3mEUR65bp"/>
    <s v="SX5E Index"/>
    <m/>
    <m/>
    <m/>
    <m/>
    <m/>
    <m/>
    <n v="31250"/>
    <n v="3290.52"/>
    <s v="EUR"/>
    <n v="1.0509500000000001"/>
    <n v="1"/>
    <m/>
    <m/>
    <m/>
    <n v="0"/>
    <n v="0"/>
    <n v="0"/>
    <n v="0"/>
    <n v="0"/>
    <n v="0.81446539867753565"/>
  </r>
  <r>
    <n v="81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276462.626722313"/>
    <x v="6"/>
    <m/>
    <m/>
    <d v="2017-10-03T00:00:00"/>
    <n v="0.75616438356164384"/>
    <n v="3"/>
    <m/>
    <n v="3"/>
    <n v="1"/>
    <s v="31"/>
    <n v="0.06"/>
    <n v="6916274.8247999996"/>
    <n v="16419290.4048"/>
    <n v="348361534.58851862"/>
    <n v="9503015.5800000001"/>
    <m/>
    <n v="115271247.08"/>
    <s v="BNP FP Equity"/>
    <x v="156"/>
    <n v="2.375753895E-2"/>
    <n v="0.15517073428299999"/>
    <d v="2017-05-29T10:12:30"/>
    <n v="816"/>
    <n v="3"/>
    <s v="Euro Stoxx 50 Pr"/>
    <s v="Equity Index"/>
    <m/>
    <s v="Index"/>
    <m/>
    <m/>
    <m/>
    <m/>
    <s v="1"/>
    <n v="115271247.08"/>
    <m/>
    <n v="0.217"/>
    <s v="SX5E 20171003 3mEUR40_1"/>
    <s v="SX5E Index"/>
    <m/>
    <m/>
    <m/>
    <m/>
    <m/>
    <m/>
    <n v="33333"/>
    <n v="3290.52"/>
    <s v="EUR"/>
    <n v="1.0509500000000001"/>
    <n v="1"/>
    <m/>
    <m/>
    <m/>
    <n v="0"/>
    <n v="0"/>
    <n v="0"/>
    <n v="0"/>
    <n v="0"/>
    <n v="0.87090383647129654"/>
  </r>
  <r>
    <n v="81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658766.4022031091"/>
    <x v="6"/>
    <m/>
    <m/>
    <d v="2017-10-05T00:00:00"/>
    <n v="0.76164383561643834"/>
    <n v="3"/>
    <m/>
    <n v="3"/>
    <n v="1"/>
    <s v="31"/>
    <n v="0.06"/>
    <n v="1776532.1165999998"/>
    <n v="4214420.7466000002"/>
    <n v="89480560.591827422"/>
    <n v="2437888.63"/>
    <m/>
    <n v="29608868.609999999"/>
    <s v="BNP FP Equity"/>
    <x v="157"/>
    <n v="6.0947215749999999E-3"/>
    <n v="0.15517073428299999"/>
    <d v="2017-05-29T10:12:30"/>
    <n v="818"/>
    <n v="3"/>
    <s v="Euro Stoxx 50 Pr"/>
    <s v="Equity Index"/>
    <m/>
    <s v="Index"/>
    <m/>
    <m/>
    <m/>
    <m/>
    <s v="1"/>
    <n v="29608868.609999999"/>
    <m/>
    <n v="0.217"/>
    <s v="SX5E 20171005 EUR41bp_1"/>
    <s v="SX5E Index"/>
    <m/>
    <m/>
    <m/>
    <m/>
    <m/>
    <m/>
    <n v="8562"/>
    <n v="3290.52"/>
    <s v="EUR"/>
    <n v="1.0509500000000001"/>
    <n v="1"/>
    <m/>
    <m/>
    <m/>
    <n v="0"/>
    <n v="0"/>
    <n v="0"/>
    <n v="0"/>
    <n v="0"/>
    <n v="0.22370140147956855"/>
  </r>
  <r>
    <n v="81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5362333.0446796305"/>
    <x v="6"/>
    <m/>
    <m/>
    <d v="2017-10-16T00:00:00"/>
    <n v="0.79178082191780819"/>
    <n v="3"/>
    <m/>
    <n v="3"/>
    <n v="1"/>
    <s v="31"/>
    <n v="0.06"/>
    <n v="3446621.6993999998"/>
    <n v="7983953.1393999998"/>
    <n v="173569960.84112176"/>
    <n v="4537331.4400000004"/>
    <m/>
    <n v="57443694.990000002"/>
    <s v="BNP FP Equity"/>
    <x v="158"/>
    <n v="1.1343328600000001E-2"/>
    <n v="0.15517073428299999"/>
    <d v="2017-05-29T10:12:30"/>
    <n v="820"/>
    <n v="3"/>
    <s v="Euro Stoxx 50 Pr"/>
    <s v="Equity Index"/>
    <m/>
    <s v="Index"/>
    <m/>
    <m/>
    <m/>
    <m/>
    <s v="1"/>
    <n v="57443694.990000002"/>
    <m/>
    <n v="0.217"/>
    <s v="SX5E 20171016 3mEUR42 RC1"/>
    <s v="SX5E Index"/>
    <m/>
    <m/>
    <m/>
    <m/>
    <m/>
    <m/>
    <n v="16611"/>
    <n v="3290.52"/>
    <s v="EUR"/>
    <n v="1.0509500000000001"/>
    <n v="1"/>
    <m/>
    <m/>
    <m/>
    <n v="0"/>
    <n v="0"/>
    <n v="0"/>
    <n v="0"/>
    <n v="0"/>
    <n v="0.43392490210280443"/>
  </r>
  <r>
    <n v="82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5041318.8335131165"/>
    <x v="6"/>
    <m/>
    <m/>
    <d v="2017-11-02T00:00:00"/>
    <n v="0.83835616438356164"/>
    <n v="3"/>
    <m/>
    <n v="3"/>
    <n v="1"/>
    <s v="31"/>
    <n v="0.06"/>
    <n v="3060274.7244000002"/>
    <n v="7365652.8443999998"/>
    <n v="154156669.98033923"/>
    <n v="4305378.12"/>
    <m/>
    <n v="51004578.740000002"/>
    <s v="BNP FP Equity"/>
    <x v="159"/>
    <n v="1.07634453E-2"/>
    <n v="0.15517073428299999"/>
    <d v="2017-05-29T10:12:30"/>
    <n v="822"/>
    <n v="3"/>
    <s v="Euro Stoxx 50 Pr"/>
    <s v="Equity Index"/>
    <m/>
    <s v="Index"/>
    <m/>
    <m/>
    <m/>
    <m/>
    <s v="1"/>
    <n v="51004578.740000002"/>
    <m/>
    <n v="0.217"/>
    <s v="SX5E 20171102 3mEUR60bp"/>
    <s v="SX5E Index"/>
    <m/>
    <m/>
    <m/>
    <m/>
    <m/>
    <m/>
    <n v="14749"/>
    <n v="3290.52"/>
    <s v="EUR"/>
    <n v="1.0509500000000001"/>
    <n v="1"/>
    <m/>
    <m/>
    <m/>
    <n v="0"/>
    <n v="0"/>
    <n v="0"/>
    <n v="0"/>
    <n v="0"/>
    <n v="0.38539167495084808"/>
  </r>
  <r>
    <n v="82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303047.5595782222"/>
    <x v="6"/>
    <m/>
    <m/>
    <d v="2017-11-30T00:00:00"/>
    <n v="0.91506849315068495"/>
    <n v="3"/>
    <m/>
    <n v="3"/>
    <n v="1"/>
    <s v="31"/>
    <n v="0.06"/>
    <n v="1280837.7431999999"/>
    <n v="2685985.8131999997"/>
    <n v="64458673.550907962"/>
    <n v="1405148.07"/>
    <m/>
    <n v="21347295.719999999"/>
    <s v="BNP FP Equity"/>
    <x v="160"/>
    <n v="3.5128701750000001E-3"/>
    <n v="0.15517073428299999"/>
    <d v="2017-05-29T10:12:30"/>
    <n v="824"/>
    <n v="3"/>
    <s v="Euro Stoxx 50 Pr"/>
    <s v="Equity Index"/>
    <m/>
    <s v="Index"/>
    <m/>
    <m/>
    <m/>
    <m/>
    <s v="1"/>
    <n v="21347295.719999999"/>
    <m/>
    <n v="0.217"/>
    <s v="SX5E 20171130 3mEUR68bp"/>
    <s v="SX5E Index"/>
    <m/>
    <m/>
    <m/>
    <m/>
    <m/>
    <m/>
    <n v="6173"/>
    <n v="3290.52"/>
    <s v="EUR"/>
    <n v="1.0509500000000001"/>
    <n v="1"/>
    <m/>
    <m/>
    <m/>
    <n v="0"/>
    <n v="0"/>
    <n v="0"/>
    <n v="0"/>
    <n v="0"/>
    <n v="0.16114668387726991"/>
  </r>
  <r>
    <n v="82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096930.1085196459"/>
    <x v="6"/>
    <m/>
    <m/>
    <d v="2017-12-12T00:00:00"/>
    <n v="0.94794520547945205"/>
    <n v="3"/>
    <m/>
    <n v="3"/>
    <n v="1"/>
    <s v="31"/>
    <n v="0.06"/>
    <n v="1662619.9314000001"/>
    <n v="2460907.8814000003"/>
    <n v="83512857.452959672"/>
    <n v="798287.95"/>
    <m/>
    <n v="27710332.190000001"/>
    <s v="BNP FP Equity"/>
    <x v="161"/>
    <n v="1.9957198749999999E-3"/>
    <n v="0.15517073428299999"/>
    <d v="2017-05-29T10:12:30"/>
    <n v="826"/>
    <n v="3"/>
    <s v="Euro Stoxx 50 Pr"/>
    <s v="Equity Index"/>
    <m/>
    <s v="Index"/>
    <m/>
    <m/>
    <m/>
    <m/>
    <s v="1"/>
    <n v="27710332.190000001"/>
    <m/>
    <n v="0.217"/>
    <s v="SX5E 20171212 3mEUR41 RC1"/>
    <s v="SX5E Index"/>
    <m/>
    <m/>
    <m/>
    <m/>
    <m/>
    <m/>
    <n v="8013"/>
    <n v="3290.52"/>
    <s v="EUR"/>
    <n v="1.0509500000000001"/>
    <n v="1"/>
    <m/>
    <m/>
    <m/>
    <n v="0"/>
    <n v="0"/>
    <n v="0"/>
    <n v="0"/>
    <n v="0"/>
    <n v="0.20878214363239919"/>
  </r>
  <r>
    <n v="82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5441441.3753937511"/>
    <x v="6"/>
    <m/>
    <m/>
    <d v="2017-12-19T00:00:00"/>
    <n v="0.9671232876712329"/>
    <n v="3"/>
    <m/>
    <n v="3"/>
    <n v="1"/>
    <s v="31"/>
    <n v="0.06"/>
    <n v="2863366.4112"/>
    <n v="3381801.4112"/>
    <n v="143693077.16817519"/>
    <n v="518435"/>
    <m/>
    <n v="47722773.520000003"/>
    <s v="BNP FP Equity"/>
    <x v="162"/>
    <n v="1.2960875E-3"/>
    <n v="0.15517073428299999"/>
    <d v="2017-05-29T10:12:30"/>
    <n v="828"/>
    <n v="3"/>
    <s v="Euro Stoxx 50 Pr"/>
    <s v="Equity Index"/>
    <m/>
    <s v="Index"/>
    <m/>
    <m/>
    <m/>
    <m/>
    <s v="1"/>
    <n v="47722773.520000003"/>
    <m/>
    <n v="0.217"/>
    <s v="SX5E 20171219 3mEUR41 RC1"/>
    <s v="SX5E Index"/>
    <m/>
    <m/>
    <m/>
    <m/>
    <m/>
    <m/>
    <n v="13800"/>
    <n v="3290.52"/>
    <s v="EUR"/>
    <n v="1.0509500000000001"/>
    <n v="1"/>
    <m/>
    <m/>
    <m/>
    <n v="0"/>
    <n v="0"/>
    <n v="0"/>
    <n v="0"/>
    <n v="0"/>
    <n v="0.35923269292043797"/>
  </r>
  <r>
    <n v="82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6462564.4756587557"/>
    <x v="6"/>
    <m/>
    <m/>
    <d v="2018-01-04T00:00:00"/>
    <n v="1.010958904109589"/>
    <n v="3"/>
    <m/>
    <n v="3"/>
    <n v="2"/>
    <s v="32"/>
    <n v="0.08"/>
    <n v="4337654.2951999996"/>
    <n v="4337654.2951999996"/>
    <n v="163338577.10454097"/>
    <n v="-5393.2"/>
    <m/>
    <n v="54220678.689999998"/>
    <s v="BNP FP Equity"/>
    <x v="163"/>
    <n v="-1.3482999999999999E-5"/>
    <n v="0.15596933008"/>
    <d v="2017-05-29T10:12:30"/>
    <n v="830"/>
    <n v="3"/>
    <s v="Euro Stoxx 50 Pr"/>
    <s v="Equity Index"/>
    <m/>
    <s v="Index"/>
    <m/>
    <m/>
    <m/>
    <m/>
    <s v="1"/>
    <n v="54220678.689999998"/>
    <m/>
    <n v="0.217"/>
    <s v="SX5E 20180104 3mEUR40bp RC1"/>
    <s v="SX5E Index"/>
    <m/>
    <m/>
    <m/>
    <m/>
    <m/>
    <m/>
    <n v="15679"/>
    <n v="3290.52"/>
    <s v="EUR"/>
    <n v="1.0509500000000001"/>
    <n v="1"/>
    <m/>
    <m/>
    <m/>
    <n v="0"/>
    <n v="0"/>
    <n v="0"/>
    <n v="0"/>
    <n v="0"/>
    <n v="0.40834644276135246"/>
  </r>
  <r>
    <n v="83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6625948.4615739612"/>
    <x v="6"/>
    <m/>
    <m/>
    <d v="2018-01-08T00:00:00"/>
    <n v="1.021917808219178"/>
    <n v="3"/>
    <m/>
    <n v="3"/>
    <n v="2"/>
    <s v="32"/>
    <n v="0.08"/>
    <n v="4399624.7375999996"/>
    <n v="4399624.7375999996"/>
    <n v="165675647.7047551"/>
    <n v="-5465.23"/>
    <m/>
    <n v="54995309.219999999"/>
    <s v="BNP FP Equity"/>
    <x v="164"/>
    <n v="-1.3663075E-5"/>
    <n v="0.15676792587800001"/>
    <d v="2017-05-29T10:12:30"/>
    <n v="832"/>
    <n v="3"/>
    <s v="Euro Stoxx 50 Pr"/>
    <s v="Equity Index"/>
    <m/>
    <s v="Index"/>
    <m/>
    <m/>
    <m/>
    <m/>
    <s v="1"/>
    <n v="54995309.219999999"/>
    <m/>
    <n v="0.217"/>
    <s v="SX5E 20180108 3mEUR40bp RC1"/>
    <s v="SX5E Index"/>
    <m/>
    <m/>
    <m/>
    <m/>
    <m/>
    <m/>
    <n v="15903"/>
    <n v="3290.52"/>
    <s v="EUR"/>
    <n v="1.0509500000000001"/>
    <n v="1"/>
    <m/>
    <m/>
    <m/>
    <n v="0"/>
    <n v="0"/>
    <n v="0"/>
    <n v="0"/>
    <n v="0"/>
    <n v="0.41418911926188773"/>
  </r>
  <r>
    <n v="83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6542759.902169038"/>
    <x v="6"/>
    <m/>
    <m/>
    <d v="2018-12-21T00:00:00"/>
    <n v="1.9726027397260273"/>
    <n v="3"/>
    <m/>
    <n v="3"/>
    <n v="2"/>
    <s v="32"/>
    <n v="0.08"/>
    <n v="9130404.0255999994"/>
    <n v="9141505.7755999994"/>
    <n v="344456552.79200083"/>
    <n v="11101.75"/>
    <m/>
    <n v="-114130050.31999999"/>
    <s v="BNP FP Equity"/>
    <x v="165"/>
    <n v="2.7754375000000001E-5"/>
    <n v="0.22604611129999999"/>
    <d v="2017-05-29T10:12:30"/>
    <n v="834"/>
    <n v="3"/>
    <s v="Euro Stoxx 50 Pr"/>
    <s v="Equity Index"/>
    <m/>
    <s v="Index"/>
    <m/>
    <m/>
    <m/>
    <m/>
    <s v="1"/>
    <n v="-114130050.31999999"/>
    <m/>
    <n v="0"/>
    <s v="SX5E 20181221 3mEUR47.5 RC1"/>
    <s v="SX5E Index"/>
    <m/>
    <m/>
    <m/>
    <m/>
    <m/>
    <m/>
    <n v="-33003"/>
    <n v="3290.52"/>
    <s v="EUR"/>
    <n v="1.0509500000000001"/>
    <n v="1"/>
    <m/>
    <m/>
    <m/>
    <n v="0"/>
    <n v="0"/>
    <n v="0"/>
    <n v="0"/>
    <n v="0"/>
    <n v="0.86114138198000212"/>
  </r>
  <r>
    <n v="83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0782781.420927502"/>
    <x v="6"/>
    <m/>
    <m/>
    <d v="2018-12-21T00:00:00"/>
    <n v="1.9726027397260273"/>
    <n v="3"/>
    <m/>
    <n v="3"/>
    <n v="2"/>
    <s v="32"/>
    <n v="0.08"/>
    <n v="10588922.6456"/>
    <n v="12003529.455600001"/>
    <n v="399797950.36531335"/>
    <n v="1414606.81"/>
    <m/>
    <n v="-132361533.06999999"/>
    <s v="BNP FP Equity"/>
    <x v="166"/>
    <n v="3.5365170250000002E-3"/>
    <n v="0.22604611129999999"/>
    <d v="2017-05-29T10:12:30"/>
    <n v="836"/>
    <n v="3"/>
    <s v="Euro Stoxx 50 Pr"/>
    <s v="Equity Index"/>
    <m/>
    <s v="Index"/>
    <m/>
    <m/>
    <m/>
    <m/>
    <s v="1"/>
    <n v="-132361533.06999999"/>
    <m/>
    <n v="0"/>
    <s v="SX5E 20181221 3mEUR56bp RC1"/>
    <s v="SX5E Index"/>
    <m/>
    <m/>
    <m/>
    <m/>
    <m/>
    <m/>
    <n v="-38275"/>
    <n v="3290.52"/>
    <s v="EUR"/>
    <n v="1.0509500000000001"/>
    <n v="1"/>
    <m/>
    <m/>
    <m/>
    <n v="0"/>
    <n v="0"/>
    <n v="0"/>
    <n v="0"/>
    <n v="0"/>
    <n v="0.99949487591328334"/>
  </r>
  <r>
    <n v="83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9195478.5308873709"/>
    <x v="6"/>
    <m/>
    <m/>
    <d v="2019-04-01T00:00:00"/>
    <n v="2.2493150684931509"/>
    <n v="3"/>
    <m/>
    <n v="3"/>
    <n v="2"/>
    <s v="32"/>
    <n v="0.08"/>
    <n v="2774007.2464000001"/>
    <n v="2774007.2464000001"/>
    <n v="104708261.8816213"/>
    <n v="-2579610.19"/>
    <m/>
    <n v="-34675090.579999998"/>
    <s v="BNP FP Equity"/>
    <x v="167"/>
    <n v="-6.449025475E-3"/>
    <n v="0.24621065518400001"/>
    <d v="2017-05-29T10:12:30"/>
    <n v="838"/>
    <n v="3"/>
    <s v="Euro Stoxx 50 Pr"/>
    <s v="Equity Index"/>
    <m/>
    <s v="Index"/>
    <m/>
    <m/>
    <m/>
    <m/>
    <s v="1"/>
    <n v="-34675090.579999998"/>
    <m/>
    <n v="0"/>
    <s v="SX5E 20190401 3mEUR67bpTRSEUR"/>
    <s v="SX5E Index"/>
    <m/>
    <m/>
    <m/>
    <m/>
    <m/>
    <m/>
    <n v="-10027"/>
    <n v="3290.52"/>
    <s v="EUR"/>
    <n v="1.0509500000000001"/>
    <n v="1"/>
    <m/>
    <m/>
    <m/>
    <n v="0"/>
    <n v="0"/>
    <n v="0"/>
    <n v="0"/>
    <n v="0"/>
    <n v="0.26177065470405325"/>
  </r>
  <r>
    <n v="83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900459.319862865"/>
    <x v="6"/>
    <m/>
    <m/>
    <d v="2019-05-06T00:00:00"/>
    <n v="2.3452054794520549"/>
    <n v="3"/>
    <m/>
    <n v="3"/>
    <n v="2"/>
    <s v="32"/>
    <n v="0.08"/>
    <n v="3443232.6912000002"/>
    <n v="3443232.6912000002"/>
    <n v="129993046.81947125"/>
    <n v="-3689482.77"/>
    <m/>
    <n v="-43040408.640000001"/>
    <s v="BNP FP Equity"/>
    <x v="168"/>
    <n v="-9.2237069250000001E-3"/>
    <n v="0.25319836841100002"/>
    <d v="2017-05-29T10:12:30"/>
    <n v="840"/>
    <n v="3"/>
    <s v="Euro Stoxx 50 Pr"/>
    <s v="Equity Index"/>
    <m/>
    <s v="Index"/>
    <m/>
    <m/>
    <m/>
    <m/>
    <s v="1"/>
    <n v="-43040408.640000001"/>
    <m/>
    <n v="0"/>
    <s v="SX5E 20190506 3mEUR74bp"/>
    <s v="SX5E Index"/>
    <m/>
    <m/>
    <m/>
    <m/>
    <m/>
    <m/>
    <n v="-12446"/>
    <n v="3290.52"/>
    <s v="EUR"/>
    <n v="1.0509500000000001"/>
    <n v="1"/>
    <m/>
    <m/>
    <m/>
    <n v="0"/>
    <n v="0"/>
    <n v="0"/>
    <n v="0"/>
    <n v="0"/>
    <n v="0.32498261704867815"/>
  </r>
  <r>
    <n v="84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2325962.743047604"/>
    <x v="6"/>
    <m/>
    <m/>
    <d v="2019-05-28T00:00:00"/>
    <n v="2.4054794520547946"/>
    <n v="3"/>
    <m/>
    <n v="3"/>
    <n v="2"/>
    <s v="32"/>
    <n v="0.08"/>
    <n v="3476984.4495999999"/>
    <n v="3476984.4495999999"/>
    <n v="131282555.52806008"/>
    <n v="-2857322.84"/>
    <m/>
    <n v="-43462305.619999997"/>
    <s v="BNP FP Equity"/>
    <x v="169"/>
    <n v="-7.1433070999999994E-3"/>
    <n v="0.25759064529699999"/>
    <d v="2017-05-29T10:12:30"/>
    <n v="842"/>
    <n v="3"/>
    <s v="Euro Stoxx 50 Pr"/>
    <s v="Equity Index"/>
    <m/>
    <s v="Index"/>
    <m/>
    <m/>
    <m/>
    <m/>
    <s v="1"/>
    <n v="-43462305.619999997"/>
    <m/>
    <n v="0"/>
    <s v="SX5E 20190528 3mEUR76.5"/>
    <s v="SX5E Index"/>
    <m/>
    <m/>
    <m/>
    <m/>
    <m/>
    <m/>
    <n v="-12568"/>
    <n v="3290.52"/>
    <s v="EUR"/>
    <n v="1.0509500000000001"/>
    <n v="1"/>
    <m/>
    <m/>
    <m/>
    <n v="0"/>
    <n v="0"/>
    <n v="0"/>
    <n v="0"/>
    <n v="0"/>
    <n v="0.32820638882015019"/>
  </r>
  <r>
    <n v="84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222499.779698996"/>
    <x v="6"/>
    <m/>
    <m/>
    <d v="2019-06-26T00:00:00"/>
    <n v="2.484931506849315"/>
    <n v="3"/>
    <m/>
    <n v="3"/>
    <n v="2"/>
    <s v="32"/>
    <n v="0.08"/>
    <n v="3064493.6943999999"/>
    <n v="3615642.0644"/>
    <n v="115870803.02757333"/>
    <n v="551148.37"/>
    <m/>
    <n v="-38306171.18"/>
    <s v="BNP FP Equity"/>
    <x v="170"/>
    <n v="1.377870925E-3"/>
    <n v="0.26338046482799998"/>
    <d v="2017-05-29T10:12:30"/>
    <n v="844"/>
    <n v="3"/>
    <s v="Euro Stoxx 50 Pr"/>
    <s v="Equity Index"/>
    <m/>
    <s v="Index"/>
    <m/>
    <m/>
    <m/>
    <m/>
    <s v="1"/>
    <n v="-38306171.18"/>
    <m/>
    <n v="0"/>
    <s v="SX5E 20190626 3mEUR80bp"/>
    <s v="SX5E Index"/>
    <m/>
    <m/>
    <m/>
    <m/>
    <m/>
    <m/>
    <n v="-11077"/>
    <n v="3290.52"/>
    <s v="EUR"/>
    <n v="1.0509500000000001"/>
    <n v="1"/>
    <m/>
    <m/>
    <m/>
    <n v="0"/>
    <n v="0"/>
    <n v="0"/>
    <n v="0"/>
    <n v="0"/>
    <n v="0.28967700756893333"/>
  </r>
  <r>
    <n v="84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4057496.3134606993"/>
    <x v="6"/>
    <m/>
    <m/>
    <d v="2019-08-01T00:00:00"/>
    <n v="2.5835616438356164"/>
    <n v="3"/>
    <m/>
    <n v="3"/>
    <n v="2"/>
    <s v="32"/>
    <n v="0.08"/>
    <n v="1065670.2815999999"/>
    <n v="1065670.2815999999"/>
    <n v="40250971.652395256"/>
    <n v="-842461.88"/>
    <m/>
    <n v="-13320878.52"/>
    <s v="BNP FP Equity"/>
    <x v="171"/>
    <n v="-2.1061547000000001E-3"/>
    <n v="0.27056782700400001"/>
    <d v="2017-05-29T10:12:30"/>
    <n v="846"/>
    <n v="3"/>
    <s v="Euro Stoxx 50 Pr"/>
    <s v="Equity Index"/>
    <m/>
    <s v="Index"/>
    <m/>
    <m/>
    <m/>
    <m/>
    <s v="1"/>
    <n v="-13320878.52"/>
    <m/>
    <n v="0"/>
    <s v="SX5E 20190801 3mEUR79bp"/>
    <s v="SX5E Index"/>
    <m/>
    <m/>
    <m/>
    <m/>
    <m/>
    <m/>
    <n v="-3852"/>
    <n v="3290.52"/>
    <s v="EUR"/>
    <n v="1.0509500000000001"/>
    <n v="1"/>
    <m/>
    <m/>
    <m/>
    <n v="0"/>
    <n v="0"/>
    <n v="0"/>
    <n v="0"/>
    <n v="0"/>
    <n v="0.10062742913098814"/>
  </r>
  <r>
    <n v="84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4278489.180468746"/>
    <x v="6"/>
    <m/>
    <m/>
    <d v="2019-09-09T00:00:00"/>
    <n v="2.6904109589041094"/>
    <n v="3"/>
    <m/>
    <n v="3"/>
    <n v="2"/>
    <s v="32"/>
    <n v="0.08"/>
    <n v="8645429.9847999997"/>
    <n v="8645429.9847999997"/>
    <n v="326610115.62400955"/>
    <n v="-2873010.56"/>
    <m/>
    <n v="-108067874.81"/>
    <s v="BNP FP Equity"/>
    <x v="172"/>
    <n v="-7.1825264E-3"/>
    <n v="0.27835413602800002"/>
    <d v="2017-05-29T10:12:30"/>
    <n v="848"/>
    <n v="3"/>
    <s v="Euro Stoxx 50 Pr"/>
    <s v="Equity Index"/>
    <m/>
    <s v="Index"/>
    <m/>
    <m/>
    <m/>
    <m/>
    <s v="1"/>
    <n v="-108067874.81"/>
    <m/>
    <n v="0"/>
    <s v="SX5E 20190909 3mEUR81bp"/>
    <s v="SX5E Index"/>
    <m/>
    <m/>
    <m/>
    <m/>
    <m/>
    <m/>
    <n v="-31250"/>
    <n v="3290.52"/>
    <s v="EUR"/>
    <n v="1.0509500000000001"/>
    <n v="1"/>
    <m/>
    <m/>
    <m/>
    <n v="0"/>
    <n v="0"/>
    <n v="0"/>
    <n v="0"/>
    <n v="0"/>
    <n v="0.81652528906002386"/>
  </r>
  <r>
    <n v="84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7100944.278387628"/>
    <x v="6"/>
    <m/>
    <m/>
    <d v="2019-11-04T00:00:00"/>
    <n v="2.8438356164383563"/>
    <n v="3"/>
    <m/>
    <n v="3"/>
    <n v="2"/>
    <s v="32"/>
    <n v="0.08"/>
    <n v="4080366.2992000002"/>
    <n v="4080366.2992000002"/>
    <n v="154195142.94319072"/>
    <n v="-3970094.57"/>
    <m/>
    <n v="-51004578.740000002"/>
    <s v="BNP FP Equity"/>
    <x v="173"/>
    <n v="-9.9252364249999992E-3"/>
    <n v="0.28953447719199998"/>
    <d v="2017-05-29T10:12:30"/>
    <n v="850"/>
    <n v="3"/>
    <s v="Euro Stoxx 50 Pr"/>
    <s v="Equity Index"/>
    <m/>
    <s v="Index"/>
    <m/>
    <m/>
    <m/>
    <m/>
    <s v="1"/>
    <n v="-51004578.740000002"/>
    <m/>
    <n v="0"/>
    <s v="SX5E 20191104 3mEUR75.5bp"/>
    <s v="SX5E Index"/>
    <m/>
    <m/>
    <m/>
    <m/>
    <m/>
    <m/>
    <n v="-14749"/>
    <n v="3290.52"/>
    <s v="EUR"/>
    <n v="1.0509500000000001"/>
    <n v="1"/>
    <m/>
    <m/>
    <m/>
    <n v="0"/>
    <n v="0"/>
    <n v="0"/>
    <n v="0"/>
    <n v="0"/>
    <n v="0.3854878573579768"/>
  </r>
  <r>
    <n v="85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7350445.2051209137"/>
    <x v="6"/>
    <m/>
    <m/>
    <d v="2019-12-02T00:00:00"/>
    <n v="2.9205479452054797"/>
    <n v="3"/>
    <m/>
    <n v="3"/>
    <n v="2"/>
    <s v="32"/>
    <n v="0.08"/>
    <n v="1707783.6576"/>
    <n v="1707783.6576"/>
    <n v="64545896.210421681"/>
    <n v="-1214922.2"/>
    <m/>
    <n v="-21347295.719999999"/>
    <s v="BNP FP Equity"/>
    <x v="174"/>
    <n v="-3.0373054999999999E-3"/>
    <n v="0.29512464777300002"/>
    <d v="2017-05-29T10:12:30"/>
    <n v="852"/>
    <n v="3"/>
    <s v="Euro Stoxx 50 Pr"/>
    <s v="Equity Index"/>
    <m/>
    <s v="Index"/>
    <m/>
    <m/>
    <m/>
    <m/>
    <s v="1"/>
    <n v="-21347295.719999999"/>
    <m/>
    <n v="0"/>
    <s v="SX5E 20191202 3mEUR87bp"/>
    <s v="SX5E Index"/>
    <m/>
    <m/>
    <m/>
    <m/>
    <m/>
    <m/>
    <n v="-6173"/>
    <n v="3290.52"/>
    <s v="EUR"/>
    <n v="1.0509500000000001"/>
    <n v="1"/>
    <m/>
    <m/>
    <m/>
    <n v="0"/>
    <n v="0"/>
    <n v="0"/>
    <n v="0"/>
    <n v="0"/>
    <n v="0.16136474052605421"/>
  </r>
  <r>
    <n v="85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9630915.5975928865"/>
    <x v="6"/>
    <m/>
    <m/>
    <d v="2019-12-12T00:00:00"/>
    <n v="2.9479452054794519"/>
    <n v="3"/>
    <m/>
    <n v="3"/>
    <n v="2"/>
    <s v="32"/>
    <n v="0.08"/>
    <n v="2216826.5752000003"/>
    <n v="2216826.5752000003"/>
    <n v="83789662.603147134"/>
    <n v="-1618860.15"/>
    <m/>
    <n v="-27710332.190000001"/>
    <s v="BNP FP Equity"/>
    <x v="175"/>
    <n v="-4.047150375E-3"/>
    <n v="0.29712113726700001"/>
    <d v="2017-05-29T10:12:30"/>
    <n v="854"/>
    <n v="3"/>
    <s v="Euro Stoxx 50 Pr"/>
    <s v="Equity Index"/>
    <m/>
    <s v="Index"/>
    <m/>
    <m/>
    <m/>
    <m/>
    <s v="1"/>
    <n v="-27710332.190000001"/>
    <m/>
    <n v="0"/>
    <s v="SX5E 20191212 3mEUR83bp"/>
    <s v="SX5E Index"/>
    <m/>
    <m/>
    <m/>
    <m/>
    <m/>
    <m/>
    <n v="-8013"/>
    <n v="3290.52"/>
    <s v="EUR"/>
    <n v="1.0509500000000001"/>
    <n v="1"/>
    <m/>
    <m/>
    <m/>
    <n v="0"/>
    <n v="0"/>
    <n v="0"/>
    <n v="0"/>
    <n v="0"/>
    <n v="0.20947415650786783"/>
  </r>
  <r>
    <n v="85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663450.784137804"/>
    <x v="6"/>
    <m/>
    <m/>
    <d v="2019-12-17T00:00:00"/>
    <n v="2.9616438356164383"/>
    <n v="3"/>
    <m/>
    <n v="3"/>
    <n v="2"/>
    <s v="32"/>
    <n v="0.08"/>
    <n v="3817821.8816000004"/>
    <n v="4213523.1716"/>
    <n v="144424453.48401907"/>
    <n v="395701.29"/>
    <m/>
    <n v="-47722773.520000003"/>
    <s v="BNP FP Equity"/>
    <x v="176"/>
    <n v="9.8925322500000002E-4"/>
    <n v="0.29811938201400001"/>
    <d v="2017-05-29T10:12:30"/>
    <n v="856"/>
    <n v="3"/>
    <s v="Euro Stoxx 50 Pr"/>
    <s v="Equity Index"/>
    <m/>
    <s v="Index"/>
    <m/>
    <m/>
    <m/>
    <m/>
    <s v="1"/>
    <n v="-47722773.520000003"/>
    <m/>
    <n v="0"/>
    <s v="SX5E 20191217 3mEUR77bp"/>
    <s v="SX5E Index"/>
    <m/>
    <m/>
    <m/>
    <m/>
    <m/>
    <m/>
    <n v="-13800"/>
    <n v="3290.52"/>
    <s v="EUR"/>
    <n v="1.0509500000000001"/>
    <n v="1"/>
    <m/>
    <m/>
    <m/>
    <n v="0"/>
    <n v="0"/>
    <n v="0"/>
    <n v="0"/>
    <n v="0"/>
    <n v="0.36106113371004767"/>
  </r>
  <r>
    <n v="85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8860939.265246779"/>
    <x v="6"/>
    <m/>
    <m/>
    <d v="2019-12-20T00:00:00"/>
    <n v="2.9698630136986299"/>
    <n v="3"/>
    <m/>
    <n v="3"/>
    <n v="2"/>
    <s v="32"/>
    <n v="0.08"/>
    <n v="8878925.7584000006"/>
    <n v="8980619.2684000004"/>
    <n v="335642391.52000231"/>
    <n v="101693.51"/>
    <m/>
    <n v="-110986571.98"/>
    <s v="BNP FP Equity"/>
    <x v="177"/>
    <n v="2.5423377499999997E-4"/>
    <n v="0.298718328862"/>
    <d v="2017-05-29T10:12:30"/>
    <n v="858"/>
    <n v="3"/>
    <s v="Euro Stoxx 50 Pr"/>
    <s v="Equity Index"/>
    <m/>
    <s v="Index"/>
    <m/>
    <m/>
    <m/>
    <m/>
    <s v="1"/>
    <n v="-110986571.98"/>
    <m/>
    <n v="0"/>
    <s v="SX5E 20191220 3mEUR57.5 RC1"/>
    <s v="SX5E Index"/>
    <m/>
    <m/>
    <m/>
    <m/>
    <m/>
    <m/>
    <n v="-32094"/>
    <n v="3290.52"/>
    <s v="EUR"/>
    <n v="1.0509500000000001"/>
    <n v="1"/>
    <m/>
    <m/>
    <m/>
    <n v="0"/>
    <n v="0"/>
    <n v="0"/>
    <n v="0"/>
    <n v="0"/>
    <n v="0.83910597880000581"/>
  </r>
  <r>
    <n v="85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9558094.520624485"/>
    <x v="6"/>
    <m/>
    <m/>
    <d v="2020-01-06T00:00:00"/>
    <n v="3.0164383561643837"/>
    <n v="3"/>
    <m/>
    <n v="3"/>
    <n v="2"/>
    <s v="32"/>
    <n v="0.08"/>
    <n v="4399624.7375999996"/>
    <n v="4399624.7375999996"/>
    <n v="166315108.67699033"/>
    <n v="-3646439.32"/>
    <m/>
    <n v="-54995309.219999999"/>
    <s v="BNP FP Equity"/>
    <x v="178"/>
    <n v="-9.1160983000000001E-3"/>
    <n v="0.302112361"/>
    <d v="2017-05-29T10:12:30"/>
    <n v="860"/>
    <n v="3"/>
    <s v="Euro Stoxx 50 Pr"/>
    <s v="Equity Index"/>
    <m/>
    <s v="Index"/>
    <m/>
    <m/>
    <m/>
    <m/>
    <s v="1"/>
    <n v="-54995309.219999999"/>
    <m/>
    <n v="0"/>
    <s v="SX5E 20200106 3mEUR76bp"/>
    <s v="SX5E Index"/>
    <m/>
    <m/>
    <m/>
    <m/>
    <m/>
    <m/>
    <n v="-15903"/>
    <n v="3290.52"/>
    <s v="EUR"/>
    <n v="1.0509500000000001"/>
    <n v="1"/>
    <m/>
    <m/>
    <m/>
    <n v="0"/>
    <n v="0"/>
    <n v="0"/>
    <n v="0"/>
    <n v="0"/>
    <n v="0.41578777169247583"/>
  </r>
  <r>
    <n v="86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9282611.077778567"/>
    <x v="6"/>
    <m/>
    <m/>
    <d v="2020-01-06T00:00:00"/>
    <n v="3.0164383561643837"/>
    <n v="3"/>
    <m/>
    <n v="3"/>
    <n v="2"/>
    <s v="32"/>
    <n v="0.08"/>
    <n v="4337654.2951999996"/>
    <n v="4337654.2951999996"/>
    <n v="163972495.05032465"/>
    <n v="-3427434.78"/>
    <m/>
    <n v="-54220678.689999998"/>
    <s v="BNP FP Equity"/>
    <x v="179"/>
    <n v="-8.5685869500000001E-3"/>
    <n v="0.302112361"/>
    <d v="2017-05-29T10:12:30"/>
    <n v="862"/>
    <n v="3"/>
    <s v="Euro Stoxx 50 Pr"/>
    <s v="Equity Index"/>
    <m/>
    <s v="Index"/>
    <m/>
    <m/>
    <m/>
    <m/>
    <s v="1"/>
    <n v="-54220678.689999998"/>
    <m/>
    <n v="0"/>
    <s v="SX5E 20200106 3mEUR77bp"/>
    <s v="SX5E Index"/>
    <m/>
    <m/>
    <m/>
    <m/>
    <m/>
    <m/>
    <n v="-15679"/>
    <n v="3290.52"/>
    <s v="EUR"/>
    <n v="1.0509500000000001"/>
    <n v="1"/>
    <m/>
    <m/>
    <m/>
    <n v="0"/>
    <n v="0"/>
    <n v="0"/>
    <n v="0"/>
    <n v="0"/>
    <n v="0.40993123762581163"/>
  </r>
  <r>
    <n v="86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2611132.964772135"/>
    <x v="6"/>
    <m/>
    <m/>
    <d v="2020-02-03T00:00:00"/>
    <n v="3.0931506849315067"/>
    <n v="3"/>
    <m/>
    <n v="3"/>
    <n v="2"/>
    <s v="32"/>
    <n v="0.08"/>
    <n v="2766537.5951999999"/>
    <n v="2766537.5951999999"/>
    <n v="104596430.44175981"/>
    <n v="-2704288.65"/>
    <m/>
    <n v="-34581719.939999998"/>
    <s v="BNP FP Equity"/>
    <x v="180"/>
    <n v="-6.7607216249999996E-3"/>
    <n v="0.30770253158200001"/>
    <d v="2017-05-29T10:12:30"/>
    <n v="864"/>
    <n v="3"/>
    <s v="Euro Stoxx 50 Pr"/>
    <s v="Equity Index"/>
    <m/>
    <s v="Index"/>
    <m/>
    <m/>
    <m/>
    <m/>
    <s v="1"/>
    <n v="-34581719.939999998"/>
    <m/>
    <n v="0"/>
    <s v="SX5E 20200203 3mEUR76.5bp"/>
    <s v="SX5E Index"/>
    <m/>
    <m/>
    <m/>
    <m/>
    <m/>
    <m/>
    <n v="-10000"/>
    <n v="3290.52"/>
    <s v="EUR"/>
    <n v="1.0509500000000001"/>
    <n v="1"/>
    <m/>
    <m/>
    <m/>
    <n v="0"/>
    <n v="0"/>
    <n v="0"/>
    <n v="0"/>
    <n v="0"/>
    <n v="0.26149107610439953"/>
  </r>
  <r>
    <n v="86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437288.493043736"/>
    <x v="6"/>
    <m/>
    <m/>
    <d v="2020-03-03T00:00:00"/>
    <n v="3.1726027397260275"/>
    <n v="3"/>
    <m/>
    <n v="3"/>
    <n v="2"/>
    <s v="32"/>
    <n v="0.08"/>
    <n v="4584982.7568000006"/>
    <n v="4584982.7568000006"/>
    <n v="173374210.4042418"/>
    <n v="-3061349.37"/>
    <m/>
    <n v="-57312284.460000001"/>
    <s v="BNP FP Equity"/>
    <x v="181"/>
    <n v="-7.6533734250000002E-3"/>
    <n v="0.313492351113"/>
    <d v="2017-05-29T10:12:30"/>
    <n v="866"/>
    <n v="3"/>
    <s v="Euro Stoxx 50 Pr"/>
    <s v="Equity Index"/>
    <m/>
    <s v="Index"/>
    <m/>
    <m/>
    <m/>
    <m/>
    <s v="1"/>
    <n v="-57312284.460000001"/>
    <m/>
    <n v="0"/>
    <s v="SX5E 20200303 3mEUR79.5bp"/>
    <s v="SX5E Index"/>
    <m/>
    <m/>
    <m/>
    <m/>
    <m/>
    <m/>
    <n v="-16573"/>
    <n v="3290.52"/>
    <s v="EUR"/>
    <n v="1.0509500000000001"/>
    <n v="1"/>
    <m/>
    <m/>
    <m/>
    <n v="0"/>
    <n v="0"/>
    <n v="0"/>
    <n v="0"/>
    <n v="0"/>
    <n v="0.43343552601060448"/>
  </r>
  <r>
    <n v="86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952361.560660113"/>
    <x v="6"/>
    <m/>
    <m/>
    <d v="2020-06-12T00:00:00"/>
    <n v="3.4493150684931506"/>
    <n v="3"/>
    <m/>
    <n v="3"/>
    <n v="2"/>
    <s v="32"/>
    <n v="0.08"/>
    <n v="2351280.3023999999"/>
    <n v="2351280.3023999999"/>
    <n v="88957532.224966392"/>
    <n v="-145319.32"/>
    <m/>
    <n v="-29391003.780000001"/>
    <s v="BNP FP Equity"/>
    <x v="182"/>
    <n v="-3.6329830000000001E-4"/>
    <n v="0.33365689499700002"/>
    <d v="2017-05-29T10:12:30"/>
    <n v="868"/>
    <n v="3"/>
    <s v="Euro Stoxx 50 Pr"/>
    <s v="Equity Index"/>
    <m/>
    <s v="Index"/>
    <m/>
    <m/>
    <m/>
    <m/>
    <s v="1"/>
    <n v="-29391003.780000001"/>
    <m/>
    <n v="0"/>
    <s v="SX5E 20200612 3mEUR87.5"/>
    <s v="SX5E Index"/>
    <m/>
    <m/>
    <m/>
    <m/>
    <m/>
    <m/>
    <n v="-8499"/>
    <n v="3290.52"/>
    <s v="EUR"/>
    <n v="1.0509500000000001"/>
    <n v="1"/>
    <m/>
    <m/>
    <m/>
    <n v="0"/>
    <n v="0"/>
    <n v="0"/>
    <n v="0"/>
    <n v="0"/>
    <n v="0.22239383056241599"/>
  </r>
  <r>
    <n v="86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2294574.539753519"/>
    <x v="6"/>
    <m/>
    <m/>
    <d v="2020-06-19T00:00:00"/>
    <n v="3.4684931506849317"/>
    <n v="3"/>
    <m/>
    <n v="3"/>
    <n v="2"/>
    <s v="32"/>
    <n v="0.08"/>
    <n v="2405227.7856000001"/>
    <n v="2792562.1156000001"/>
    <n v="91131702.289222717"/>
    <n v="387334.33"/>
    <m/>
    <n v="-30065347.32"/>
    <s v="BNP FP Equity"/>
    <x v="183"/>
    <n v="9.6833582500000003E-4"/>
    <n v="0.33505443764199999"/>
    <d v="2017-05-29T10:12:30"/>
    <n v="870"/>
    <n v="3"/>
    <s v="Euro Stoxx 50 Pr"/>
    <s v="Equity Index"/>
    <m/>
    <s v="Index"/>
    <m/>
    <m/>
    <m/>
    <m/>
    <s v="1"/>
    <n v="-30065347.32"/>
    <m/>
    <n v="0"/>
    <s v="SX5E 20200619 3mEUR87.5bp"/>
    <s v="SX5E Index"/>
    <m/>
    <m/>
    <m/>
    <m/>
    <m/>
    <m/>
    <n v="-8694"/>
    <n v="3290.52"/>
    <s v="EUR"/>
    <n v="1.0509500000000001"/>
    <n v="1"/>
    <m/>
    <m/>
    <m/>
    <n v="0"/>
    <n v="0"/>
    <n v="0"/>
    <n v="0"/>
    <n v="0"/>
    <n v="0.22782925572305679"/>
  </r>
  <r>
    <n v="87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893716.996933853"/>
    <x v="6"/>
    <m/>
    <m/>
    <d v="2021-04-19T00:00:00"/>
    <n v="4.3013698630136989"/>
    <n v="3"/>
    <m/>
    <n v="3"/>
    <n v="2"/>
    <s v="32"/>
    <n v="0.08"/>
    <n v="1876265.7968000001"/>
    <n v="1876265.7968000001"/>
    <n v="71102495.287900984"/>
    <n v="-1473965.87"/>
    <m/>
    <n v="-23453322.460000001"/>
    <s v="BNP FP Equity"/>
    <x v="184"/>
    <n v="-3.6849146750000004E-3"/>
    <n v="0.39574771824299998"/>
    <d v="2017-05-29T10:12:30"/>
    <n v="872"/>
    <n v="3"/>
    <s v="Euro Stoxx 50 Pr"/>
    <s v="Equity Index"/>
    <m/>
    <s v="Index"/>
    <m/>
    <m/>
    <m/>
    <m/>
    <s v="1"/>
    <n v="-23453322.460000001"/>
    <m/>
    <n v="0"/>
    <s v="SX5E 20210419 3mEUR83"/>
    <s v="SX5E Index"/>
    <m/>
    <m/>
    <m/>
    <m/>
    <m/>
    <m/>
    <n v="-6782"/>
    <n v="3290.52"/>
    <s v="EUR"/>
    <n v="1.0509500000000001"/>
    <n v="1"/>
    <m/>
    <m/>
    <m/>
    <n v="0"/>
    <n v="0"/>
    <n v="0"/>
    <n v="0"/>
    <n v="0"/>
    <n v="0.17775623821975245"/>
  </r>
  <r>
    <n v="87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850712.630308246"/>
    <x v="6"/>
    <m/>
    <m/>
    <d v="2021-06-07T00:00:00"/>
    <n v="4.4356164383561643"/>
    <n v="3"/>
    <m/>
    <n v="3"/>
    <n v="2"/>
    <s v="32"/>
    <n v="0.08"/>
    <n v="1659922.5568000001"/>
    <n v="1659922.5568000001"/>
    <n v="62920245.132242344"/>
    <n v="-980242.97"/>
    <m/>
    <n v="-20749031.960000001"/>
    <s v="BNP FP Equity"/>
    <x v="185"/>
    <n v="-2.4506074250000001E-3"/>
    <n v="0.40553051676099999"/>
    <d v="2017-05-29T10:12:30"/>
    <n v="874"/>
    <n v="3"/>
    <s v="Euro Stoxx 50 Pr"/>
    <s v="Equity Index"/>
    <m/>
    <s v="Index"/>
    <m/>
    <m/>
    <m/>
    <m/>
    <s v="1"/>
    <n v="-20749031.960000001"/>
    <m/>
    <n v="0"/>
    <s v="SX5E 20210607 3mEUR81 RC"/>
    <s v="SX5E Index"/>
    <m/>
    <m/>
    <m/>
    <m/>
    <m/>
    <m/>
    <n v="-6000"/>
    <n v="3290.52"/>
    <s v="EUR"/>
    <n v="1.0509500000000001"/>
    <n v="1"/>
    <m/>
    <m/>
    <m/>
    <n v="0"/>
    <n v="0"/>
    <n v="0"/>
    <n v="0"/>
    <n v="0"/>
    <n v="0.15730061283060587"/>
  </r>
  <r>
    <n v="87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0463927.964292746"/>
    <x v="6"/>
    <m/>
    <m/>
    <d v="2021-06-14T00:00:00"/>
    <n v="4.4547945205479449"/>
    <n v="3"/>
    <m/>
    <n v="3"/>
    <n v="2"/>
    <s v="32"/>
    <n v="0.08"/>
    <n v="3117057.9087999999"/>
    <n v="3117057.9087999999"/>
    <n v="118158089.9058841"/>
    <n v="-509717.38"/>
    <m/>
    <n v="-38963223.859999999"/>
    <s v="BNP FP Equity"/>
    <x v="186"/>
    <n v="-1.2742934500000001E-3"/>
    <n v="0.40692805940600002"/>
    <d v="2017-05-29T10:12:30"/>
    <n v="876"/>
    <n v="3"/>
    <s v="Euro Stoxx 50 Pr"/>
    <s v="Equity Index"/>
    <m/>
    <s v="Index"/>
    <m/>
    <m/>
    <m/>
    <m/>
    <s v="1"/>
    <n v="-38963223.859999999"/>
    <m/>
    <n v="0"/>
    <s v="SX5E 20210614 3mEUR82"/>
    <s v="SX5E Index"/>
    <m/>
    <m/>
    <m/>
    <m/>
    <m/>
    <m/>
    <n v="-11267"/>
    <n v="3290.52"/>
    <s v="EUR"/>
    <n v="1.0509500000000001"/>
    <n v="1"/>
    <m/>
    <m/>
    <m/>
    <n v="0"/>
    <n v="0"/>
    <n v="0"/>
    <n v="0"/>
    <n v="0"/>
    <n v="0.29539522476471025"/>
  </r>
  <r>
    <n v="87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9919789.8513593785"/>
    <x v="6"/>
    <m/>
    <m/>
    <d v="2021-06-28T00:00:00"/>
    <n v="4.493150684931507"/>
    <n v="3"/>
    <m/>
    <n v="3"/>
    <n v="2"/>
    <s v="32"/>
    <n v="0.08"/>
    <n v="1498080.1080000002"/>
    <n v="1498080.1080000002"/>
    <n v="56791802.142857783"/>
    <n v="-1526675.91"/>
    <m/>
    <n v="-18726001.350000001"/>
    <s v="BNP FP Equity"/>
    <x v="187"/>
    <n v="-3.8166897749999998E-3"/>
    <n v="0.409723144697"/>
    <d v="2017-05-29T10:12:30"/>
    <n v="878"/>
    <n v="3"/>
    <s v="Euro Stoxx 50 Pr"/>
    <s v="Equity Index"/>
    <m/>
    <s v="Index"/>
    <m/>
    <m/>
    <m/>
    <m/>
    <s v="1"/>
    <n v="-18726001.350000001"/>
    <m/>
    <n v="0"/>
    <s v="SX5E 20210628 3mEUR83_1"/>
    <s v="SX5E Index"/>
    <m/>
    <m/>
    <m/>
    <m/>
    <m/>
    <m/>
    <n v="-5415"/>
    <n v="3290.52"/>
    <s v="EUR"/>
    <n v="1.0509500000000001"/>
    <n v="1"/>
    <m/>
    <m/>
    <m/>
    <n v="0"/>
    <n v="0"/>
    <n v="0"/>
    <n v="0"/>
    <n v="0"/>
    <n v="0.14197950535714446"/>
  </r>
  <r>
    <n v="87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4091047.743801167"/>
    <x v="6"/>
    <m/>
    <m/>
    <d v="2021-06-28T00:00:00"/>
    <n v="4.493150684931507"/>
    <n v="3"/>
    <m/>
    <n v="3"/>
    <n v="2"/>
    <s v="32"/>
    <n v="0.08"/>
    <n v="2128020.7184000001"/>
    <n v="2608225.2083999999"/>
    <n v="80869427.17446363"/>
    <n v="480204.49"/>
    <m/>
    <n v="-26600258.98"/>
    <s v="BNP FP Equity"/>
    <x v="188"/>
    <n v="1.200511225E-3"/>
    <n v="0.409723144697"/>
    <d v="2017-05-29T10:12:30"/>
    <n v="880"/>
    <n v="3"/>
    <s v="Euro Stoxx 50 Pr"/>
    <s v="Equity Index"/>
    <m/>
    <s v="Index"/>
    <m/>
    <m/>
    <m/>
    <m/>
    <s v="1"/>
    <n v="-26600258.98"/>
    <m/>
    <n v="0"/>
    <s v="SX5E 20210628 3mEUR85_1b"/>
    <s v="SX5E Index"/>
    <m/>
    <m/>
    <m/>
    <m/>
    <m/>
    <m/>
    <n v="-7692"/>
    <n v="3290.52"/>
    <s v="EUR"/>
    <n v="1.0509500000000001"/>
    <n v="1"/>
    <m/>
    <m/>
    <m/>
    <n v="0"/>
    <n v="0"/>
    <n v="0"/>
    <n v="0"/>
    <n v="0"/>
    <n v="0.20217356793615907"/>
  </r>
  <r>
    <n v="88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982913.796162713"/>
    <x v="6"/>
    <m/>
    <m/>
    <d v="2021-06-28T00:00:00"/>
    <n v="4.493150684931507"/>
    <n v="3"/>
    <m/>
    <n v="3"/>
    <n v="2"/>
    <s v="32"/>
    <n v="0.08"/>
    <n v="3319845.1143999998"/>
    <n v="3703766.5644"/>
    <n v="126011710.67398956"/>
    <n v="383921.45"/>
    <m/>
    <n v="-41498063.93"/>
    <s v="BNP FP Equity"/>
    <x v="189"/>
    <n v="9.5980362500000006E-4"/>
    <n v="0.409723144697"/>
    <d v="2017-05-29T10:12:30"/>
    <n v="882"/>
    <n v="3"/>
    <s v="Euro Stoxx 50 Pr"/>
    <s v="Equity Index"/>
    <m/>
    <s v="Index"/>
    <m/>
    <m/>
    <m/>
    <m/>
    <s v="1"/>
    <n v="-41498063.93"/>
    <m/>
    <n v="0"/>
    <s v="SX5E 20210628 3mEUR85_3"/>
    <s v="SX5E Index"/>
    <m/>
    <m/>
    <m/>
    <m/>
    <m/>
    <m/>
    <n v="-12000"/>
    <n v="3290.52"/>
    <s v="EUR"/>
    <n v="1.0509500000000001"/>
    <n v="1"/>
    <m/>
    <m/>
    <m/>
    <n v="0"/>
    <n v="0"/>
    <n v="0"/>
    <n v="0"/>
    <n v="0"/>
    <n v="0.31502927668497394"/>
  </r>
  <r>
    <n v="88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7656683.5046746051"/>
    <x v="6"/>
    <m/>
    <m/>
    <d v="2021-08-30T00:00:00"/>
    <n v="4.6657534246575345"/>
    <n v="3"/>
    <m/>
    <n v="3"/>
    <n v="2"/>
    <s v="32"/>
    <n v="0.08"/>
    <n v="1113531.3824"/>
    <n v="1113531.3824"/>
    <n v="42227672.288061224"/>
    <n v="-811912.11"/>
    <m/>
    <n v="-13919142.279999999"/>
    <s v="BNP FP Equity"/>
    <x v="190"/>
    <n v="-2.0297802749999999E-3"/>
    <n v="0.42230102850599999"/>
    <d v="2017-05-29T10:12:30"/>
    <n v="884"/>
    <n v="3"/>
    <s v="Euro Stoxx 50 Pr"/>
    <s v="Equity Index"/>
    <m/>
    <s v="Index"/>
    <m/>
    <m/>
    <m/>
    <m/>
    <s v="1"/>
    <n v="-13919142.279999999"/>
    <m/>
    <n v="0"/>
    <s v="SX5E 20210830 3mEUR77bp"/>
    <s v="SX5E Index"/>
    <m/>
    <m/>
    <m/>
    <m/>
    <m/>
    <m/>
    <n v="-4025"/>
    <n v="3290.52"/>
    <s v="EUR"/>
    <n v="1.0509500000000001"/>
    <n v="1"/>
    <m/>
    <m/>
    <m/>
    <n v="0"/>
    <n v="0"/>
    <n v="0"/>
    <n v="0"/>
    <n v="0"/>
    <n v="0.10556918072015306"/>
  </r>
  <r>
    <n v="88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64711927.700157173"/>
    <x v="6"/>
    <m/>
    <m/>
    <d v="2021-10-04T00:00:00"/>
    <n v="4.7616438356164386"/>
    <n v="3"/>
    <m/>
    <n v="3"/>
    <n v="2"/>
    <s v="32"/>
    <n v="0.08"/>
    <n v="9221699.7664000001"/>
    <n v="9221699.7664000001"/>
    <n v="349772513.12935734"/>
    <n v="-9002804.9499999993"/>
    <m/>
    <n v="-115271247.08"/>
    <s v="BNP FP Equity"/>
    <x v="191"/>
    <n v="-2.2507012375E-2"/>
    <n v="0.42928874173300002"/>
    <d v="2017-05-29T10:12:30"/>
    <n v="886"/>
    <n v="3"/>
    <s v="Euro Stoxx 50 Pr"/>
    <s v="Equity Index"/>
    <m/>
    <s v="Index"/>
    <m/>
    <m/>
    <m/>
    <m/>
    <s v="1"/>
    <n v="-115271247.08"/>
    <m/>
    <n v="0"/>
    <s v="SX5E 20211004 3mEUR63.5_1"/>
    <s v="SX5E Index"/>
    <m/>
    <m/>
    <m/>
    <m/>
    <m/>
    <m/>
    <n v="-33333"/>
    <n v="3290.52"/>
    <s v="EUR"/>
    <n v="1.0509500000000001"/>
    <n v="1"/>
    <m/>
    <m/>
    <m/>
    <n v="0"/>
    <n v="0"/>
    <n v="0"/>
    <n v="0"/>
    <n v="0"/>
    <n v="0.87443128282339333"/>
  </r>
  <r>
    <n v="88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631635.875651829"/>
    <x v="6"/>
    <m/>
    <m/>
    <d v="2021-10-05T00:00:00"/>
    <n v="4.7643835616438359"/>
    <n v="3"/>
    <m/>
    <n v="3"/>
    <n v="2"/>
    <s v="32"/>
    <n v="0.08"/>
    <n v="2368709.4887999999"/>
    <n v="2368709.4887999999"/>
    <n v="89843939.056337893"/>
    <n v="-2314211.06"/>
    <m/>
    <n v="-29608868.609999999"/>
    <s v="BNP FP Equity"/>
    <x v="192"/>
    <n v="-5.7855276500000004E-3"/>
    <n v="0.42948839068200001"/>
    <d v="2017-05-29T10:12:30"/>
    <n v="888"/>
    <n v="3"/>
    <s v="Euro Stoxx 50 Pr"/>
    <s v="Equity Index"/>
    <m/>
    <s v="Index"/>
    <m/>
    <m/>
    <m/>
    <m/>
    <s v="1"/>
    <n v="-29608868.609999999"/>
    <m/>
    <n v="0"/>
    <s v="SX5E 20211005 EUR63.5_1"/>
    <s v="SX5E Index"/>
    <m/>
    <m/>
    <m/>
    <m/>
    <m/>
    <m/>
    <n v="-8562"/>
    <n v="3290.52"/>
    <s v="EUR"/>
    <n v="1.0509500000000001"/>
    <n v="1"/>
    <m/>
    <m/>
    <m/>
    <n v="0"/>
    <n v="0"/>
    <n v="0"/>
    <n v="0"/>
    <n v="0"/>
    <n v="0.22460984764084474"/>
  </r>
  <r>
    <n v="88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2433765.266781986"/>
    <x v="6"/>
    <m/>
    <m/>
    <d v="2021-10-14T00:00:00"/>
    <n v="4.7890410958904113"/>
    <n v="3"/>
    <m/>
    <n v="3"/>
    <n v="2"/>
    <s v="32"/>
    <n v="0.08"/>
    <n v="4595495.5992000001"/>
    <n v="4595495.5992000001"/>
    <n v="174313054.35209903"/>
    <n v="-4145021.51"/>
    <m/>
    <n v="-57443694.990000002"/>
    <s v="BNP FP Equity"/>
    <x v="193"/>
    <n v="-1.0362553775E-2"/>
    <n v="0.43128523122599999"/>
    <d v="2017-05-29T10:12:30"/>
    <n v="890"/>
    <n v="3"/>
    <s v="Euro Stoxx 50 Pr"/>
    <s v="Equity Index"/>
    <m/>
    <s v="Index"/>
    <m/>
    <m/>
    <m/>
    <m/>
    <s v="1"/>
    <n v="-57443694.990000002"/>
    <m/>
    <n v="0"/>
    <s v="SX5E 20211014 3mEUR69.5 RC1"/>
    <s v="SX5E Index"/>
    <m/>
    <m/>
    <m/>
    <m/>
    <m/>
    <m/>
    <n v="-16611"/>
    <n v="3290.52"/>
    <s v="EUR"/>
    <n v="1.0509500000000001"/>
    <n v="1"/>
    <m/>
    <m/>
    <m/>
    <n v="0"/>
    <n v="0"/>
    <n v="0"/>
    <n v="0"/>
    <n v="0"/>
    <n v="0.43578263588024757"/>
  </r>
  <r>
    <n v="89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397164.4343930189"/>
    <x v="6"/>
    <m/>
    <m/>
    <d v="2017-09-13T00:00:00"/>
    <n v="0.70136986301369864"/>
    <n v="3"/>
    <m/>
    <n v="3"/>
    <n v="1"/>
    <s v="31"/>
    <n v="0.06"/>
    <n v="2464984.9973999998"/>
    <n v="2791178.7673999998"/>
    <n v="123682359.12885258"/>
    <n v="326193.77"/>
    <m/>
    <n v="41083083.289999999"/>
    <s v="BNP FP Equity"/>
    <x v="194"/>
    <n v="8.1548442500000004E-4"/>
    <n v="0.15517073428299999"/>
    <d v="2017-05-29T10:12:30"/>
    <n v="892"/>
    <n v="3"/>
    <s v="Euro Stoxx 50 Pr"/>
    <s v="Equity Index"/>
    <m/>
    <s v="Index"/>
    <m/>
    <m/>
    <m/>
    <m/>
    <s v="1"/>
    <n v="41083083.289999999"/>
    <m/>
    <n v="0.217"/>
    <s v="SX5E20170913 3mEUR39bp RC1"/>
    <s v="SX5E Index"/>
    <m/>
    <m/>
    <m/>
    <m/>
    <m/>
    <m/>
    <n v="11880"/>
    <n v="3290.52"/>
    <s v="EUR"/>
    <n v="1.0509500000000001"/>
    <n v="1"/>
    <m/>
    <m/>
    <m/>
    <n v="0"/>
    <n v="0"/>
    <n v="0"/>
    <n v="0"/>
    <n v="0"/>
    <n v="0.30920589782213143"/>
  </r>
  <r>
    <n v="89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136289.448083121"/>
    <x v="6"/>
    <m/>
    <m/>
    <d v="2019-05-23T00:00:00"/>
    <n v="2.3917808219178083"/>
    <n v="3"/>
    <m/>
    <n v="3"/>
    <n v="2"/>
    <s v="32"/>
    <n v="0.08"/>
    <n v="3159385.9336000001"/>
    <n v="3159385.9336000001"/>
    <n v="119287646.93096633"/>
    <n v="-2893484.32"/>
    <m/>
    <n v="-39492324.170000002"/>
    <s v="BNP FP Equity"/>
    <x v="195"/>
    <n v="-7.2337107999999994E-3"/>
    <n v="0.25659240054999999"/>
    <d v="2017-05-29T10:12:30"/>
    <n v="894"/>
    <n v="3"/>
    <s v="Euro Stoxx 50 Pr"/>
    <s v="Equity Index"/>
    <m/>
    <s v="Index"/>
    <m/>
    <m/>
    <m/>
    <m/>
    <s v="1"/>
    <n v="-39492324.170000002"/>
    <m/>
    <n v="0"/>
    <s v="SX5E20190523 3mEUR73.5b"/>
    <s v="SX5E Index"/>
    <m/>
    <m/>
    <m/>
    <m/>
    <m/>
    <m/>
    <n v="-11420"/>
    <n v="3290.52"/>
    <s v="EUR"/>
    <n v="1.0509500000000001"/>
    <n v="1"/>
    <m/>
    <m/>
    <m/>
    <n v="0"/>
    <n v="0"/>
    <n v="0"/>
    <n v="0"/>
    <n v="0"/>
    <n v="0.29821911732741585"/>
  </r>
  <r>
    <n v="895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318643.749099022"/>
    <x v="6"/>
    <m/>
    <m/>
    <d v="2019-05-23T00:00:00"/>
    <n v="2.3917808219178083"/>
    <n v="3"/>
    <m/>
    <n v="3"/>
    <n v="2"/>
    <s v="32"/>
    <n v="0.08"/>
    <n v="3211120.1864"/>
    <n v="3211120.1864"/>
    <n v="121240956.02708293"/>
    <n v="-2945732.57"/>
    <m/>
    <n v="-40139002.329999998"/>
    <s v="BNP FP Equity"/>
    <x v="196"/>
    <n v="-7.3643314249999996E-3"/>
    <n v="0.25659240054999999"/>
    <d v="2017-05-29T10:12:30"/>
    <n v="896"/>
    <n v="3"/>
    <s v="Euro Stoxx 50 Pr"/>
    <s v="Equity Index"/>
    <m/>
    <s v="Index"/>
    <m/>
    <m/>
    <m/>
    <m/>
    <s v="1"/>
    <n v="-40139002.329999998"/>
    <m/>
    <n v="0"/>
    <s v="SX5E20190523 3mEUR73b"/>
    <s v="SX5E Index"/>
    <m/>
    <m/>
    <m/>
    <m/>
    <m/>
    <m/>
    <n v="-11607"/>
    <n v="3290.52"/>
    <s v="EUR"/>
    <n v="1.0509500000000001"/>
    <n v="1"/>
    <m/>
    <m/>
    <m/>
    <n v="0"/>
    <n v="0"/>
    <n v="0"/>
    <n v="0"/>
    <n v="0"/>
    <n v="0.30310239006770734"/>
  </r>
  <r>
    <n v="897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7954544.842709973"/>
    <x v="6"/>
    <m/>
    <m/>
    <d v="2020-09-14T00:00:00"/>
    <n v="3.7068493150684931"/>
    <n v="3"/>
    <m/>
    <n v="3"/>
    <n v="2"/>
    <s v="32"/>
    <n v="0.08"/>
    <n v="3286646.6631999998"/>
    <n v="3286646.6631999998"/>
    <n v="124407542.69259271"/>
    <n v="-70097.919999999998"/>
    <m/>
    <n v="-41083083.289999999"/>
    <s v="BNP FP Equity"/>
    <x v="197"/>
    <n v="-1.7524479999999999E-4"/>
    <n v="0.35242389623499998"/>
    <d v="2017-05-29T10:12:30"/>
    <n v="898"/>
    <n v="3"/>
    <s v="Euro Stoxx 50 Pr"/>
    <s v="Equity Index"/>
    <m/>
    <s v="Index"/>
    <m/>
    <m/>
    <m/>
    <m/>
    <s v="1"/>
    <n v="-41083083.289999999"/>
    <m/>
    <n v="0"/>
    <s v="SX5E20200914 3mEUR67bp RC1"/>
    <s v="SX5E Index"/>
    <m/>
    <m/>
    <m/>
    <m/>
    <m/>
    <m/>
    <n v="-11880"/>
    <n v="3290.52"/>
    <s v="EUR"/>
    <n v="1.0509500000000001"/>
    <n v="1"/>
    <m/>
    <m/>
    <m/>
    <n v="0"/>
    <n v="0"/>
    <n v="0"/>
    <n v="0"/>
    <n v="0"/>
    <n v="0.31101885673148177"/>
  </r>
  <r>
    <n v="899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5288113.9021927146"/>
    <x v="6"/>
    <m/>
    <m/>
    <d v="2017-10-12T00:00:00"/>
    <n v="0.78082191780821919"/>
    <n v="3"/>
    <m/>
    <n v="3"/>
    <n v="1"/>
    <s v="31"/>
    <n v="0.06"/>
    <n v="3446621.6993999998"/>
    <n v="7976116.5994000006"/>
    <n v="173568744.83945572"/>
    <n v="4529494.9000000004"/>
    <m/>
    <n v="57443694.990000002"/>
    <s v="BNP FP Equity"/>
    <x v="198"/>
    <n v="1.132373725E-2"/>
    <n v="0.15517073428299999"/>
    <d v="2017-05-29T10:12:30"/>
    <n v="900"/>
    <n v="3"/>
    <s v="Euro Stoxx 50 Pr"/>
    <s v="Equity Index"/>
    <m/>
    <s v="Index"/>
    <m/>
    <m/>
    <m/>
    <m/>
    <s v="1"/>
    <n v="57443694.990000002"/>
    <m/>
    <n v="0.217"/>
    <s v="SX5E 20171012 3mEUR43bp RC1"/>
    <s v="SX5E Index"/>
    <m/>
    <m/>
    <m/>
    <m/>
    <m/>
    <m/>
    <n v="16611"/>
    <n v="3290.52"/>
    <s v="EUR"/>
    <n v="1.0509500000000001"/>
    <n v="1"/>
    <m/>
    <m/>
    <m/>
    <n v="0"/>
    <n v="0"/>
    <n v="0"/>
    <n v="0"/>
    <n v="0"/>
    <n v="0.43392186209863931"/>
  </r>
  <r>
    <n v="901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2980642.510958983"/>
    <x v="6"/>
    <m/>
    <m/>
    <d v="2018-12-21T00:00:00"/>
    <n v="1.9726027397260273"/>
    <n v="3"/>
    <m/>
    <n v="3"/>
    <n v="2"/>
    <s v="32"/>
    <n v="0.08"/>
    <n v="4465191.6783999996"/>
    <n v="5057664.4983999999"/>
    <n v="168587953.33212337"/>
    <n v="592472.81999999995"/>
    <m/>
    <n v="-55814895.979999997"/>
    <s v="BNP FP Equity"/>
    <x v="199"/>
    <n v="1.48118205E-3"/>
    <n v="0.22604611129999999"/>
    <d v="2017-05-29T10:12:30"/>
    <n v="902"/>
    <n v="3"/>
    <s v="Euro Stoxx 50 Pr"/>
    <s v="Equity Index"/>
    <m/>
    <s v="Index"/>
    <m/>
    <m/>
    <m/>
    <m/>
    <s v="1"/>
    <n v="-55814895.979999997"/>
    <m/>
    <n v="0"/>
    <s v="SX5E 20181221 3mEUR58.5bp RC1"/>
    <s v="SX5E Index"/>
    <m/>
    <m/>
    <m/>
    <m/>
    <m/>
    <m/>
    <n v="-16140"/>
    <n v="3290.52"/>
    <s v="EUR"/>
    <n v="1.0509500000000001"/>
    <n v="1"/>
    <m/>
    <m/>
    <m/>
    <n v="0"/>
    <n v="0"/>
    <n v="0"/>
    <n v="0"/>
    <n v="0"/>
    <n v="0.42146988333030844"/>
  </r>
  <r>
    <n v="903"/>
    <s v="BNP PARIBAS"/>
    <s v="TRS on Equity Index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8870216.977298215"/>
    <x v="6"/>
    <m/>
    <m/>
    <d v="2019-10-14T00:00:00"/>
    <n v="2.7863013698630139"/>
    <n v="3"/>
    <m/>
    <n v="3"/>
    <n v="2"/>
    <s v="32"/>
    <n v="0.08"/>
    <n v="4595495.5992000001"/>
    <n v="4595495.5992000001"/>
    <n v="173642372.18252355"/>
    <n v="-4347446.9400000004"/>
    <m/>
    <n v="-57443694.990000002"/>
    <s v="BNP FP Equity"/>
    <x v="200"/>
    <n v="-1.0868617350000002E-2"/>
    <n v="0.28534184925599998"/>
    <d v="2017-05-29T10:12:30"/>
    <n v="904"/>
    <n v="3"/>
    <s v="Euro Stoxx 50 Pr"/>
    <s v="Equity Index"/>
    <m/>
    <s v="Index"/>
    <m/>
    <m/>
    <m/>
    <m/>
    <s v="1"/>
    <n v="-57443694.990000002"/>
    <m/>
    <n v="0"/>
    <s v="SX5E 20191014 3mEUR57.5bp RC1"/>
    <s v="SX5E Index"/>
    <m/>
    <m/>
    <m/>
    <m/>
    <m/>
    <m/>
    <n v="-16611"/>
    <n v="3290.52"/>
    <s v="EUR"/>
    <n v="1.0509500000000001"/>
    <n v="1"/>
    <m/>
    <m/>
    <m/>
    <n v="0"/>
    <n v="0"/>
    <n v="0"/>
    <n v="0"/>
    <n v="0"/>
    <n v="0.43410593045630885"/>
  </r>
  <r>
    <n v="905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200418.4698630152"/>
    <x v="4"/>
    <m/>
    <m/>
    <d v="2018-04-20T00:00:00"/>
    <n v="1.3013698630136987"/>
    <n v="1"/>
    <m/>
    <n v="1"/>
    <n v="2"/>
    <s v="12"/>
    <n v="0.05"/>
    <n v="2346500"/>
    <n v="2349616.15"/>
    <n v="416192.48680708272"/>
    <n v="3116.15"/>
    <m/>
    <n v="46930000"/>
    <s v="56243Z LN Equity"/>
    <x v="201"/>
    <n v="7.7903750000000008E-6"/>
    <n v="0.17713211871099999"/>
    <d v="2017-05-29T10:12:30"/>
    <m/>
    <m/>
    <m/>
    <m/>
    <m/>
    <m/>
    <m/>
    <m/>
    <m/>
    <m/>
    <m/>
    <m/>
    <m/>
    <m/>
    <m/>
    <m/>
    <m/>
    <m/>
    <m/>
    <m/>
    <m/>
    <m/>
    <n v="65000000"/>
    <m/>
    <s v="AUD"/>
    <n v="0.72199999999999998"/>
    <m/>
    <m/>
    <m/>
    <m/>
    <n v="0"/>
    <n v="0"/>
    <n v="0"/>
    <n v="0"/>
    <n v="0"/>
    <n v="1.0404812170177068E-3"/>
  </r>
  <r>
    <n v="906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5310363.483287673"/>
    <x v="4"/>
    <m/>
    <m/>
    <d v="2018-05-20T00:00:00"/>
    <n v="1.3835616438356164"/>
    <n v="1"/>
    <m/>
    <n v="1"/>
    <n v="2"/>
    <s v="12"/>
    <n v="0.05"/>
    <n v="4693000"/>
    <n v="4701480.26"/>
    <n v="860942.52735835523"/>
    <n v="8480.26"/>
    <m/>
    <n v="93860000"/>
    <s v="56243Z LN Equity"/>
    <x v="202"/>
    <n v="2.1200650000000002E-5"/>
    <n v="0.183121587191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2.152356318395888E-3"/>
  </r>
  <r>
    <n v="907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6250207.578301372"/>
    <x v="4"/>
    <m/>
    <m/>
    <d v="2018-06-20T00:00:00"/>
    <n v="1.4684931506849315"/>
    <n v="1"/>
    <m/>
    <n v="1"/>
    <n v="2"/>
    <s v="12"/>
    <n v="0.05"/>
    <n v="4693000"/>
    <n v="4703169.7300000004"/>
    <n v="890360.37553845835"/>
    <n v="10169.73"/>
    <m/>
    <n v="93860000"/>
    <s v="56243Z LN Equity"/>
    <x v="203"/>
    <n v="2.5424324999999998E-5"/>
    <n v="0.189310704621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2.2259009388461461E-3"/>
  </r>
  <r>
    <n v="908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0888792.950465754"/>
    <x v="4"/>
    <m/>
    <m/>
    <d v="2018-11-20T00:00:00"/>
    <n v="1.8876712328767122"/>
    <n v="1"/>
    <m/>
    <n v="1"/>
    <n v="2"/>
    <s v="12"/>
    <n v="0.05"/>
    <n v="4693000"/>
    <n v="4693000"/>
    <n v="1031788.8722366029"/>
    <n v="-20092.61"/>
    <m/>
    <n v="93860000"/>
    <s v="BNP FP Equity"/>
    <x v="204"/>
    <n v="-5.0231525000000004E-5"/>
    <n v="0.21985699387099999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2.5794721805915072E-3"/>
  </r>
  <r>
    <n v="90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9158932.2936657518"/>
    <x v="4"/>
    <m/>
    <m/>
    <d v="2018-11-20T00:00:00"/>
    <n v="1.8876712328767122"/>
    <n v="1"/>
    <m/>
    <n v="1"/>
    <n v="2"/>
    <s v="12"/>
    <n v="0.05"/>
    <n v="2057700"/>
    <n v="2057700"/>
    <n v="452399.73628835671"/>
    <n v="-8409.82"/>
    <m/>
    <n v="41154000"/>
    <s v="BNP FP Equity"/>
    <x v="205"/>
    <n v="-2.1024549999999998E-5"/>
    <n v="0.21985699387099999"/>
    <d v="2017-05-29T10:12:30"/>
    <m/>
    <m/>
    <m/>
    <m/>
    <m/>
    <m/>
    <m/>
    <m/>
    <m/>
    <m/>
    <m/>
    <m/>
    <m/>
    <m/>
    <m/>
    <m/>
    <m/>
    <m/>
    <m/>
    <m/>
    <m/>
    <m/>
    <n v="57000000"/>
    <m/>
    <s v="AUD"/>
    <n v="0.72199999999999998"/>
    <m/>
    <m/>
    <m/>
    <m/>
    <n v="0"/>
    <n v="0"/>
    <n v="0"/>
    <n v="0"/>
    <n v="0"/>
    <n v="1.1309993407208918E-3"/>
  </r>
  <r>
    <n v="910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2243626.547945207"/>
    <x v="4"/>
    <m/>
    <m/>
    <d v="2019-01-20T00:00:00"/>
    <n v="2.0547945205479454"/>
    <n v="1"/>
    <m/>
    <n v="1"/>
    <n v="2"/>
    <s v="12"/>
    <n v="0.05"/>
    <n v="2527000"/>
    <n v="2527000"/>
    <n v="586353.91010658699"/>
    <n v="-10083.24"/>
    <m/>
    <n v="50540000"/>
    <s v="UBSN SW Equity"/>
    <x v="206"/>
    <n v="-2.52081E-5"/>
    <n v="0.23203557978100001"/>
    <d v="2017-05-29T10:12:30"/>
    <m/>
    <m/>
    <m/>
    <m/>
    <m/>
    <m/>
    <m/>
    <m/>
    <m/>
    <m/>
    <m/>
    <m/>
    <m/>
    <m/>
    <m/>
    <m/>
    <m/>
    <m/>
    <m/>
    <m/>
    <m/>
    <m/>
    <n v="70000000"/>
    <m/>
    <s v="AUD"/>
    <n v="0.72199999999999998"/>
    <m/>
    <m/>
    <m/>
    <m/>
    <n v="0"/>
    <n v="0"/>
    <n v="0"/>
    <n v="0"/>
    <n v="0"/>
    <n v="1.4658847752664675E-3"/>
  </r>
  <r>
    <n v="911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0444396.475232877"/>
    <x v="4"/>
    <m/>
    <m/>
    <d v="2018-11-20T00:00:00"/>
    <n v="1.8876712328767122"/>
    <n v="1"/>
    <m/>
    <n v="1"/>
    <n v="2"/>
    <s v="12"/>
    <n v="0.05"/>
    <n v="2346500"/>
    <n v="2346500"/>
    <n v="515894.43611830147"/>
    <n v="-6174.11"/>
    <m/>
    <n v="46930000"/>
    <s v="56243Z LN Equity"/>
    <x v="207"/>
    <n v="-1.5435274999999999E-5"/>
    <n v="0.21985699387099999"/>
    <d v="2017-05-29T10:12:30"/>
    <m/>
    <m/>
    <m/>
    <m/>
    <m/>
    <m/>
    <m/>
    <m/>
    <m/>
    <m/>
    <m/>
    <m/>
    <m/>
    <m/>
    <m/>
    <m/>
    <m/>
    <m/>
    <m/>
    <m/>
    <m/>
    <m/>
    <n v="65000000"/>
    <m/>
    <s v="AUD"/>
    <n v="0.72199999999999998"/>
    <m/>
    <m/>
    <m/>
    <m/>
    <n v="0"/>
    <n v="0"/>
    <n v="0"/>
    <n v="0"/>
    <n v="0"/>
    <n v="1.2897360902957536E-3"/>
  </r>
  <r>
    <n v="91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798319.494027399"/>
    <x v="4"/>
    <m/>
    <m/>
    <d v="2018-12-20T00:00:00"/>
    <n v="1.9698630136986301"/>
    <n v="1"/>
    <m/>
    <n v="1"/>
    <n v="2"/>
    <s v="12"/>
    <n v="0.05"/>
    <n v="4693000"/>
    <n v="4693000"/>
    <n v="1059897.4478132429"/>
    <n v="-10337.74"/>
    <m/>
    <n v="93860000"/>
    <s v="BNP FP Equity"/>
    <x v="208"/>
    <n v="-2.5844349999999999E-5"/>
    <n v="0.225846462351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2.6497436195331071E-3"/>
  </r>
  <r>
    <n v="913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7144680.8175780838"/>
    <x v="4"/>
    <m/>
    <m/>
    <d v="2018-03-20T00:00:00"/>
    <n v="1.2164383561643837"/>
    <n v="1"/>
    <m/>
    <n v="1"/>
    <n v="2"/>
    <s v="12"/>
    <n v="0.05"/>
    <n v="2490900"/>
    <n v="2505477.25"/>
    <n v="428293.8007562664"/>
    <n v="14577.25"/>
    <m/>
    <n v="49818000"/>
    <s v="BNP FP Equity"/>
    <x v="209"/>
    <n v="3.6443124999999998E-5"/>
    <n v="0.17094300128100001"/>
    <d v="2017-05-29T10:12:30"/>
    <m/>
    <m/>
    <m/>
    <m/>
    <m/>
    <m/>
    <m/>
    <m/>
    <m/>
    <m/>
    <m/>
    <m/>
    <m/>
    <m/>
    <m/>
    <m/>
    <m/>
    <m/>
    <m/>
    <m/>
    <m/>
    <m/>
    <n v="69000000"/>
    <m/>
    <s v="AUD"/>
    <n v="0.72199999999999998"/>
    <m/>
    <m/>
    <m/>
    <m/>
    <n v="0"/>
    <n v="0"/>
    <n v="0"/>
    <n v="0"/>
    <n v="0"/>
    <n v="1.070734501890666E-3"/>
  </r>
  <r>
    <n v="914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22738163.589041103"/>
    <x v="4"/>
    <m/>
    <m/>
    <d v="2019-01-20T00:00:00"/>
    <n v="2.0547945205479454"/>
    <n v="1"/>
    <m/>
    <n v="1"/>
    <n v="2"/>
    <s v="12"/>
    <n v="0.05"/>
    <n v="4693000"/>
    <n v="4693000"/>
    <n v="1088942.9759122331"/>
    <n v="-20377.009999999998"/>
    <m/>
    <n v="93860000"/>
    <s v="56243Z LN Equity"/>
    <x v="210"/>
    <n v="-5.0942524999999997E-5"/>
    <n v="0.23203557978100001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2.7223574397805829E-3"/>
  </r>
  <r>
    <n v="915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322854.7353424672"/>
    <x v="4"/>
    <m/>
    <m/>
    <d v="2018-09-20T00:00:00"/>
    <n v="1.7205479452054795"/>
    <n v="1"/>
    <m/>
    <n v="1"/>
    <n v="2"/>
    <s v="12"/>
    <n v="0.05"/>
    <n v="1805000"/>
    <n v="1805000"/>
    <n v="374859.52636960504"/>
    <n v="-4987.9399999999996"/>
    <m/>
    <n v="36100000"/>
    <s v="56243Z LN Equity"/>
    <x v="211"/>
    <n v="-1.2469849999999999E-5"/>
    <n v="0.20767840796100001"/>
    <d v="2017-05-29T10:12:30"/>
    <m/>
    <m/>
    <m/>
    <m/>
    <m/>
    <m/>
    <m/>
    <m/>
    <m/>
    <m/>
    <m/>
    <m/>
    <m/>
    <m/>
    <m/>
    <m/>
    <m/>
    <m/>
    <m/>
    <m/>
    <m/>
    <m/>
    <n v="50000000"/>
    <m/>
    <s v="AUD"/>
    <n v="0.72199999999999998"/>
    <m/>
    <m/>
    <m/>
    <m/>
    <n v="0"/>
    <n v="0"/>
    <n v="0"/>
    <n v="0"/>
    <n v="0"/>
    <n v="9.3714881592401255E-4"/>
  </r>
  <r>
    <n v="916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21798319.494027399"/>
    <x v="4"/>
    <m/>
    <m/>
    <d v="2018-12-20T00:00:00"/>
    <n v="1.9698630136986301"/>
    <n v="1"/>
    <m/>
    <n v="1"/>
    <n v="2"/>
    <s v="12"/>
    <n v="0.05"/>
    <n v="4693000"/>
    <n v="4693000"/>
    <n v="1059897.4478132429"/>
    <n v="-14885.26"/>
    <m/>
    <n v="93860000"/>
    <s v="56243Z LN Equity"/>
    <x v="212"/>
    <n v="-3.7213150000000001E-5"/>
    <n v="0.225846462351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2.6497436195331071E-3"/>
  </r>
  <r>
    <n v="917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474726.80073425"/>
    <x v="4"/>
    <m/>
    <m/>
    <d v="2019-02-20T00:00:00"/>
    <n v="2.1397260273972605"/>
    <n v="1"/>
    <m/>
    <n v="1"/>
    <n v="2"/>
    <s v="12"/>
    <n v="0.05"/>
    <n v="2274300"/>
    <n v="2274300"/>
    <n v="541794.42886470305"/>
    <n v="-8953.01"/>
    <m/>
    <n v="45486000"/>
    <s v="BNP FP Equity"/>
    <x v="213"/>
    <n v="-2.2382525E-5"/>
    <n v="0.23822469721"/>
    <d v="2017-05-29T10:12:30"/>
    <m/>
    <m/>
    <m/>
    <m/>
    <m/>
    <m/>
    <m/>
    <m/>
    <m/>
    <m/>
    <m/>
    <m/>
    <m/>
    <m/>
    <m/>
    <m/>
    <m/>
    <m/>
    <m/>
    <m/>
    <m/>
    <m/>
    <n v="63000000"/>
    <m/>
    <s v="AUD"/>
    <n v="0.72199999999999998"/>
    <m/>
    <m/>
    <m/>
    <m/>
    <n v="0"/>
    <n v="0"/>
    <n v="0"/>
    <n v="0"/>
    <n v="0"/>
    <n v="1.3544860721617577E-3"/>
  </r>
  <r>
    <n v="918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8383969.0361643853"/>
    <x v="4"/>
    <m/>
    <m/>
    <d v="2018-12-20T00:00:00"/>
    <n v="1.9698630136986301"/>
    <n v="1"/>
    <m/>
    <n v="1"/>
    <n v="2"/>
    <s v="12"/>
    <n v="0.05"/>
    <n v="1805000"/>
    <n v="1805000"/>
    <n v="407652.86454355501"/>
    <n v="-479.05"/>
    <m/>
    <n v="36100000"/>
    <s v="56243Z LN Equity"/>
    <x v="214"/>
    <n v="-1.197625E-6"/>
    <n v="0.225846462351"/>
    <d v="2017-05-29T10:12:30"/>
    <m/>
    <m/>
    <m/>
    <m/>
    <m/>
    <m/>
    <m/>
    <m/>
    <m/>
    <m/>
    <m/>
    <m/>
    <m/>
    <m/>
    <m/>
    <m/>
    <m/>
    <m/>
    <m/>
    <m/>
    <m/>
    <m/>
    <n v="50000000"/>
    <m/>
    <s v="AUD"/>
    <n v="0.72199999999999998"/>
    <m/>
    <m/>
    <m/>
    <m/>
    <n v="0"/>
    <n v="0"/>
    <n v="0"/>
    <n v="0"/>
    <n v="0"/>
    <n v="1.0191321613588875E-3"/>
  </r>
  <r>
    <n v="91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7320778.096986312"/>
    <x v="4"/>
    <m/>
    <m/>
    <d v="2019-02-20T00:00:00"/>
    <n v="2.1397260273972605"/>
    <n v="1"/>
    <m/>
    <n v="1"/>
    <n v="2"/>
    <s v="12"/>
    <n v="0.05"/>
    <n v="5415000"/>
    <n v="5415000"/>
    <n v="1289986.73539215"/>
    <n v="-18704.490000000002"/>
    <m/>
    <n v="108300000"/>
    <s v="BNP FP Equity"/>
    <x v="215"/>
    <n v="-4.6761225000000004E-5"/>
    <n v="0.23822469721"/>
    <d v="2017-05-29T10:12:30"/>
    <m/>
    <m/>
    <m/>
    <m/>
    <m/>
    <m/>
    <m/>
    <m/>
    <m/>
    <m/>
    <m/>
    <m/>
    <m/>
    <m/>
    <m/>
    <m/>
    <m/>
    <m/>
    <m/>
    <m/>
    <m/>
    <m/>
    <n v="150000000"/>
    <m/>
    <s v="AUD"/>
    <n v="0.72199999999999998"/>
    <m/>
    <m/>
    <m/>
    <m/>
    <n v="0"/>
    <n v="0"/>
    <n v="0"/>
    <n v="0"/>
    <n v="0"/>
    <n v="3.2249668384803751E-3"/>
  </r>
  <r>
    <n v="920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9974474.4277260303"/>
    <x v="4"/>
    <m/>
    <m/>
    <d v="2018-10-20T00:00:00"/>
    <n v="1.8027397260273972"/>
    <n v="1"/>
    <m/>
    <n v="1"/>
    <n v="2"/>
    <s v="12"/>
    <n v="0.05"/>
    <n v="2346500"/>
    <n v="2346952.41"/>
    <n v="501468.33755278721"/>
    <n v="452.41"/>
    <m/>
    <n v="46930000"/>
    <s v="UBSN SW Equity"/>
    <x v="216"/>
    <n v="1.1310250000000001E-6"/>
    <n v="0.21366787644099999"/>
    <d v="2017-05-29T10:12:30"/>
    <m/>
    <m/>
    <m/>
    <m/>
    <m/>
    <m/>
    <m/>
    <m/>
    <m/>
    <m/>
    <m/>
    <m/>
    <m/>
    <m/>
    <m/>
    <m/>
    <m/>
    <m/>
    <m/>
    <m/>
    <m/>
    <m/>
    <n v="65000000"/>
    <m/>
    <s v="AUD"/>
    <n v="0.72199999999999998"/>
    <m/>
    <m/>
    <m/>
    <m/>
    <n v="0"/>
    <n v="0"/>
    <n v="0"/>
    <n v="0"/>
    <n v="0"/>
    <n v="1.2536708438819681E-3"/>
  </r>
  <r>
    <n v="921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7320778.096986312"/>
    <x v="4"/>
    <m/>
    <m/>
    <d v="2019-02-20T00:00:00"/>
    <n v="2.1397260273972605"/>
    <n v="1"/>
    <m/>
    <n v="1"/>
    <n v="2"/>
    <s v="12"/>
    <n v="0.05"/>
    <n v="5415000"/>
    <n v="5415000"/>
    <n v="1289986.73539215"/>
    <n v="-16092.29"/>
    <m/>
    <n v="108300000"/>
    <s v="DBK GR Equity"/>
    <x v="217"/>
    <n v="-4.0230725000000003E-5"/>
    <n v="0.23822469721"/>
    <d v="2017-05-29T10:12:30"/>
    <m/>
    <m/>
    <m/>
    <m/>
    <m/>
    <m/>
    <m/>
    <m/>
    <m/>
    <m/>
    <m/>
    <m/>
    <m/>
    <m/>
    <m/>
    <m/>
    <m/>
    <m/>
    <m/>
    <m/>
    <m/>
    <m/>
    <n v="150000000"/>
    <m/>
    <s v="AUD"/>
    <n v="0.72199999999999998"/>
    <m/>
    <m/>
    <m/>
    <m/>
    <n v="0"/>
    <n v="0"/>
    <n v="0"/>
    <n v="0"/>
    <n v="0"/>
    <n v="3.2249668384803751E-3"/>
  </r>
  <r>
    <n v="922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2263449.562356165"/>
    <x v="4"/>
    <m/>
    <m/>
    <d v="2019-03-20T00:00:00"/>
    <n v="2.2164383561643834"/>
    <n v="1"/>
    <m/>
    <n v="1"/>
    <n v="2"/>
    <s v="12"/>
    <n v="0.05"/>
    <n v="2346500"/>
    <n v="2346500"/>
    <n v="572111.58727392799"/>
    <n v="-12391.87"/>
    <m/>
    <n v="46930000"/>
    <s v="DBK GR Equity"/>
    <x v="218"/>
    <n v="-3.0979675000000003E-5"/>
    <n v="0.24381486779200001"/>
    <d v="2017-05-29T10:12:30"/>
    <m/>
    <m/>
    <m/>
    <m/>
    <m/>
    <m/>
    <m/>
    <m/>
    <m/>
    <m/>
    <m/>
    <m/>
    <m/>
    <m/>
    <m/>
    <m/>
    <m/>
    <m/>
    <m/>
    <m/>
    <m/>
    <m/>
    <n v="65000000"/>
    <m/>
    <s v="AUD"/>
    <n v="0.72199999999999998"/>
    <m/>
    <m/>
    <m/>
    <m/>
    <n v="0"/>
    <n v="0"/>
    <n v="0"/>
    <n v="0"/>
    <n v="0"/>
    <n v="1.43027896818482E-3"/>
  </r>
  <r>
    <n v="923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6236342.602739733"/>
    <x v="4"/>
    <m/>
    <m/>
    <d v="2019-01-20T00:00:00"/>
    <n v="2.0547945205479454"/>
    <n v="1"/>
    <m/>
    <n v="1"/>
    <n v="2"/>
    <s v="12"/>
    <n v="0.05"/>
    <n v="5415000"/>
    <n v="5415000"/>
    <n v="1256472.6645141151"/>
    <n v="-13711.86"/>
    <m/>
    <n v="108300000"/>
    <s v="UBSN SW Equity"/>
    <x v="219"/>
    <n v="-3.427965E-5"/>
    <n v="0.23203557978100001"/>
    <d v="2017-05-29T10:12:30"/>
    <m/>
    <m/>
    <m/>
    <m/>
    <m/>
    <m/>
    <m/>
    <m/>
    <m/>
    <m/>
    <m/>
    <m/>
    <m/>
    <m/>
    <m/>
    <m/>
    <m/>
    <m/>
    <m/>
    <m/>
    <m/>
    <m/>
    <n v="150000000"/>
    <m/>
    <s v="AUD"/>
    <n v="0.72199999999999998"/>
    <m/>
    <m/>
    <m/>
    <m/>
    <n v="0"/>
    <n v="0"/>
    <n v="0"/>
    <n v="0"/>
    <n v="0"/>
    <n v="3.1411816612852876E-3"/>
  </r>
  <r>
    <n v="924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3678007.684054799"/>
    <x v="4"/>
    <m/>
    <m/>
    <d v="2019-02-20T00:00:00"/>
    <n v="2.1397260273972605"/>
    <n v="1"/>
    <m/>
    <n v="1"/>
    <n v="2"/>
    <s v="12"/>
    <n v="0.05"/>
    <n v="4693000"/>
    <n v="4693000"/>
    <n v="1117988.5040065299"/>
    <n v="-20738.37"/>
    <m/>
    <n v="93860000"/>
    <s v="UBSN SW Equity"/>
    <x v="220"/>
    <n v="-5.1845924999999999E-5"/>
    <n v="0.23822469721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2.7949712600163247E-3"/>
  </r>
  <r>
    <n v="925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0559836.382684933"/>
    <x v="4"/>
    <m/>
    <m/>
    <d v="2018-07-20T00:00:00"/>
    <n v="1.5506849315068494"/>
    <n v="1"/>
    <m/>
    <n v="1"/>
    <n v="2"/>
    <s v="12"/>
    <n v="0.05"/>
    <n v="2888000"/>
    <n v="2898326.91"/>
    <n v="566043.74722628645"/>
    <n v="10326.91"/>
    <m/>
    <n v="57760000"/>
    <s v="UBSN SW Equity"/>
    <x v="221"/>
    <n v="2.5817274999999999E-5"/>
    <n v="0.19530017310100001"/>
    <d v="2017-05-29T10:12:30"/>
    <m/>
    <m/>
    <m/>
    <m/>
    <m/>
    <m/>
    <m/>
    <m/>
    <m/>
    <m/>
    <m/>
    <m/>
    <m/>
    <m/>
    <m/>
    <m/>
    <m/>
    <m/>
    <m/>
    <m/>
    <m/>
    <m/>
    <n v="80000000"/>
    <m/>
    <s v="AUD"/>
    <n v="0.72199999999999998"/>
    <m/>
    <m/>
    <m/>
    <m/>
    <n v="0"/>
    <n v="0"/>
    <n v="0"/>
    <n v="0"/>
    <n v="0"/>
    <n v="1.415109368065716E-3"/>
  </r>
  <r>
    <n v="926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8610312.352876712"/>
    <x v="4"/>
    <m/>
    <m/>
    <d v="2019-04-20T00:00:00"/>
    <n v="2.3013698630136985"/>
    <n v="1"/>
    <m/>
    <n v="1"/>
    <n v="2"/>
    <s v="12"/>
    <n v="0.05"/>
    <n v="3429500"/>
    <n v="3429500"/>
    <n v="857388.66731884901"/>
    <n v="-23048.3"/>
    <m/>
    <n v="68590000"/>
    <s v="56243Z LN Equity"/>
    <x v="222"/>
    <n v="-5.7620749999999999E-5"/>
    <n v="0.25000398522200001"/>
    <d v="2017-05-29T10:12:30"/>
    <m/>
    <m/>
    <m/>
    <m/>
    <m/>
    <m/>
    <m/>
    <m/>
    <m/>
    <m/>
    <m/>
    <m/>
    <m/>
    <m/>
    <m/>
    <m/>
    <m/>
    <m/>
    <m/>
    <m/>
    <m/>
    <m/>
    <n v="95000000"/>
    <m/>
    <s v="AUD"/>
    <n v="0.72199999999999998"/>
    <m/>
    <m/>
    <m/>
    <m/>
    <n v="0"/>
    <n v="0"/>
    <n v="0"/>
    <n v="0"/>
    <n v="0"/>
    <n v="2.1434716682971226E-3"/>
  </r>
  <r>
    <n v="927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6599897.7391780838"/>
    <x v="4"/>
    <m/>
    <m/>
    <d v="2018-07-20T00:00:00"/>
    <n v="1.5506849315068494"/>
    <n v="1"/>
    <m/>
    <n v="1"/>
    <n v="2"/>
    <s v="12"/>
    <n v="0.05"/>
    <n v="1805000"/>
    <n v="1817633.91"/>
    <n v="354984.21725724748"/>
    <n v="12633.91"/>
    <m/>
    <n v="36100000"/>
    <s v="56243Z LN Equity"/>
    <x v="223"/>
    <n v="3.1584775000000001E-5"/>
    <n v="0.19530017310100001"/>
    <d v="2017-05-29T10:12:30"/>
    <m/>
    <m/>
    <m/>
    <m/>
    <m/>
    <m/>
    <m/>
    <m/>
    <m/>
    <m/>
    <m/>
    <m/>
    <m/>
    <m/>
    <m/>
    <m/>
    <m/>
    <m/>
    <m/>
    <m/>
    <m/>
    <m/>
    <n v="50000000"/>
    <m/>
    <s v="AUD"/>
    <n v="0.72199999999999998"/>
    <m/>
    <m/>
    <m/>
    <m/>
    <n v="0"/>
    <n v="0"/>
    <n v="0"/>
    <n v="0"/>
    <n v="0"/>
    <n v="8.8746054314311866E-4"/>
  </r>
  <r>
    <n v="928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5466743.21972603"/>
    <x v="4"/>
    <m/>
    <m/>
    <d v="2019-04-20T00:00:00"/>
    <n v="2.3013698630136985"/>
    <n v="1"/>
    <m/>
    <n v="1"/>
    <n v="2"/>
    <s v="12"/>
    <n v="0.05"/>
    <n v="4693000"/>
    <n v="4722267.43"/>
    <n v="1180585.6767840518"/>
    <n v="29267.43"/>
    <m/>
    <n v="93860000"/>
    <s v="UBSN SW Equity"/>
    <x v="224"/>
    <n v="7.3168574999999994E-5"/>
    <n v="0.25000398522200001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2.9514641919601296E-3"/>
  </r>
  <r>
    <n v="929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657513.8609863035"/>
    <x v="4"/>
    <m/>
    <m/>
    <d v="2018-08-20T00:00:00"/>
    <n v="1.6356164383561644"/>
    <n v="1"/>
    <m/>
    <n v="1"/>
    <n v="2"/>
    <s v="12"/>
    <n v="0.05"/>
    <n v="1985500"/>
    <n v="1994619.01"/>
    <n v="401894.36920454563"/>
    <n v="9119.01"/>
    <m/>
    <n v="39710000"/>
    <s v="56243Z LN Equity"/>
    <x v="225"/>
    <n v="2.2797525000000002E-5"/>
    <n v="0.20148929053100001"/>
    <d v="2017-05-29T10:12:30"/>
    <m/>
    <m/>
    <m/>
    <m/>
    <m/>
    <m/>
    <m/>
    <m/>
    <m/>
    <m/>
    <m/>
    <m/>
    <m/>
    <m/>
    <m/>
    <m/>
    <m/>
    <m/>
    <m/>
    <m/>
    <m/>
    <m/>
    <n v="55000000"/>
    <m/>
    <s v="AUD"/>
    <n v="0.72199999999999998"/>
    <m/>
    <m/>
    <m/>
    <m/>
    <n v="0"/>
    <n v="0"/>
    <n v="0"/>
    <n v="0"/>
    <n v="0"/>
    <n v="1.004735923011364E-3"/>
  </r>
  <r>
    <n v="930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29384703.715068493"/>
    <x v="4"/>
    <m/>
    <m/>
    <d v="2019-04-20T00:00:00"/>
    <n v="2.3013698630136985"/>
    <n v="1"/>
    <m/>
    <n v="1"/>
    <n v="2"/>
    <s v="12"/>
    <n v="0.05"/>
    <n v="5415000"/>
    <n v="5415000"/>
    <n v="1353771.5799771301"/>
    <n v="-33244.85"/>
    <m/>
    <n v="108300000"/>
    <s v="56243Z LN Equity"/>
    <x v="226"/>
    <n v="-8.3112125000000002E-5"/>
    <n v="0.25000398522200001"/>
    <d v="2017-05-29T10:12:30"/>
    <m/>
    <m/>
    <m/>
    <m/>
    <m/>
    <m/>
    <m/>
    <m/>
    <m/>
    <m/>
    <m/>
    <m/>
    <m/>
    <m/>
    <m/>
    <m/>
    <m/>
    <m/>
    <m/>
    <m/>
    <m/>
    <m/>
    <n v="150000000"/>
    <m/>
    <s v="AUD"/>
    <n v="0.72199999999999998"/>
    <m/>
    <m/>
    <m/>
    <m/>
    <n v="0"/>
    <n v="0"/>
    <n v="0"/>
    <n v="0"/>
    <n v="0"/>
    <n v="3.384428949942825E-3"/>
  </r>
  <r>
    <n v="931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24526899.124712329"/>
    <x v="4"/>
    <m/>
    <m/>
    <d v="2019-03-20T00:00:00"/>
    <n v="2.2164383561643834"/>
    <n v="1"/>
    <m/>
    <n v="1"/>
    <n v="2"/>
    <s v="12"/>
    <n v="0.05"/>
    <n v="4693000"/>
    <n v="4693000"/>
    <n v="1144223.174547856"/>
    <n v="-22525.46"/>
    <m/>
    <n v="93860000"/>
    <s v="56243Z LN Equity"/>
    <x v="227"/>
    <n v="-5.6313649999999999E-5"/>
    <n v="0.24381486779200001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2.8605579363696399E-3"/>
  </r>
  <r>
    <n v="93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8300268.220821925"/>
    <x v="4"/>
    <m/>
    <m/>
    <d v="2019-03-20T00:00:00"/>
    <n v="2.2164383561643834"/>
    <n v="1"/>
    <m/>
    <n v="1"/>
    <n v="2"/>
    <s v="12"/>
    <n v="0.05"/>
    <n v="5415000"/>
    <n v="5415000"/>
    <n v="1320257.50909368"/>
    <n v="-25989.84"/>
    <m/>
    <n v="108300000"/>
    <s v="BNP FP Equity"/>
    <x v="228"/>
    <n v="-6.4974600000000006E-5"/>
    <n v="0.24381486779200001"/>
    <d v="2017-05-29T10:12:30"/>
    <m/>
    <m/>
    <m/>
    <m/>
    <m/>
    <m/>
    <m/>
    <m/>
    <m/>
    <m/>
    <m/>
    <m/>
    <m/>
    <m/>
    <m/>
    <m/>
    <m/>
    <m/>
    <m/>
    <m/>
    <m/>
    <m/>
    <n v="150000000"/>
    <m/>
    <s v="AUD"/>
    <n v="0.72199999999999998"/>
    <m/>
    <m/>
    <m/>
    <m/>
    <n v="0"/>
    <n v="0"/>
    <n v="0"/>
    <n v="0"/>
    <n v="0"/>
    <n v="3.3006437727341998E-3"/>
  </r>
  <r>
    <n v="933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7546738.1922191791"/>
    <x v="4"/>
    <m/>
    <m/>
    <d v="2019-03-20T00:00:00"/>
    <n v="2.2164383561643834"/>
    <n v="1"/>
    <m/>
    <n v="1"/>
    <n v="2"/>
    <s v="12"/>
    <n v="0.05"/>
    <n v="1444000"/>
    <n v="1456109.97"/>
    <n v="355021.25982616312"/>
    <n v="12109.97"/>
    <m/>
    <n v="28880000"/>
    <s v="UBSN SW Equity"/>
    <x v="229"/>
    <n v="3.0274924999999999E-5"/>
    <n v="0.24381486779200001"/>
    <d v="2017-05-29T10:12:30"/>
    <m/>
    <m/>
    <m/>
    <m/>
    <m/>
    <m/>
    <m/>
    <m/>
    <m/>
    <m/>
    <m/>
    <m/>
    <m/>
    <m/>
    <m/>
    <m/>
    <m/>
    <m/>
    <m/>
    <m/>
    <m/>
    <m/>
    <n v="40000000"/>
    <m/>
    <s v="AUD"/>
    <n v="0.72199999999999998"/>
    <m/>
    <m/>
    <m/>
    <m/>
    <n v="0"/>
    <n v="0"/>
    <n v="0"/>
    <n v="0"/>
    <n v="0"/>
    <n v="8.8755314956540782E-4"/>
  </r>
  <r>
    <n v="934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3188134.881643837"/>
    <x v="4"/>
    <m/>
    <m/>
    <d v="2019-05-20T00:00:00"/>
    <n v="2.3835616438356166"/>
    <n v="1"/>
    <m/>
    <n v="1"/>
    <n v="2"/>
    <s v="12"/>
    <n v="0.05"/>
    <n v="2346500"/>
    <n v="2346500"/>
    <n v="600688.63911174296"/>
    <n v="-17564.02"/>
    <m/>
    <n v="46930000"/>
    <s v="DBK GR Equity"/>
    <x v="230"/>
    <n v="-4.3910050000000002E-5"/>
    <n v="0.255993453702"/>
    <d v="2017-05-29T10:12:30"/>
    <m/>
    <m/>
    <m/>
    <m/>
    <m/>
    <m/>
    <m/>
    <m/>
    <m/>
    <m/>
    <m/>
    <m/>
    <m/>
    <m/>
    <m/>
    <m/>
    <m/>
    <m/>
    <m/>
    <m/>
    <m/>
    <m/>
    <n v="65000000"/>
    <m/>
    <s v="AUD"/>
    <n v="0.72199999999999998"/>
    <m/>
    <m/>
    <m/>
    <m/>
    <n v="0"/>
    <n v="0"/>
    <n v="0"/>
    <n v="0"/>
    <n v="0"/>
    <n v="1.5017215977793574E-3"/>
  </r>
  <r>
    <n v="935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9274966.365479454"/>
    <x v="4"/>
    <m/>
    <m/>
    <d v="2019-05-20T00:00:00"/>
    <n v="2.3835616438356166"/>
    <n v="1"/>
    <m/>
    <n v="1"/>
    <n v="2"/>
    <s v="12"/>
    <n v="0.05"/>
    <n v="3429500"/>
    <n v="3429500"/>
    <n v="877929.54947100894"/>
    <n v="-22955.01"/>
    <m/>
    <n v="68590000"/>
    <s v="BNP FP Equity"/>
    <x v="231"/>
    <n v="-5.7387524999999994E-5"/>
    <n v="0.255993453702"/>
    <d v="2017-05-29T10:12:30"/>
    <m/>
    <m/>
    <m/>
    <m/>
    <m/>
    <m/>
    <m/>
    <m/>
    <m/>
    <m/>
    <m/>
    <m/>
    <m/>
    <m/>
    <m/>
    <m/>
    <m/>
    <m/>
    <m/>
    <m/>
    <m/>
    <m/>
    <n v="95000000"/>
    <m/>
    <s v="AUD"/>
    <n v="0.72199999999999998"/>
    <m/>
    <m/>
    <m/>
    <m/>
    <n v="0"/>
    <n v="0"/>
    <n v="0"/>
    <n v="0"/>
    <n v="0"/>
    <n v="2.1948238736775225E-3"/>
  </r>
  <r>
    <n v="936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28225640.401863016"/>
    <x v="4"/>
    <m/>
    <m/>
    <d v="2019-07-20T00:00:00"/>
    <n v="2.5506849315068494"/>
    <n v="1"/>
    <m/>
    <n v="1"/>
    <n v="2"/>
    <s v="12"/>
    <n v="0.05"/>
    <n v="4693000"/>
    <n v="4693000"/>
    <n v="1258531.3818991159"/>
    <n v="-36567.86"/>
    <m/>
    <n v="93860000"/>
    <s v="56243Z LN Equity"/>
    <x v="232"/>
    <n v="-9.1419650000000005E-5"/>
    <n v="0.26817203961199998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3.1463284547477897E-3"/>
  </r>
  <r>
    <n v="937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7316113.858301371"/>
    <x v="4"/>
    <m/>
    <m/>
    <d v="2019-06-20T00:00:00"/>
    <n v="2.4684931506849317"/>
    <n v="1"/>
    <m/>
    <n v="1"/>
    <n v="2"/>
    <s v="12"/>
    <n v="0.05"/>
    <n v="4693000"/>
    <n v="4693000"/>
    <n v="1230422.8063224759"/>
    <n v="-39207.199999999997"/>
    <m/>
    <n v="93860000"/>
    <s v="UBSN SW Equity"/>
    <x v="233"/>
    <n v="-9.8017999999999996E-5"/>
    <n v="0.262182571132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3.0760570158061898E-3"/>
  </r>
  <r>
    <n v="938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461730.802663017"/>
    <x v="4"/>
    <m/>
    <m/>
    <d v="2019-10-20T00:00:00"/>
    <n v="2.8027397260273972"/>
    <n v="1"/>
    <m/>
    <n v="1"/>
    <n v="2"/>
    <s v="12"/>
    <n v="0.05"/>
    <n v="2490900"/>
    <n v="2497803.7799999998"/>
    <n v="715720.05306573398"/>
    <n v="6903.78"/>
    <m/>
    <n v="49818000"/>
    <s v="BNP FP Equity"/>
    <x v="234"/>
    <n v="1.725945E-5"/>
    <n v="0.28653974295200002"/>
    <d v="2017-05-29T10:12:30"/>
    <m/>
    <m/>
    <m/>
    <m/>
    <m/>
    <m/>
    <m/>
    <m/>
    <m/>
    <m/>
    <m/>
    <m/>
    <m/>
    <m/>
    <m/>
    <m/>
    <m/>
    <m/>
    <m/>
    <m/>
    <m/>
    <m/>
    <n v="69000000"/>
    <m/>
    <s v="AUD"/>
    <n v="0.72199999999999998"/>
    <m/>
    <m/>
    <m/>
    <m/>
    <n v="0"/>
    <n v="0"/>
    <n v="0"/>
    <n v="0"/>
    <n v="0"/>
    <n v="1.789300132664335E-3"/>
  </r>
  <r>
    <n v="939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31014855.135452054"/>
    <x v="4"/>
    <m/>
    <m/>
    <d v="2019-10-20T00:00:00"/>
    <n v="2.8027397260273972"/>
    <n v="1"/>
    <m/>
    <n v="1"/>
    <n v="2"/>
    <s v="12"/>
    <n v="0.05"/>
    <n v="4693000"/>
    <n v="4693000"/>
    <n v="1344731.013673736"/>
    <n v="-18361.84"/>
    <m/>
    <n v="93860000"/>
    <s v="56243Z LN Equity"/>
    <x v="235"/>
    <n v="-4.5904600000000001E-5"/>
    <n v="0.28653974295200002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3.3618275341843399E-3"/>
  </r>
  <r>
    <n v="940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9165484.496876713"/>
    <x v="4"/>
    <m/>
    <m/>
    <d v="2019-08-20T00:00:00"/>
    <n v="2.6356164383561644"/>
    <n v="1"/>
    <m/>
    <n v="1"/>
    <n v="2"/>
    <s v="12"/>
    <n v="0.05"/>
    <n v="4693000"/>
    <n v="4693000"/>
    <n v="1287576.9099981058"/>
    <n v="-27408.06"/>
    <m/>
    <n v="93860000"/>
    <s v="DBK GR Equity"/>
    <x v="236"/>
    <n v="-6.8520149999999998E-5"/>
    <n v="0.27436115704199998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3.2189422749952647E-3"/>
  </r>
  <r>
    <n v="941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210561.549479457"/>
    <x v="4"/>
    <m/>
    <m/>
    <d v="2019-09-20T00:00:00"/>
    <n v="2.7205479452054795"/>
    <n v="1"/>
    <m/>
    <n v="1"/>
    <n v="2"/>
    <s v="12"/>
    <n v="0.05"/>
    <n v="2527000"/>
    <n v="2531871.0499999998"/>
    <n v="710317.11800267897"/>
    <n v="4871.05"/>
    <m/>
    <n v="50540000"/>
    <s v="BNP FP Equity"/>
    <x v="237"/>
    <n v="1.2177625E-5"/>
    <n v="0.28055027447100001"/>
    <d v="2017-05-29T10:12:30"/>
    <m/>
    <m/>
    <m/>
    <m/>
    <m/>
    <m/>
    <m/>
    <m/>
    <m/>
    <m/>
    <m/>
    <m/>
    <m/>
    <m/>
    <m/>
    <m/>
    <m/>
    <m/>
    <m/>
    <m/>
    <m/>
    <m/>
    <n v="70000000"/>
    <m/>
    <s v="AUD"/>
    <n v="0.72199999999999998"/>
    <m/>
    <m/>
    <m/>
    <m/>
    <n v="0"/>
    <n v="0"/>
    <n v="0"/>
    <n v="0"/>
    <n v="0"/>
    <n v="1.7757927950066974E-3"/>
  </r>
  <r>
    <n v="942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1928790.43671233"/>
    <x v="4"/>
    <m/>
    <m/>
    <d v="2019-10-20T00:00:00"/>
    <n v="2.8027397260273972"/>
    <n v="1"/>
    <m/>
    <n v="1"/>
    <n v="2"/>
    <s v="12"/>
    <n v="0.05"/>
    <n v="1805000"/>
    <n v="1805000"/>
    <n v="517204.23602836003"/>
    <n v="-8769.0499999999993"/>
    <m/>
    <n v="36100000"/>
    <s v="56243Z LN Equity"/>
    <x v="238"/>
    <n v="-2.1922624999999997E-5"/>
    <n v="0.28653974295200002"/>
    <d v="2017-05-29T10:12:30"/>
    <m/>
    <m/>
    <m/>
    <m/>
    <m/>
    <m/>
    <m/>
    <m/>
    <m/>
    <m/>
    <m/>
    <m/>
    <m/>
    <m/>
    <m/>
    <m/>
    <m/>
    <m/>
    <m/>
    <m/>
    <m/>
    <m/>
    <n v="50000000"/>
    <m/>
    <s v="AUD"/>
    <n v="0.72199999999999998"/>
    <m/>
    <m/>
    <m/>
    <m/>
    <n v="0"/>
    <n v="0"/>
    <n v="0"/>
    <n v="0"/>
    <n v="0"/>
    <n v="1.2930105900709002E-3"/>
  </r>
  <r>
    <n v="943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8907657.569041096"/>
    <x v="4"/>
    <m/>
    <m/>
    <d v="2020-03-20T00:00:00"/>
    <n v="3.2191780821917808"/>
    <n v="1"/>
    <m/>
    <n v="1"/>
    <n v="2"/>
    <s v="12"/>
    <n v="0.05"/>
    <n v="2490900"/>
    <n v="2492326.79"/>
    <n v="789784.42236516695"/>
    <n v="1426.79"/>
    <m/>
    <n v="49818000"/>
    <s v="UBSN SW Equity"/>
    <x v="239"/>
    <n v="3.5669749999999998E-6"/>
    <n v="0.31688638325200003"/>
    <d v="2017-05-29T10:12:30"/>
    <m/>
    <m/>
    <m/>
    <m/>
    <m/>
    <m/>
    <m/>
    <m/>
    <m/>
    <m/>
    <m/>
    <m/>
    <m/>
    <m/>
    <m/>
    <m/>
    <m/>
    <m/>
    <m/>
    <m/>
    <m/>
    <m/>
    <n v="69000000"/>
    <m/>
    <s v="AUD"/>
    <n v="0.72199999999999998"/>
    <m/>
    <m/>
    <m/>
    <m/>
    <n v="0"/>
    <n v="0"/>
    <n v="0"/>
    <n v="0"/>
    <n v="0"/>
    <n v="1.9744610559129174E-3"/>
  </r>
  <r>
    <n v="944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8707328.517523289"/>
    <x v="4"/>
    <m/>
    <m/>
    <d v="2019-12-20T00:00:00"/>
    <n v="2.9698630136986299"/>
    <n v="1"/>
    <m/>
    <n v="1"/>
    <n v="2"/>
    <s v="12"/>
    <n v="0.05"/>
    <n v="2671400"/>
    <n v="2692132.73"/>
    <n v="804189.39018029382"/>
    <n v="20732.73"/>
    <m/>
    <n v="53428000"/>
    <s v="BNP FP Equity"/>
    <x v="240"/>
    <n v="5.1831824999999996E-5"/>
    <n v="0.298718328862"/>
    <d v="2017-05-29T10:12:30"/>
    <m/>
    <m/>
    <m/>
    <m/>
    <m/>
    <m/>
    <m/>
    <m/>
    <m/>
    <m/>
    <m/>
    <m/>
    <m/>
    <m/>
    <m/>
    <m/>
    <m/>
    <m/>
    <m/>
    <m/>
    <m/>
    <m/>
    <n v="74000000"/>
    <m/>
    <s v="AUD"/>
    <n v="0.72199999999999998"/>
    <m/>
    <m/>
    <m/>
    <m/>
    <n v="0"/>
    <n v="0"/>
    <n v="0"/>
    <n v="0"/>
    <n v="0"/>
    <n v="2.0104734754507344E-3"/>
  </r>
  <r>
    <n v="945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1578972.535342468"/>
    <x v="4"/>
    <m/>
    <m/>
    <d v="2019-09-20T00:00:00"/>
    <n v="2.7205479452054795"/>
    <n v="1"/>
    <m/>
    <n v="1"/>
    <n v="2"/>
    <s v="12"/>
    <n v="0.05"/>
    <n v="1805000"/>
    <n v="1805000"/>
    <n v="506393.245420155"/>
    <n v="-4660.87"/>
    <m/>
    <n v="36100000"/>
    <s v="UBSN SW Equity"/>
    <x v="241"/>
    <n v="-1.1652175E-5"/>
    <n v="0.28055027447100001"/>
    <d v="2017-05-29T10:12:30"/>
    <m/>
    <m/>
    <m/>
    <m/>
    <m/>
    <m/>
    <m/>
    <m/>
    <m/>
    <m/>
    <m/>
    <m/>
    <m/>
    <m/>
    <m/>
    <m/>
    <m/>
    <m/>
    <m/>
    <m/>
    <m/>
    <m/>
    <n v="50000000"/>
    <m/>
    <s v="AUD"/>
    <n v="0.72199999999999998"/>
    <m/>
    <m/>
    <m/>
    <m/>
    <n v="0"/>
    <n v="0"/>
    <n v="0"/>
    <n v="0"/>
    <n v="0"/>
    <n v="1.2659831135503874E-3"/>
  </r>
  <r>
    <n v="946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2385419.403967125"/>
    <x v="4"/>
    <m/>
    <m/>
    <d v="2019-02-20T00:00:00"/>
    <n v="2.1397260273972605"/>
    <n v="1"/>
    <m/>
    <n v="1"/>
    <n v="2"/>
    <s v="12"/>
    <n v="0.05"/>
    <n v="2454800"/>
    <n v="2471186.7799999998"/>
    <n v="588697.7224148548"/>
    <n v="16386.78"/>
    <m/>
    <n v="49096000"/>
    <s v="UBSN SW Equity"/>
    <x v="242"/>
    <n v="4.0966949999999999E-5"/>
    <n v="0.23822469721"/>
    <d v="2017-05-29T10:12:30"/>
    <m/>
    <m/>
    <m/>
    <m/>
    <m/>
    <m/>
    <m/>
    <m/>
    <m/>
    <m/>
    <m/>
    <m/>
    <m/>
    <m/>
    <m/>
    <m/>
    <m/>
    <m/>
    <m/>
    <m/>
    <m/>
    <m/>
    <n v="68000000"/>
    <m/>
    <s v="AUD"/>
    <n v="0.72199999999999998"/>
    <m/>
    <m/>
    <m/>
    <m/>
    <n v="0"/>
    <n v="0"/>
    <n v="0"/>
    <n v="0"/>
    <n v="0"/>
    <n v="1.4717443060371369E-3"/>
  </r>
  <r>
    <n v="947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31954699.230465751"/>
    <x v="4"/>
    <m/>
    <m/>
    <d v="2019-11-20T00:00:00"/>
    <n v="2.8876712328767122"/>
    <n v="1"/>
    <m/>
    <n v="1"/>
    <n v="2"/>
    <s v="12"/>
    <n v="0.05"/>
    <n v="4693000"/>
    <n v="4693000"/>
    <n v="1373776.5417680331"/>
    <n v="-3744.07"/>
    <m/>
    <n v="93860000"/>
    <s v="UBSN SW Equity"/>
    <x v="243"/>
    <n v="-9.3601750000000006E-6"/>
    <n v="0.29272886038099999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3.4344413544200826E-3"/>
  </r>
  <r>
    <n v="948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2829454.926772606"/>
    <x v="4"/>
    <m/>
    <m/>
    <d v="2019-03-20T00:00:00"/>
    <n v="2.2164383561643834"/>
    <n v="1"/>
    <m/>
    <n v="1"/>
    <n v="2"/>
    <s v="12"/>
    <n v="0.05"/>
    <n v="2454800"/>
    <n v="2466182.91"/>
    <n v="601292.06015253987"/>
    <n v="11382.91"/>
    <m/>
    <n v="49096000"/>
    <s v="UBSN SW Equity"/>
    <x v="244"/>
    <n v="2.8457275000000001E-5"/>
    <n v="0.24381486779200001"/>
    <d v="2017-05-29T10:12:30"/>
    <m/>
    <m/>
    <m/>
    <m/>
    <m/>
    <m/>
    <m/>
    <m/>
    <m/>
    <m/>
    <m/>
    <m/>
    <m/>
    <m/>
    <m/>
    <m/>
    <m/>
    <m/>
    <m/>
    <m/>
    <m/>
    <m/>
    <n v="68000000"/>
    <m/>
    <s v="AUD"/>
    <n v="0.72199999999999998"/>
    <m/>
    <m/>
    <m/>
    <m/>
    <n v="0"/>
    <n v="0"/>
    <n v="0"/>
    <n v="0"/>
    <n v="0"/>
    <n v="1.5032301503813497E-3"/>
  </r>
  <r>
    <n v="949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8848993.6330520548"/>
    <x v="4"/>
    <m/>
    <m/>
    <d v="2019-11-20T00:00:00"/>
    <n v="2.8876712328767122"/>
    <n v="1"/>
    <m/>
    <n v="1"/>
    <n v="2"/>
    <s v="12"/>
    <n v="0.05"/>
    <n v="1299600"/>
    <n v="1307805.93"/>
    <n v="382832.53948841384"/>
    <n v="8205.93"/>
    <m/>
    <n v="25992000"/>
    <s v="56243Z LN Equity"/>
    <x v="245"/>
    <n v="2.0514825000000001E-5"/>
    <n v="0.29272886038099999"/>
    <d v="2017-05-29T10:12:30"/>
    <m/>
    <m/>
    <m/>
    <m/>
    <m/>
    <m/>
    <m/>
    <m/>
    <m/>
    <m/>
    <m/>
    <m/>
    <m/>
    <m/>
    <m/>
    <m/>
    <m/>
    <m/>
    <m/>
    <m/>
    <m/>
    <m/>
    <n v="36000000"/>
    <m/>
    <s v="AUD"/>
    <n v="0.72199999999999998"/>
    <m/>
    <m/>
    <m/>
    <m/>
    <n v="0"/>
    <n v="0"/>
    <n v="0"/>
    <n v="0"/>
    <n v="0"/>
    <n v="9.5708134872103461E-4"/>
  </r>
  <r>
    <n v="950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800939.2005479457"/>
    <x v="4"/>
    <m/>
    <m/>
    <d v="2020-01-20T00:00:00"/>
    <n v="3.0547945205479454"/>
    <n v="1"/>
    <m/>
    <n v="1"/>
    <n v="2"/>
    <s v="12"/>
    <n v="0.05"/>
    <n v="1083000"/>
    <n v="1088241.93"/>
    <n v="331813.06782308914"/>
    <n v="5241.93"/>
    <m/>
    <n v="21660000"/>
    <s v="56243Z LN Equity"/>
    <x v="246"/>
    <n v="1.3104825E-5"/>
    <n v="0.30490744629099997"/>
    <d v="2017-05-29T10:12:30"/>
    <m/>
    <m/>
    <m/>
    <m/>
    <m/>
    <m/>
    <m/>
    <m/>
    <m/>
    <m/>
    <m/>
    <m/>
    <m/>
    <m/>
    <m/>
    <m/>
    <m/>
    <m/>
    <m/>
    <m/>
    <m/>
    <m/>
    <n v="30000000"/>
    <m/>
    <s v="AUD"/>
    <n v="0.72199999999999998"/>
    <m/>
    <m/>
    <m/>
    <m/>
    <n v="0"/>
    <n v="0"/>
    <n v="0"/>
    <n v="0"/>
    <n v="0"/>
    <n v="8.2953266955772286E-4"/>
  </r>
  <r>
    <n v="951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6700306.611397261"/>
    <x v="4"/>
    <m/>
    <m/>
    <d v="2019-10-20T00:00:00"/>
    <n v="2.8027397260273972"/>
    <n v="1"/>
    <m/>
    <n v="1"/>
    <n v="2"/>
    <s v="12"/>
    <n v="0.05"/>
    <n v="2527000"/>
    <n v="2557818.79"/>
    <n v="732916.73860439577"/>
    <n v="30818.79"/>
    <m/>
    <n v="50540000"/>
    <s v="56243Z LN Equity"/>
    <x v="247"/>
    <n v="7.7046975000000001E-5"/>
    <n v="0.28653974295200002"/>
    <d v="2017-05-29T10:12:30"/>
    <m/>
    <m/>
    <m/>
    <m/>
    <m/>
    <m/>
    <m/>
    <m/>
    <m/>
    <m/>
    <m/>
    <m/>
    <m/>
    <m/>
    <m/>
    <m/>
    <m/>
    <m/>
    <m/>
    <m/>
    <m/>
    <m/>
    <n v="70000000"/>
    <m/>
    <s v="AUD"/>
    <n v="0.72199999999999998"/>
    <m/>
    <m/>
    <m/>
    <m/>
    <n v="0"/>
    <n v="0"/>
    <n v="0"/>
    <n v="0"/>
    <n v="0"/>
    <n v="1.8322918465109893E-3"/>
  </r>
  <r>
    <n v="95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4112820.200931508"/>
    <x v="4"/>
    <m/>
    <m/>
    <d v="2019-07-20T00:00:00"/>
    <n v="2.5506849315068494"/>
    <n v="1"/>
    <m/>
    <n v="1"/>
    <n v="2"/>
    <s v="12"/>
    <n v="0.05"/>
    <n v="2346500"/>
    <n v="2394509.86"/>
    <n v="642140.59302724444"/>
    <n v="48009.86"/>
    <m/>
    <n v="46930000"/>
    <s v="BNP FP Equity"/>
    <x v="248"/>
    <n v="1.2002465000000001E-4"/>
    <n v="0.26817203961199998"/>
    <d v="2017-05-29T10:12:30"/>
    <m/>
    <m/>
    <m/>
    <m/>
    <m/>
    <m/>
    <m/>
    <m/>
    <m/>
    <m/>
    <m/>
    <m/>
    <m/>
    <m/>
    <m/>
    <m/>
    <m/>
    <m/>
    <m/>
    <m/>
    <m/>
    <m/>
    <n v="65000000"/>
    <m/>
    <s v="AUD"/>
    <n v="0.72199999999999998"/>
    <m/>
    <m/>
    <m/>
    <m/>
    <n v="0"/>
    <n v="0"/>
    <n v="0"/>
    <n v="0"/>
    <n v="0"/>
    <n v="1.605351482568111E-3"/>
  </r>
  <r>
    <n v="953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4025972.076618083"/>
    <x v="4"/>
    <m/>
    <m/>
    <d v="2019-07-20T00:00:00"/>
    <n v="2.5506849315068494"/>
    <n v="1"/>
    <m/>
    <n v="1"/>
    <n v="2"/>
    <s v="12"/>
    <n v="0.05"/>
    <n v="2332060"/>
    <n v="2381129.81"/>
    <n v="638552.43772863399"/>
    <n v="49069.81"/>
    <m/>
    <n v="46641200"/>
    <s v="BNP FP Equity"/>
    <x v="249"/>
    <n v="1.2267452499999999E-4"/>
    <n v="0.26817203961199998"/>
    <d v="2017-05-29T10:12:30"/>
    <m/>
    <m/>
    <m/>
    <m/>
    <m/>
    <m/>
    <m/>
    <m/>
    <m/>
    <m/>
    <m/>
    <m/>
    <m/>
    <m/>
    <m/>
    <m/>
    <m/>
    <m/>
    <m/>
    <m/>
    <m/>
    <m/>
    <n v="64600000"/>
    <m/>
    <s v="AUD"/>
    <n v="0.72199999999999998"/>
    <m/>
    <m/>
    <m/>
    <m/>
    <n v="0"/>
    <n v="0"/>
    <n v="0"/>
    <n v="0"/>
    <n v="0"/>
    <n v="1.5963810943215851E-3"/>
  </r>
  <r>
    <n v="954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4986572.033779727"/>
    <x v="4"/>
    <m/>
    <m/>
    <d v="2019-08-20T00:00:00"/>
    <n v="2.6356164383561644"/>
    <n v="1"/>
    <m/>
    <n v="1"/>
    <n v="2"/>
    <s v="12"/>
    <n v="0.05"/>
    <n v="2411480"/>
    <n v="2461106.81"/>
    <n v="675232.11199554568"/>
    <n v="49626.81"/>
    <m/>
    <n v="48229600"/>
    <s v="56243Z LN Equity"/>
    <x v="250"/>
    <n v="1.2406702499999998E-4"/>
    <n v="0.27436115704199998"/>
    <d v="2017-05-29T10:12:30"/>
    <m/>
    <m/>
    <m/>
    <m/>
    <m/>
    <m/>
    <m/>
    <m/>
    <m/>
    <m/>
    <m/>
    <m/>
    <m/>
    <m/>
    <m/>
    <m/>
    <m/>
    <m/>
    <m/>
    <m/>
    <m/>
    <m/>
    <n v="66800000"/>
    <m/>
    <s v="AUD"/>
    <n v="0.72199999999999998"/>
    <m/>
    <m/>
    <m/>
    <m/>
    <n v="0"/>
    <n v="0"/>
    <n v="0"/>
    <n v="0"/>
    <n v="0"/>
    <n v="1.6880802799888641E-3"/>
  </r>
  <r>
    <n v="955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2537473.585095892"/>
    <x v="4"/>
    <m/>
    <m/>
    <d v="2019-04-20T00:00:00"/>
    <n v="2.3013698630136985"/>
    <n v="1"/>
    <m/>
    <n v="1"/>
    <n v="2"/>
    <s v="12"/>
    <n v="0.05"/>
    <n v="2310400"/>
    <n v="2403334.92"/>
    <n v="600843.30782319652"/>
    <n v="92934.92"/>
    <m/>
    <n v="46208000"/>
    <s v="BNP FP Equity"/>
    <x v="251"/>
    <n v="2.3233729999999999E-4"/>
    <n v="0.25000398522200001"/>
    <d v="2017-05-29T10:12:30"/>
    <m/>
    <m/>
    <m/>
    <m/>
    <m/>
    <m/>
    <m/>
    <m/>
    <m/>
    <m/>
    <m/>
    <m/>
    <m/>
    <m/>
    <m/>
    <m/>
    <m/>
    <m/>
    <m/>
    <m/>
    <m/>
    <m/>
    <n v="64000000"/>
    <m/>
    <s v="AUD"/>
    <n v="0.72199999999999998"/>
    <m/>
    <m/>
    <m/>
    <m/>
    <n v="0"/>
    <n v="0"/>
    <n v="0"/>
    <n v="0"/>
    <n v="0"/>
    <n v="1.5021082695579912E-3"/>
  </r>
  <r>
    <n v="95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3595019.743323838"/>
    <x v="4"/>
    <m/>
    <m/>
    <d v="2019-06-20T00:00:00"/>
    <n v="2.4684931506849317"/>
    <n v="1"/>
    <m/>
    <n v="1"/>
    <n v="2"/>
    <s v="12"/>
    <n v="0.05"/>
    <n v="2335670"/>
    <n v="2379974.86"/>
    <n v="623987.92802432168"/>
    <n v="44304.86"/>
    <m/>
    <n v="46713400"/>
    <s v="BNP FP Equity"/>
    <x v="252"/>
    <n v="1.1076215E-4"/>
    <n v="0.262182571132"/>
    <d v="2017-05-29T10:12:30"/>
    <m/>
    <m/>
    <m/>
    <m/>
    <m/>
    <m/>
    <m/>
    <m/>
    <m/>
    <m/>
    <m/>
    <m/>
    <m/>
    <m/>
    <m/>
    <m/>
    <m/>
    <m/>
    <m/>
    <m/>
    <m/>
    <m/>
    <n v="64700000"/>
    <m/>
    <s v="AUD"/>
    <n v="0.72199999999999998"/>
    <m/>
    <m/>
    <m/>
    <m/>
    <n v="0"/>
    <n v="0"/>
    <n v="0"/>
    <n v="0"/>
    <n v="0"/>
    <n v="1.5599698200608042E-3"/>
  </r>
  <r>
    <n v="957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3188134.881643837"/>
    <x v="4"/>
    <m/>
    <m/>
    <d v="2019-05-20T00:00:00"/>
    <n v="2.3835616438356166"/>
    <n v="1"/>
    <m/>
    <n v="1"/>
    <n v="2"/>
    <s v="12"/>
    <n v="0.05"/>
    <n v="2346500"/>
    <n v="2424800.8199999998"/>
    <n v="620733.13645124156"/>
    <n v="78300.820000000007"/>
    <m/>
    <n v="46930000"/>
    <s v="BNP FP Equity"/>
    <x v="253"/>
    <n v="1.9575205000000001E-4"/>
    <n v="0.255993453702"/>
    <d v="2017-05-29T10:12:30"/>
    <m/>
    <m/>
    <m/>
    <m/>
    <m/>
    <m/>
    <m/>
    <m/>
    <m/>
    <m/>
    <m/>
    <m/>
    <m/>
    <m/>
    <m/>
    <m/>
    <m/>
    <m/>
    <m/>
    <m/>
    <m/>
    <m/>
    <n v="65000000"/>
    <m/>
    <s v="AUD"/>
    <n v="0.72199999999999998"/>
    <m/>
    <m/>
    <m/>
    <m/>
    <n v="0"/>
    <n v="0"/>
    <n v="0"/>
    <n v="0"/>
    <n v="0"/>
    <n v="1.551832841128104E-3"/>
  </r>
  <r>
    <n v="958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42111078.966904111"/>
    <x v="4"/>
    <m/>
    <m/>
    <d v="2020-10-20T00:00:00"/>
    <n v="3.8054794520547945"/>
    <n v="1"/>
    <m/>
    <n v="1"/>
    <n v="2"/>
    <s v="12"/>
    <n v="0.05"/>
    <n v="4693000"/>
    <n v="4707430.04"/>
    <n v="1692844.8405708515"/>
    <n v="14430.04"/>
    <m/>
    <n v="93860000"/>
    <s v="BNP FP Equity"/>
    <x v="254"/>
    <n v="3.6075100000000003E-5"/>
    <n v="0.35961125841199998"/>
    <d v="2017-05-29T10:12:30"/>
    <m/>
    <m/>
    <m/>
    <m/>
    <m/>
    <m/>
    <m/>
    <m/>
    <m/>
    <m/>
    <m/>
    <m/>
    <m/>
    <m/>
    <m/>
    <m/>
    <m/>
    <m/>
    <m/>
    <m/>
    <m/>
    <m/>
    <n v="130000000"/>
    <m/>
    <s v="AUD"/>
    <n v="0.72199999999999998"/>
    <m/>
    <m/>
    <m/>
    <m/>
    <n v="0"/>
    <n v="0"/>
    <n v="0"/>
    <n v="0"/>
    <n v="0"/>
    <n v="4.2321121014271285E-3"/>
  </r>
  <r>
    <n v="959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9079732.5127483383"/>
    <x v="4"/>
    <m/>
    <m/>
    <d v="2019-10-20T00:00:00"/>
    <n v="2.8027397260273972"/>
    <n v="1"/>
    <m/>
    <n v="1"/>
    <n v="2"/>
    <s v="12"/>
    <n v="0.05"/>
    <n v="1373895.9765000001"/>
    <n v="1393537.9965000001"/>
    <n v="399304.01931095513"/>
    <n v="19642.02"/>
    <m/>
    <n v="-27477919.530000001"/>
    <s v="56243Z LN Equity"/>
    <x v="255"/>
    <n v="4.9105050000000002E-5"/>
    <n v="0.28653974295200002"/>
    <d v="2017-05-29T10:12:30"/>
    <m/>
    <m/>
    <m/>
    <m/>
    <m/>
    <m/>
    <m/>
    <m/>
    <m/>
    <m/>
    <m/>
    <m/>
    <m/>
    <m/>
    <m/>
    <m/>
    <m/>
    <m/>
    <m/>
    <m/>
    <m/>
    <m/>
    <n v="-28000000"/>
    <m/>
    <s v="CHF"/>
    <n v="1.0189999999999999"/>
    <m/>
    <m/>
    <m/>
    <m/>
    <n v="0"/>
    <n v="0"/>
    <n v="0"/>
    <n v="0"/>
    <n v="0"/>
    <n v="9.9826004827738789E-4"/>
  </r>
  <r>
    <n v="960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9354875.9222255591"/>
    <x v="4"/>
    <m/>
    <m/>
    <d v="2019-11-20T00:00:00"/>
    <n v="2.8876712328767122"/>
    <n v="1"/>
    <m/>
    <n v="1"/>
    <n v="2"/>
    <s v="12"/>
    <n v="0.05"/>
    <n v="1373895.9765000001"/>
    <n v="1393377.8565"/>
    <n v="407881.91201336554"/>
    <n v="19481.88"/>
    <m/>
    <n v="-27477919.530000001"/>
    <s v="56243Z LN Equity"/>
    <x v="256"/>
    <n v="4.8704700000000001E-5"/>
    <n v="0.29272886038099999"/>
    <d v="2017-05-29T10:12:30"/>
    <m/>
    <m/>
    <m/>
    <m/>
    <m/>
    <m/>
    <m/>
    <m/>
    <m/>
    <m/>
    <m/>
    <m/>
    <m/>
    <m/>
    <m/>
    <m/>
    <m/>
    <m/>
    <m/>
    <m/>
    <m/>
    <m/>
    <n v="-28000000"/>
    <m/>
    <s v="CHF"/>
    <n v="1.0189999999999999"/>
    <m/>
    <m/>
    <m/>
    <m/>
    <n v="0"/>
    <n v="0"/>
    <n v="0"/>
    <n v="0"/>
    <n v="0"/>
    <n v="1.0197047800334139E-3"/>
  </r>
  <r>
    <n v="961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8766433.648371655"/>
    <x v="4"/>
    <m/>
    <m/>
    <d v="2021-12-20T00:00:00"/>
    <n v="4.9726027397260273"/>
    <n v="1"/>
    <m/>
    <n v="1"/>
    <n v="2"/>
    <s v="12"/>
    <n v="0.05"/>
    <n v="2453385.6719999998"/>
    <n v="2453385.6719999998"/>
    <n v="1090926.6702446893"/>
    <n v="-5989.15"/>
    <m/>
    <n v="-49067713.439999998"/>
    <s v="BNP FP Equity"/>
    <x v="257"/>
    <n v="-1.4972874999999999E-5"/>
    <n v="0.44466171083299999"/>
    <d v="2017-05-29T10:12:30"/>
    <m/>
    <m/>
    <m/>
    <m/>
    <m/>
    <m/>
    <m/>
    <m/>
    <m/>
    <m/>
    <m/>
    <m/>
    <m/>
    <m/>
    <m/>
    <m/>
    <m/>
    <m/>
    <m/>
    <m/>
    <m/>
    <m/>
    <n v="-50000000"/>
    <m/>
    <s v="CHF"/>
    <n v="1.0189999999999999"/>
    <m/>
    <m/>
    <m/>
    <m/>
    <n v="0"/>
    <n v="0"/>
    <n v="0"/>
    <n v="0"/>
    <n v="0"/>
    <n v="2.7273166756117233E-3"/>
  </r>
  <r>
    <n v="962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0308368.291302456"/>
    <x v="4"/>
    <m/>
    <m/>
    <d v="2019-12-20T00:00:00"/>
    <n v="2.9698630136986299"/>
    <n v="1"/>
    <m/>
    <n v="1"/>
    <n v="2"/>
    <s v="12"/>
    <n v="0.05"/>
    <n v="1472031.4035"/>
    <n v="1546104.4335"/>
    <n v="461849.73262124922"/>
    <n v="74073.03"/>
    <m/>
    <n v="-29440628.07"/>
    <s v="56243Z LN Equity"/>
    <x v="258"/>
    <n v="1.85182575E-4"/>
    <n v="0.298718328862"/>
    <d v="2017-05-29T10:12:30"/>
    <m/>
    <m/>
    <m/>
    <m/>
    <m/>
    <m/>
    <m/>
    <m/>
    <m/>
    <m/>
    <m/>
    <m/>
    <m/>
    <m/>
    <m/>
    <m/>
    <m/>
    <m/>
    <m/>
    <m/>
    <m/>
    <m/>
    <n v="-30000000"/>
    <m/>
    <s v="CHF"/>
    <n v="1.0189999999999999"/>
    <m/>
    <m/>
    <m/>
    <m/>
    <n v="0"/>
    <n v="0"/>
    <n v="0"/>
    <n v="0"/>
    <n v="0"/>
    <n v="1.154624331553123E-3"/>
  </r>
  <r>
    <n v="963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2239702.316044904"/>
    <x v="4"/>
    <m/>
    <m/>
    <d v="2021-10-20T00:00:00"/>
    <n v="4.8054794520547945"/>
    <n v="1"/>
    <m/>
    <n v="1"/>
    <n v="2"/>
    <s v="12"/>
    <n v="0.05"/>
    <n v="1962708.5379999999"/>
    <n v="1987368.648"/>
    <n v="859503.40325905022"/>
    <n v="24660.11"/>
    <m/>
    <n v="-39254170.759999998"/>
    <s v="DBK GR Equity"/>
    <x v="259"/>
    <n v="6.1650275000000007E-5"/>
    <n v="0.43248312492199997"/>
    <d v="2017-05-29T10:12:30"/>
    <m/>
    <m/>
    <m/>
    <m/>
    <m/>
    <m/>
    <m/>
    <m/>
    <m/>
    <m/>
    <m/>
    <m/>
    <m/>
    <m/>
    <m/>
    <m/>
    <m/>
    <m/>
    <m/>
    <m/>
    <m/>
    <m/>
    <n v="-40000000"/>
    <m/>
    <s v="CHF"/>
    <n v="1.0189999999999999"/>
    <m/>
    <m/>
    <m/>
    <m/>
    <n v="0"/>
    <n v="0"/>
    <n v="0"/>
    <n v="0"/>
    <n v="0"/>
    <n v="2.1487585081476257E-3"/>
  </r>
  <r>
    <n v="964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6832822.130409483"/>
    <x v="4"/>
    <m/>
    <m/>
    <d v="2021-08-20T00:00:00"/>
    <n v="4.6383561643835618"/>
    <n v="1"/>
    <m/>
    <n v="1"/>
    <n v="2"/>
    <s v="12"/>
    <n v="0.05"/>
    <n v="2453385.6719999998"/>
    <n v="2575618.6519999998"/>
    <n v="1082544.2101995687"/>
    <n v="122232.98"/>
    <m/>
    <n v="-49067713.439999998"/>
    <s v="UBSN SW Equity"/>
    <x v="260"/>
    <n v="3.0558244999999998E-4"/>
    <n v="0.42030453901199999"/>
    <d v="2017-05-29T10:12:30"/>
    <m/>
    <m/>
    <m/>
    <m/>
    <m/>
    <m/>
    <m/>
    <m/>
    <m/>
    <m/>
    <m/>
    <m/>
    <m/>
    <m/>
    <m/>
    <m/>
    <m/>
    <m/>
    <m/>
    <m/>
    <m/>
    <m/>
    <n v="-50000000"/>
    <m/>
    <s v="CHF"/>
    <n v="1.0189999999999999"/>
    <m/>
    <m/>
    <m/>
    <m/>
    <n v="0"/>
    <n v="0"/>
    <n v="0"/>
    <n v="0"/>
    <n v="0"/>
    <n v="2.7063605254989218E-3"/>
  </r>
  <r>
    <n v="965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7759804.9103742205"/>
    <x v="4"/>
    <m/>
    <m/>
    <d v="2021-06-20T00:00:00"/>
    <n v="4.4712328767123291"/>
    <n v="1"/>
    <m/>
    <n v="1"/>
    <n v="2"/>
    <s v="12"/>
    <n v="0.05"/>
    <n v="736015.70149999997"/>
    <n v="778683.69149999996"/>
    <n v="317801.02375842124"/>
    <n v="42667.99"/>
    <m/>
    <n v="-14720314.029999999"/>
    <s v="UBSN SW Equity"/>
    <x v="261"/>
    <n v="1.06669975E-4"/>
    <n v="0.40812595310200001"/>
    <d v="2017-05-29T10:12:30"/>
    <m/>
    <m/>
    <m/>
    <m/>
    <m/>
    <m/>
    <m/>
    <m/>
    <m/>
    <m/>
    <m/>
    <m/>
    <m/>
    <m/>
    <m/>
    <m/>
    <m/>
    <m/>
    <m/>
    <m/>
    <m/>
    <m/>
    <n v="-15000000"/>
    <m/>
    <s v="CHF"/>
    <n v="1.0189999999999999"/>
    <m/>
    <m/>
    <m/>
    <m/>
    <n v="0"/>
    <n v="0"/>
    <n v="0"/>
    <n v="0"/>
    <n v="0"/>
    <n v="7.9450255939605312E-4"/>
  </r>
  <r>
    <n v="96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2933008.1857142"/>
    <x v="4"/>
    <m/>
    <m/>
    <d v="2021-06-20T00:00:00"/>
    <n v="4.4712328767123291"/>
    <n v="1"/>
    <m/>
    <n v="1"/>
    <n v="2"/>
    <s v="12"/>
    <n v="0.05"/>
    <n v="1226692.8359999999"/>
    <n v="1300398.906"/>
    <n v="530726.54292404815"/>
    <n v="73706.070000000007"/>
    <m/>
    <n v="-24533856.719999999"/>
    <s v="BNP FP Equity"/>
    <x v="262"/>
    <n v="1.84265175E-4"/>
    <n v="0.40812595310200001"/>
    <d v="2017-05-29T10:12:30"/>
    <m/>
    <m/>
    <m/>
    <m/>
    <m/>
    <m/>
    <m/>
    <m/>
    <m/>
    <m/>
    <m/>
    <m/>
    <m/>
    <m/>
    <m/>
    <m/>
    <m/>
    <m/>
    <m/>
    <m/>
    <m/>
    <m/>
    <n v="-25000000"/>
    <m/>
    <s v="CHF"/>
    <n v="1.0189999999999999"/>
    <m/>
    <m/>
    <m/>
    <m/>
    <n v="0"/>
    <n v="0"/>
    <n v="0"/>
    <n v="0"/>
    <n v="0"/>
    <n v="1.3268163573101203E-3"/>
  </r>
  <r>
    <n v="967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66218269.859583326"/>
    <x v="4"/>
    <m/>
    <m/>
    <d v="2022-09-20T00:00:00"/>
    <n v="5.7232876712328764"/>
    <n v="1"/>
    <m/>
    <n v="1"/>
    <n v="3"/>
    <s v="13"/>
    <n v="7.4999999999999997E-2"/>
    <n v="7360157.0167499995"/>
    <n v="7576347.0667499993"/>
    <n v="3384037.545879724"/>
    <n v="216190.05"/>
    <m/>
    <n v="-98135426.890000001"/>
    <s v="BNP FP Equity"/>
    <x v="263"/>
    <n v="5.4047512499999994E-4"/>
    <n v="0.44665820032600001"/>
    <d v="2017-05-29T10:12:30"/>
    <m/>
    <m/>
    <m/>
    <m/>
    <m/>
    <m/>
    <m/>
    <m/>
    <m/>
    <m/>
    <m/>
    <m/>
    <m/>
    <m/>
    <m/>
    <m/>
    <m/>
    <m/>
    <m/>
    <m/>
    <m/>
    <m/>
    <n v="-100000000"/>
    <m/>
    <s v="CHF"/>
    <n v="1.0189999999999999"/>
    <m/>
    <m/>
    <m/>
    <m/>
    <n v="0"/>
    <n v="0"/>
    <n v="0"/>
    <n v="0"/>
    <n v="0"/>
    <n v="8.4600938646993105E-3"/>
  </r>
  <r>
    <n v="968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8813464.6971252188"/>
    <x v="4"/>
    <m/>
    <m/>
    <d v="2019-09-20T00:00:00"/>
    <n v="2.7205479452054795"/>
    <n v="1"/>
    <m/>
    <n v="1"/>
    <n v="2"/>
    <s v="12"/>
    <n v="0.05"/>
    <n v="1373895.9765000001"/>
    <n v="1424689.8965"/>
    <n v="399697.14149913559"/>
    <n v="50793.919999999998"/>
    <m/>
    <n v="-27477919.530000001"/>
    <s v="56243Z LN Equity"/>
    <x v="264"/>
    <n v="1.2698479999999999E-4"/>
    <n v="0.28055027447100001"/>
    <d v="2017-05-29T10:12:30"/>
    <m/>
    <m/>
    <m/>
    <m/>
    <m/>
    <m/>
    <m/>
    <m/>
    <m/>
    <m/>
    <m/>
    <m/>
    <m/>
    <m/>
    <m/>
    <m/>
    <m/>
    <m/>
    <m/>
    <m/>
    <m/>
    <m/>
    <n v="-28000000"/>
    <m/>
    <s v="CHF"/>
    <n v="1.0189999999999999"/>
    <m/>
    <m/>
    <m/>
    <m/>
    <n v="0"/>
    <n v="0"/>
    <n v="0"/>
    <n v="0"/>
    <n v="0"/>
    <n v="9.9924285374783893E-4"/>
  </r>
  <r>
    <n v="96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9595651.3442361802"/>
    <x v="4"/>
    <m/>
    <m/>
    <d v="2018-09-20T00:00:00"/>
    <n v="1.7205479452054795"/>
    <n v="1"/>
    <m/>
    <n v="1"/>
    <n v="2"/>
    <s v="12"/>
    <n v="0.05"/>
    <n v="2365218.3885000004"/>
    <n v="2365218.3885000004"/>
    <n v="491204.78940376209"/>
    <n v="-774471.13"/>
    <m/>
    <n v="47304367.770000003"/>
    <s v="BNP FP Equity"/>
    <x v="265"/>
    <n v="-1.936177825E-3"/>
    <n v="0.20767840796100001"/>
    <d v="2017-05-29T10:12:30"/>
    <m/>
    <m/>
    <m/>
    <m/>
    <m/>
    <m/>
    <m/>
    <m/>
    <m/>
    <m/>
    <m/>
    <m/>
    <m/>
    <m/>
    <m/>
    <m/>
    <m/>
    <m/>
    <m/>
    <m/>
    <m/>
    <m/>
    <n v="330000000"/>
    <m/>
    <s v="CNH"/>
    <n v="6.9760999999999997"/>
    <m/>
    <m/>
    <m/>
    <m/>
    <n v="0"/>
    <n v="0"/>
    <n v="0"/>
    <n v="0"/>
    <n v="0"/>
    <n v="1.2280119735094052E-3"/>
  </r>
  <r>
    <n v="970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054042.332018163"/>
    <x v="4"/>
    <m/>
    <m/>
    <d v="2018-10-20T00:00:00"/>
    <n v="1.8027397260273972"/>
    <n v="1"/>
    <m/>
    <n v="1"/>
    <n v="2"/>
    <s v="12"/>
    <n v="0.05"/>
    <n v="2365218.3885000004"/>
    <n v="2365218.3885000004"/>
    <n v="505371.19038999919"/>
    <n v="-752542.79"/>
    <m/>
    <n v="47304367.770000003"/>
    <s v="BNP FP Equity"/>
    <x v="266"/>
    <n v="-1.8813569750000001E-3"/>
    <n v="0.21366787644099999"/>
    <d v="2017-05-29T10:12:30"/>
    <m/>
    <m/>
    <m/>
    <m/>
    <m/>
    <m/>
    <m/>
    <m/>
    <m/>
    <m/>
    <m/>
    <m/>
    <m/>
    <m/>
    <m/>
    <m/>
    <m/>
    <m/>
    <m/>
    <m/>
    <m/>
    <m/>
    <n v="330000000"/>
    <m/>
    <s v="CNH"/>
    <n v="6.9760999999999997"/>
    <m/>
    <m/>
    <m/>
    <m/>
    <n v="0"/>
    <n v="0"/>
    <n v="0"/>
    <n v="0"/>
    <n v="0"/>
    <n v="1.263427975974998E-3"/>
  </r>
  <r>
    <n v="971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9595651.3442361802"/>
    <x v="4"/>
    <m/>
    <m/>
    <d v="2018-09-20T00:00:00"/>
    <n v="1.7205479452054795"/>
    <n v="1"/>
    <m/>
    <n v="1"/>
    <n v="2"/>
    <s v="12"/>
    <n v="0.05"/>
    <n v="2365218.3885000004"/>
    <n v="2365218.3885000004"/>
    <n v="491204.78940376209"/>
    <n v="-788267.71"/>
    <m/>
    <n v="47304367.770000003"/>
    <s v="DBK GR Equity"/>
    <x v="267"/>
    <n v="-1.9706692749999997E-3"/>
    <n v="0.20767840796100001"/>
    <d v="2017-05-29T10:12:30"/>
    <m/>
    <m/>
    <m/>
    <m/>
    <m/>
    <m/>
    <m/>
    <m/>
    <m/>
    <m/>
    <m/>
    <m/>
    <m/>
    <m/>
    <m/>
    <m/>
    <m/>
    <m/>
    <m/>
    <m/>
    <m/>
    <m/>
    <n v="330000000"/>
    <m/>
    <s v="CNH"/>
    <n v="6.9760999999999997"/>
    <m/>
    <m/>
    <m/>
    <m/>
    <n v="0"/>
    <n v="0"/>
    <n v="0"/>
    <n v="0"/>
    <n v="0"/>
    <n v="1.2280119735094052E-3"/>
  </r>
  <r>
    <n v="972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0054042.332018163"/>
    <x v="4"/>
    <m/>
    <m/>
    <d v="2018-10-20T00:00:00"/>
    <n v="1.8027397260273972"/>
    <n v="1"/>
    <m/>
    <n v="1"/>
    <n v="2"/>
    <s v="12"/>
    <n v="0.05"/>
    <n v="2365218.3885000004"/>
    <n v="2365218.3885000004"/>
    <n v="505371.19038999919"/>
    <n v="-778726.48"/>
    <m/>
    <n v="47304367.770000003"/>
    <s v="UBSN SW Equity"/>
    <x v="268"/>
    <n v="-1.9468161999999999E-3"/>
    <n v="0.21366787644099999"/>
    <d v="2017-05-29T10:12:30"/>
    <m/>
    <m/>
    <m/>
    <m/>
    <m/>
    <m/>
    <m/>
    <m/>
    <m/>
    <m/>
    <m/>
    <m/>
    <m/>
    <m/>
    <m/>
    <m/>
    <m/>
    <m/>
    <m/>
    <m/>
    <m/>
    <m/>
    <n v="330000000"/>
    <m/>
    <s v="CNH"/>
    <n v="6.9760999999999997"/>
    <m/>
    <m/>
    <m/>
    <m/>
    <n v="0"/>
    <n v="0"/>
    <n v="0"/>
    <n v="0"/>
    <n v="0"/>
    <n v="1.263427975974998E-3"/>
  </r>
  <r>
    <n v="973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0054042.332018163"/>
    <x v="4"/>
    <m/>
    <m/>
    <d v="2018-10-20T00:00:00"/>
    <n v="1.8027397260273972"/>
    <n v="1"/>
    <m/>
    <n v="1"/>
    <n v="2"/>
    <s v="12"/>
    <n v="0.05"/>
    <n v="2365218.3885000004"/>
    <n v="2365218.3885000004"/>
    <n v="505371.19038999919"/>
    <n v="-774387.97"/>
    <m/>
    <n v="47304367.770000003"/>
    <s v="56243Z LN Equity"/>
    <x v="269"/>
    <n v="-1.9359699249999998E-3"/>
    <n v="0.21366787644099999"/>
    <d v="2017-05-29T10:12:30"/>
    <m/>
    <m/>
    <m/>
    <m/>
    <m/>
    <m/>
    <m/>
    <m/>
    <m/>
    <m/>
    <m/>
    <m/>
    <m/>
    <m/>
    <m/>
    <m/>
    <m/>
    <m/>
    <m/>
    <m/>
    <m/>
    <m/>
    <n v="330000000"/>
    <m/>
    <s v="CNH"/>
    <n v="6.9760999999999997"/>
    <m/>
    <m/>
    <m/>
    <m/>
    <n v="0"/>
    <n v="0"/>
    <n v="0"/>
    <n v="0"/>
    <n v="0"/>
    <n v="1.263427975974998E-3"/>
  </r>
  <r>
    <n v="974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986104.007174863"/>
    <x v="4"/>
    <m/>
    <m/>
    <d v="2018-12-20T00:00:00"/>
    <n v="1.9698630136986301"/>
    <n v="1"/>
    <m/>
    <n v="1"/>
    <n v="2"/>
    <s v="12"/>
    <n v="0.05"/>
    <n v="2365218.3885000004"/>
    <n v="2365218.3885000004"/>
    <n v="534176.20573025825"/>
    <n v="-756621.9"/>
    <m/>
    <n v="47304367.770000003"/>
    <s v="BNP FP Equity"/>
    <x v="270"/>
    <n v="-1.89155475E-3"/>
    <n v="0.225846462351"/>
    <d v="2017-05-29T10:12:30"/>
    <m/>
    <m/>
    <m/>
    <m/>
    <m/>
    <m/>
    <m/>
    <m/>
    <m/>
    <m/>
    <m/>
    <m/>
    <m/>
    <m/>
    <m/>
    <m/>
    <m/>
    <m/>
    <m/>
    <m/>
    <m/>
    <m/>
    <n v="330000000"/>
    <m/>
    <s v="CNH"/>
    <n v="6.9760999999999997"/>
    <m/>
    <m/>
    <m/>
    <m/>
    <n v="0"/>
    <n v="0"/>
    <n v="0"/>
    <n v="0"/>
    <n v="0"/>
    <n v="1.3354405143256457E-3"/>
  </r>
  <r>
    <n v="975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5971815.9247815153"/>
    <x v="4"/>
    <m/>
    <m/>
    <d v="2018-01-20T00:00:00"/>
    <n v="1.0547945205479452"/>
    <n v="1"/>
    <m/>
    <n v="1"/>
    <n v="2"/>
    <s v="12"/>
    <n v="0.05"/>
    <n v="2401055.031"/>
    <n v="2401055.031"/>
    <n v="382160.83449957496"/>
    <n v="-1074595.92"/>
    <m/>
    <n v="48021100.619999997"/>
    <s v="BNP FP Equity"/>
    <x v="271"/>
    <n v="-2.6864897999999996E-3"/>
    <n v="0.15916371327000001"/>
    <d v="2017-05-29T10:12:30"/>
    <m/>
    <m/>
    <m/>
    <m/>
    <m/>
    <m/>
    <m/>
    <m/>
    <m/>
    <m/>
    <m/>
    <m/>
    <m/>
    <m/>
    <m/>
    <m/>
    <m/>
    <m/>
    <m/>
    <m/>
    <m/>
    <m/>
    <n v="335000000"/>
    <m/>
    <s v="CNH"/>
    <n v="6.9760999999999997"/>
    <m/>
    <m/>
    <m/>
    <m/>
    <n v="0"/>
    <n v="0"/>
    <n v="0"/>
    <n v="0"/>
    <n v="0"/>
    <n v="9.5540208624893741E-4"/>
  </r>
  <r>
    <n v="97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886230.333685635"/>
    <x v="4"/>
    <m/>
    <m/>
    <d v="2018-12-20T00:00:00"/>
    <n v="1.9698630136986301"/>
    <n v="1"/>
    <m/>
    <n v="1"/>
    <n v="2"/>
    <s v="12"/>
    <n v="0.05"/>
    <n v="2343716.4030000004"/>
    <n v="2343716.4030000004"/>
    <n v="529320.05837156076"/>
    <n v="-729032.88"/>
    <m/>
    <n v="46874328.060000002"/>
    <s v="BNP FP Equity"/>
    <x v="272"/>
    <n v="-1.8225822E-3"/>
    <n v="0.225846462351"/>
    <d v="2017-05-29T10:12:30"/>
    <m/>
    <m/>
    <m/>
    <m/>
    <m/>
    <m/>
    <m/>
    <m/>
    <m/>
    <m/>
    <m/>
    <m/>
    <m/>
    <m/>
    <m/>
    <m/>
    <m/>
    <m/>
    <m/>
    <m/>
    <m/>
    <m/>
    <n v="327000000"/>
    <m/>
    <s v="CNH"/>
    <n v="6.9760999999999997"/>
    <m/>
    <m/>
    <m/>
    <m/>
    <n v="0"/>
    <n v="0"/>
    <n v="0"/>
    <n v="0"/>
    <n v="0"/>
    <n v="1.3233001459289019E-3"/>
  </r>
  <r>
    <n v="977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13052.64766086242"/>
    <x v="4"/>
    <m/>
    <m/>
    <d v="2018-01-20T00:00:00"/>
    <n v="1.0547945205479452"/>
    <n v="1"/>
    <m/>
    <n v="1"/>
    <n v="2"/>
    <s v="12"/>
    <n v="0.05"/>
    <n v="286693.13799999998"/>
    <n v="286693.13799999998"/>
    <n v="45631.144413108537"/>
    <n v="-121398.89"/>
    <m/>
    <n v="5733862.7599999998"/>
    <s v="56243Z LN Equity"/>
    <x v="273"/>
    <n v="-3.0349722499999998E-4"/>
    <n v="0.15916371327000001"/>
    <d v="2017-05-29T10:12:30"/>
    <m/>
    <m/>
    <m/>
    <m/>
    <m/>
    <m/>
    <m/>
    <m/>
    <m/>
    <m/>
    <m/>
    <m/>
    <m/>
    <m/>
    <m/>
    <m/>
    <m/>
    <m/>
    <m/>
    <m/>
    <m/>
    <m/>
    <n v="40000000"/>
    <m/>
    <s v="CNH"/>
    <n v="6.9760999999999997"/>
    <m/>
    <m/>
    <m/>
    <m/>
    <n v="0"/>
    <n v="0"/>
    <n v="0"/>
    <n v="0"/>
    <n v="0"/>
    <n v="1.1407786103277134E-4"/>
  </r>
  <r>
    <n v="978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432006.536730738"/>
    <x v="4"/>
    <m/>
    <m/>
    <d v="2018-11-20T00:00:00"/>
    <n v="1.8876712328767122"/>
    <n v="1"/>
    <m/>
    <n v="1"/>
    <n v="2"/>
    <s v="12"/>
    <n v="0.05"/>
    <n v="2343716.4030000004"/>
    <n v="2343716.4030000004"/>
    <n v="515282.44284973323"/>
    <n v="-694355.18"/>
    <m/>
    <n v="46874328.060000002"/>
    <s v="BNP FP Equity"/>
    <x v="274"/>
    <n v="-1.7358879500000001E-3"/>
    <n v="0.21985699387099999"/>
    <d v="2017-05-29T10:12:30"/>
    <m/>
    <m/>
    <m/>
    <m/>
    <m/>
    <m/>
    <m/>
    <m/>
    <m/>
    <m/>
    <m/>
    <m/>
    <m/>
    <m/>
    <m/>
    <m/>
    <m/>
    <m/>
    <m/>
    <m/>
    <m/>
    <m/>
    <n v="327000000"/>
    <m/>
    <s v="CNH"/>
    <n v="6.9760999999999997"/>
    <m/>
    <m/>
    <m/>
    <m/>
    <n v="0"/>
    <n v="0"/>
    <n v="0"/>
    <n v="0"/>
    <n v="0"/>
    <n v="1.2882061071243331E-3"/>
  </r>
  <r>
    <n v="97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6114426.4540649708"/>
    <x v="4"/>
    <m/>
    <m/>
    <d v="2018-01-20T00:00:00"/>
    <n v="1.0547945205479452"/>
    <n v="1"/>
    <m/>
    <n v="1"/>
    <n v="2"/>
    <s v="12"/>
    <n v="0.05"/>
    <n v="2458393.6585000004"/>
    <n v="2458393.6585000004"/>
    <n v="391287.06336628034"/>
    <n v="-1086195.8"/>
    <m/>
    <n v="49167873.170000002"/>
    <s v="BNP FP Equity"/>
    <x v="275"/>
    <n v="-2.7154894999999999E-3"/>
    <n v="0.15916371327000001"/>
    <d v="2017-05-29T10:12:30"/>
    <m/>
    <m/>
    <m/>
    <m/>
    <m/>
    <m/>
    <m/>
    <m/>
    <m/>
    <m/>
    <m/>
    <m/>
    <m/>
    <m/>
    <m/>
    <m/>
    <m/>
    <m/>
    <m/>
    <m/>
    <m/>
    <m/>
    <n v="343000000"/>
    <m/>
    <s v="CNH"/>
    <n v="6.9760999999999997"/>
    <m/>
    <m/>
    <m/>
    <m/>
    <n v="0"/>
    <n v="0"/>
    <n v="0"/>
    <n v="0"/>
    <n v="0"/>
    <n v="9.7821765841570084E-4"/>
  </r>
  <r>
    <n v="980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0886230.333685635"/>
    <x v="4"/>
    <m/>
    <m/>
    <d v="2018-12-20T00:00:00"/>
    <n v="1.9698630136986301"/>
    <n v="1"/>
    <m/>
    <n v="1"/>
    <n v="2"/>
    <s v="12"/>
    <n v="0.05"/>
    <n v="2343716.4030000004"/>
    <n v="2343716.4030000004"/>
    <n v="529320.05837156076"/>
    <n v="-769599.21"/>
    <m/>
    <n v="46874328.060000002"/>
    <s v="DBK GR Equity"/>
    <x v="276"/>
    <n v="-1.923998025E-3"/>
    <n v="0.225846462351"/>
    <d v="2017-05-29T10:12:30"/>
    <m/>
    <m/>
    <m/>
    <m/>
    <m/>
    <m/>
    <m/>
    <m/>
    <m/>
    <m/>
    <m/>
    <m/>
    <m/>
    <m/>
    <m/>
    <m/>
    <m/>
    <m/>
    <m/>
    <m/>
    <m/>
    <m/>
    <n v="327000000"/>
    <m/>
    <s v="CNH"/>
    <n v="6.9760999999999997"/>
    <m/>
    <m/>
    <m/>
    <m/>
    <n v="0"/>
    <n v="0"/>
    <n v="0"/>
    <n v="0"/>
    <n v="0"/>
    <n v="1.3233001459289019E-3"/>
  </r>
  <r>
    <n v="981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319016.249816524"/>
    <x v="4"/>
    <m/>
    <m/>
    <d v="2018-12-20T00:00:00"/>
    <n v="1.9698630136986301"/>
    <n v="1"/>
    <m/>
    <n v="1"/>
    <n v="2"/>
    <s v="12"/>
    <n v="0.05"/>
    <n v="2436891.673"/>
    <n v="2436891.673"/>
    <n v="550363.36347965989"/>
    <n v="-786174.48"/>
    <m/>
    <n v="48737833.460000001"/>
    <s v="BNP FP Equity"/>
    <x v="277"/>
    <n v="-1.9654362000000002E-3"/>
    <n v="0.225846462351"/>
    <d v="2017-05-29T10:12:30"/>
    <m/>
    <m/>
    <m/>
    <m/>
    <m/>
    <m/>
    <m/>
    <m/>
    <m/>
    <m/>
    <m/>
    <m/>
    <m/>
    <m/>
    <m/>
    <m/>
    <m/>
    <m/>
    <m/>
    <m/>
    <m/>
    <m/>
    <n v="340000000"/>
    <m/>
    <s v="CNH"/>
    <n v="6.9760999999999997"/>
    <m/>
    <m/>
    <m/>
    <m/>
    <n v="0"/>
    <n v="0"/>
    <n v="0"/>
    <n v="0"/>
    <n v="0"/>
    <n v="1.3759084086991497E-3"/>
  </r>
  <r>
    <n v="98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400104.375843359"/>
    <x v="4"/>
    <m/>
    <m/>
    <d v="2018-11-20T00:00:00"/>
    <n v="1.8876712328767122"/>
    <n v="1"/>
    <m/>
    <n v="1"/>
    <n v="2"/>
    <s v="12"/>
    <n v="0.05"/>
    <n v="2336549.0745000001"/>
    <n v="2336549.0745000001"/>
    <n v="513706.65555163723"/>
    <n v="-675101.61"/>
    <m/>
    <n v="46730981.490000002"/>
    <s v="BNP FP Equity"/>
    <x v="278"/>
    <n v="-1.687754025E-3"/>
    <n v="0.21985699387099999"/>
    <d v="2017-05-29T10:12:30"/>
    <m/>
    <m/>
    <m/>
    <m/>
    <m/>
    <m/>
    <m/>
    <m/>
    <m/>
    <m/>
    <m/>
    <m/>
    <m/>
    <m/>
    <m/>
    <m/>
    <m/>
    <m/>
    <m/>
    <m/>
    <m/>
    <m/>
    <n v="326000000"/>
    <m/>
    <s v="CNH"/>
    <n v="6.9760999999999997"/>
    <m/>
    <m/>
    <m/>
    <m/>
    <n v="0"/>
    <n v="0"/>
    <n v="0"/>
    <n v="0"/>
    <n v="0"/>
    <n v="1.2842666388790931E-3"/>
  </r>
  <r>
    <n v="983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5526158.0193716846"/>
    <x v="4"/>
    <m/>
    <m/>
    <d v="2018-01-20T00:00:00"/>
    <n v="1.0547945205479452"/>
    <n v="1"/>
    <m/>
    <n v="1"/>
    <n v="2"/>
    <s v="12"/>
    <n v="0.05"/>
    <n v="2221871.8195000002"/>
    <n v="2221871.8195000002"/>
    <n v="353641.36920159124"/>
    <n v="-803989.74"/>
    <m/>
    <n v="44437436.390000001"/>
    <s v="BNP FP Equity"/>
    <x v="279"/>
    <n v="-2.0099743499999998E-3"/>
    <n v="0.15916371327000001"/>
    <d v="2017-05-29T10:12:30"/>
    <m/>
    <m/>
    <m/>
    <m/>
    <m/>
    <m/>
    <m/>
    <m/>
    <m/>
    <m/>
    <m/>
    <m/>
    <m/>
    <m/>
    <m/>
    <m/>
    <m/>
    <m/>
    <m/>
    <m/>
    <m/>
    <m/>
    <n v="310000000"/>
    <m/>
    <s v="CNH"/>
    <n v="6.9760999999999997"/>
    <m/>
    <m/>
    <m/>
    <m/>
    <n v="0"/>
    <n v="0"/>
    <n v="0"/>
    <n v="0"/>
    <n v="0"/>
    <n v="8.8410342300397811E-4"/>
  </r>
  <r>
    <n v="984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1807040.594384413"/>
    <x v="4"/>
    <m/>
    <m/>
    <d v="2019-01-20T00:00:00"/>
    <n v="2.0547945205479454"/>
    <n v="1"/>
    <m/>
    <n v="1"/>
    <n v="2"/>
    <s v="12"/>
    <n v="0.05"/>
    <n v="2436891.673"/>
    <n v="2436891.673"/>
    <n v="565445.5722080461"/>
    <n v="-491730.13"/>
    <m/>
    <n v="48737833.460000001"/>
    <s v="56243Z LN Equity"/>
    <x v="280"/>
    <n v="-1.2293253250000001E-3"/>
    <n v="0.23203557978100001"/>
    <d v="2017-05-29T10:12:30"/>
    <m/>
    <m/>
    <m/>
    <m/>
    <m/>
    <m/>
    <m/>
    <m/>
    <m/>
    <m/>
    <m/>
    <m/>
    <m/>
    <m/>
    <m/>
    <m/>
    <m/>
    <m/>
    <m/>
    <m/>
    <m/>
    <m/>
    <n v="340000000"/>
    <m/>
    <s v="CNH"/>
    <n v="6.9760999999999997"/>
    <m/>
    <m/>
    <m/>
    <m/>
    <n v="0"/>
    <n v="0"/>
    <n v="0"/>
    <n v="0"/>
    <n v="0"/>
    <n v="1.4136139305201152E-3"/>
  </r>
  <r>
    <n v="985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319016.249816524"/>
    <x v="4"/>
    <m/>
    <m/>
    <d v="2018-12-20T00:00:00"/>
    <n v="1.9698630136986301"/>
    <n v="1"/>
    <m/>
    <n v="1"/>
    <n v="2"/>
    <s v="12"/>
    <n v="0.05"/>
    <n v="2436891.673"/>
    <n v="2436891.673"/>
    <n v="550363.36347965989"/>
    <n v="-483062.78"/>
    <m/>
    <n v="48737833.460000001"/>
    <s v="BNP FP Equity"/>
    <x v="281"/>
    <n v="-1.20765695E-3"/>
    <n v="0.225846462351"/>
    <d v="2017-05-29T10:12:30"/>
    <m/>
    <m/>
    <m/>
    <m/>
    <m/>
    <m/>
    <m/>
    <m/>
    <m/>
    <m/>
    <m/>
    <m/>
    <m/>
    <m/>
    <m/>
    <m/>
    <m/>
    <m/>
    <m/>
    <m/>
    <m/>
    <m/>
    <n v="340000000"/>
    <m/>
    <s v="CNH"/>
    <n v="6.9760999999999997"/>
    <m/>
    <m/>
    <m/>
    <m/>
    <n v="0"/>
    <n v="0"/>
    <n v="0"/>
    <n v="0"/>
    <n v="0"/>
    <n v="1.3759084086991497E-3"/>
  </r>
  <r>
    <n v="98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807040.594384413"/>
    <x v="4"/>
    <m/>
    <m/>
    <d v="2019-01-20T00:00:00"/>
    <n v="2.0547945205479454"/>
    <n v="1"/>
    <m/>
    <n v="1"/>
    <n v="2"/>
    <s v="12"/>
    <n v="0.05"/>
    <n v="2436891.673"/>
    <n v="2436891.673"/>
    <n v="565445.5722080461"/>
    <n v="-467931.44"/>
    <m/>
    <n v="48737833.460000001"/>
    <s v="BNP FP Equity"/>
    <x v="282"/>
    <n v="-1.1698285999999999E-3"/>
    <n v="0.23203557978100001"/>
    <d v="2017-05-29T10:12:30"/>
    <m/>
    <m/>
    <m/>
    <m/>
    <m/>
    <m/>
    <m/>
    <m/>
    <m/>
    <m/>
    <m/>
    <m/>
    <m/>
    <m/>
    <m/>
    <m/>
    <m/>
    <m/>
    <m/>
    <m/>
    <m/>
    <m/>
    <n v="340000000"/>
    <m/>
    <s v="CNH"/>
    <n v="6.9760999999999997"/>
    <m/>
    <m/>
    <m/>
    <m/>
    <n v="0"/>
    <n v="0"/>
    <n v="0"/>
    <n v="0"/>
    <n v="0"/>
    <n v="1.4136139305201152E-3"/>
  </r>
  <r>
    <n v="987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1807040.594384413"/>
    <x v="4"/>
    <m/>
    <m/>
    <d v="2019-01-20T00:00:00"/>
    <n v="2.0547945205479454"/>
    <n v="1"/>
    <m/>
    <n v="1"/>
    <n v="2"/>
    <s v="12"/>
    <n v="0.05"/>
    <n v="2436891.673"/>
    <n v="2436891.673"/>
    <n v="565445.5722080461"/>
    <n v="-481471.85"/>
    <m/>
    <n v="48737833.460000001"/>
    <s v="UBSN SW Equity"/>
    <x v="283"/>
    <n v="-1.2036796249999999E-3"/>
    <n v="0.23203557978100001"/>
    <d v="2017-05-29T10:12:30"/>
    <m/>
    <m/>
    <m/>
    <m/>
    <m/>
    <m/>
    <m/>
    <m/>
    <m/>
    <m/>
    <m/>
    <m/>
    <m/>
    <m/>
    <m/>
    <m/>
    <m/>
    <m/>
    <m/>
    <m/>
    <m/>
    <m/>
    <n v="340000000"/>
    <m/>
    <s v="CNH"/>
    <n v="6.9760999999999997"/>
    <m/>
    <m/>
    <m/>
    <m/>
    <n v="0"/>
    <n v="0"/>
    <n v="0"/>
    <n v="0"/>
    <n v="0"/>
    <n v="1.4136139305201152E-3"/>
  </r>
  <r>
    <n v="988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1319016.249816524"/>
    <x v="4"/>
    <m/>
    <m/>
    <d v="2018-12-20T00:00:00"/>
    <n v="1.9698630136986301"/>
    <n v="1"/>
    <m/>
    <n v="1"/>
    <n v="2"/>
    <s v="12"/>
    <n v="0.05"/>
    <n v="2436891.673"/>
    <n v="2436891.673"/>
    <n v="550363.36347965989"/>
    <n v="-454116.95"/>
    <m/>
    <n v="48737833.460000001"/>
    <s v="DBK GR Equity"/>
    <x v="284"/>
    <n v="-1.135292375E-3"/>
    <n v="0.225846462351"/>
    <d v="2017-05-29T10:12:30"/>
    <m/>
    <m/>
    <m/>
    <m/>
    <m/>
    <m/>
    <m/>
    <m/>
    <m/>
    <m/>
    <m/>
    <m/>
    <m/>
    <m/>
    <m/>
    <m/>
    <m/>
    <m/>
    <m/>
    <m/>
    <m/>
    <m/>
    <n v="340000000"/>
    <m/>
    <s v="CNH"/>
    <n v="6.9760999999999997"/>
    <m/>
    <m/>
    <m/>
    <m/>
    <n v="0"/>
    <n v="0"/>
    <n v="0"/>
    <n v="0"/>
    <n v="0"/>
    <n v="1.3759084086991497E-3"/>
  </r>
  <r>
    <n v="98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7316066.831114948"/>
    <x v="4"/>
    <m/>
    <m/>
    <d v="2019-12-20T00:00:00"/>
    <n v="2.9698630136986299"/>
    <n v="1"/>
    <m/>
    <n v="1"/>
    <n v="2"/>
    <s v="12"/>
    <n v="0.05"/>
    <n v="2472728.3155"/>
    <n v="2472728.3155"/>
    <n v="738649.27013590827"/>
    <n v="-124499.06"/>
    <m/>
    <n v="49454566.310000002"/>
    <s v="BNP FP Equity"/>
    <x v="285"/>
    <n v="-3.1124765000000002E-4"/>
    <n v="0.298718328862"/>
    <d v="2017-05-29T10:12:30"/>
    <m/>
    <m/>
    <m/>
    <m/>
    <m/>
    <m/>
    <m/>
    <m/>
    <m/>
    <m/>
    <m/>
    <m/>
    <m/>
    <m/>
    <m/>
    <m/>
    <m/>
    <m/>
    <m/>
    <m/>
    <m/>
    <m/>
    <n v="345000000"/>
    <m/>
    <s v="CNH"/>
    <n v="6.9760999999999997"/>
    <m/>
    <m/>
    <m/>
    <m/>
    <n v="0"/>
    <n v="0"/>
    <n v="0"/>
    <n v="0"/>
    <n v="0"/>
    <n v="1.8466231753397706E-3"/>
  </r>
  <r>
    <n v="990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432006.536730738"/>
    <x v="4"/>
    <m/>
    <m/>
    <d v="2018-11-20T00:00:00"/>
    <n v="1.8876712328767122"/>
    <n v="1"/>
    <m/>
    <n v="1"/>
    <n v="2"/>
    <s v="12"/>
    <n v="0.05"/>
    <n v="2343716.4030000004"/>
    <n v="2343716.4030000004"/>
    <n v="515282.44284973323"/>
    <n v="-130840.74"/>
    <m/>
    <n v="46874328.060000002"/>
    <s v="BNP FP Equity"/>
    <x v="286"/>
    <n v="-3.2710185000000002E-4"/>
    <n v="0.21985699387099999"/>
    <d v="2017-05-29T10:12:30"/>
    <m/>
    <m/>
    <m/>
    <m/>
    <m/>
    <m/>
    <m/>
    <m/>
    <m/>
    <m/>
    <m/>
    <m/>
    <m/>
    <m/>
    <m/>
    <m/>
    <m/>
    <m/>
    <m/>
    <m/>
    <m/>
    <m/>
    <n v="327000000"/>
    <m/>
    <s v="CNH"/>
    <n v="6.9760999999999997"/>
    <m/>
    <m/>
    <m/>
    <m/>
    <n v="0"/>
    <n v="0"/>
    <n v="0"/>
    <n v="0"/>
    <n v="0"/>
    <n v="1.2882061071243331E-3"/>
  </r>
  <r>
    <n v="991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0368202.217181506"/>
    <x v="4"/>
    <m/>
    <m/>
    <d v="2018-11-20T00:00:00"/>
    <n v="1.8876712328767122"/>
    <n v="1"/>
    <m/>
    <n v="1"/>
    <n v="2"/>
    <s v="12"/>
    <n v="0.05"/>
    <n v="2329381.7464999999"/>
    <n v="2329381.7464999999"/>
    <n v="512130.86836346972"/>
    <n v="-145844.92000000001"/>
    <m/>
    <n v="46587634.93"/>
    <s v="DBK GR Equity"/>
    <x v="287"/>
    <n v="-3.6461230000000005E-4"/>
    <n v="0.21985699387099999"/>
    <d v="2017-05-29T10:12:30"/>
    <m/>
    <m/>
    <m/>
    <m/>
    <m/>
    <m/>
    <m/>
    <m/>
    <m/>
    <m/>
    <m/>
    <m/>
    <m/>
    <m/>
    <m/>
    <m/>
    <m/>
    <m/>
    <m/>
    <m/>
    <m/>
    <m/>
    <n v="325000000"/>
    <m/>
    <s v="CNH"/>
    <n v="6.9760999999999997"/>
    <m/>
    <m/>
    <m/>
    <m/>
    <n v="0"/>
    <n v="0"/>
    <n v="0"/>
    <n v="0"/>
    <n v="0"/>
    <n v="1.2803271709086743E-3"/>
  </r>
  <r>
    <n v="99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4699789.315585757"/>
    <x v="4"/>
    <m/>
    <m/>
    <d v="2020-05-20T00:00:00"/>
    <n v="3.3863013698630136"/>
    <n v="1"/>
    <m/>
    <n v="1"/>
    <n v="2"/>
    <s v="12"/>
    <n v="0.05"/>
    <n v="1840980"/>
    <n v="1847605.04"/>
    <n v="607982.09551115579"/>
    <n v="6625.04"/>
    <m/>
    <n v="36819600"/>
    <s v="BNP FP Equity"/>
    <x v="288"/>
    <n v="1.65626E-5"/>
    <n v="0.32906496916200001"/>
    <d v="2017-05-29T10:12:30"/>
    <m/>
    <m/>
    <m/>
    <m/>
    <m/>
    <m/>
    <m/>
    <m/>
    <m/>
    <m/>
    <m/>
    <m/>
    <m/>
    <m/>
    <m/>
    <m/>
    <m/>
    <m/>
    <m/>
    <m/>
    <m/>
    <m/>
    <n v="30000000"/>
    <m/>
    <s v="GBP"/>
    <n v="1.22732"/>
    <m/>
    <m/>
    <m/>
    <m/>
    <n v="0"/>
    <n v="0"/>
    <n v="0"/>
    <n v="0"/>
    <n v="0"/>
    <n v="1.5199552387778895E-3"/>
  </r>
  <r>
    <n v="993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4420361.969797265"/>
    <x v="4"/>
    <m/>
    <m/>
    <d v="2021-03-20T00:00:00"/>
    <n v="4.2191780821917808"/>
    <n v="1"/>
    <m/>
    <n v="1"/>
    <n v="2"/>
    <s v="12"/>
    <n v="0.05"/>
    <n v="2454640"/>
    <n v="2454640"/>
    <n v="956716.19019825035"/>
    <n v="-18657.86"/>
    <m/>
    <n v="49092800"/>
    <s v="DBK GR Equity"/>
    <x v="289"/>
    <n v="-4.6644650000000001E-5"/>
    <n v="0.389758249763"/>
    <d v="2017-05-29T10:12:30"/>
    <m/>
    <m/>
    <m/>
    <m/>
    <m/>
    <m/>
    <m/>
    <m/>
    <m/>
    <m/>
    <m/>
    <m/>
    <m/>
    <m/>
    <m/>
    <m/>
    <m/>
    <m/>
    <m/>
    <m/>
    <m/>
    <m/>
    <n v="40000000"/>
    <m/>
    <s v="GBP"/>
    <n v="1.22732"/>
    <m/>
    <m/>
    <m/>
    <m/>
    <n v="0"/>
    <n v="0"/>
    <n v="0"/>
    <n v="0"/>
    <n v="0"/>
    <n v="2.3917904754956259E-3"/>
  </r>
  <r>
    <n v="994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5657237.446189594"/>
    <x v="4"/>
    <m/>
    <m/>
    <d v="2019-03-20T00:00:00"/>
    <n v="2.2164383561643834"/>
    <n v="1"/>
    <m/>
    <n v="1"/>
    <n v="2"/>
    <s v="12"/>
    <n v="0.05"/>
    <n v="4909280"/>
    <n v="4909280"/>
    <n v="1196955.4541539098"/>
    <n v="-18546.43"/>
    <m/>
    <n v="98185600"/>
    <s v="BNP FP Equity"/>
    <x v="290"/>
    <n v="-4.6366075000000001E-5"/>
    <n v="0.24381486779200001"/>
    <d v="2017-05-29T10:12:30"/>
    <m/>
    <m/>
    <m/>
    <m/>
    <m/>
    <m/>
    <m/>
    <m/>
    <m/>
    <m/>
    <m/>
    <m/>
    <m/>
    <m/>
    <m/>
    <m/>
    <m/>
    <m/>
    <m/>
    <m/>
    <m/>
    <m/>
    <n v="80000000"/>
    <m/>
    <s v="GBP"/>
    <n v="1.22732"/>
    <m/>
    <m/>
    <m/>
    <m/>
    <n v="0"/>
    <n v="0"/>
    <n v="0"/>
    <n v="0"/>
    <n v="0"/>
    <n v="2.9923886353847746E-3"/>
  </r>
  <r>
    <n v="995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8551091.0339046586"/>
    <x v="4"/>
    <m/>
    <m/>
    <d v="2018-12-20T00:00:00"/>
    <n v="1.9698630136986301"/>
    <n v="1"/>
    <m/>
    <n v="1"/>
    <n v="2"/>
    <s v="12"/>
    <n v="0.05"/>
    <n v="1840980"/>
    <n v="1840980"/>
    <n v="415778.820258944"/>
    <n v="-3141.88"/>
    <m/>
    <n v="36819600"/>
    <s v="56243Z LN Equity"/>
    <x v="291"/>
    <n v="-7.8546999999999995E-6"/>
    <n v="0.225846462351"/>
    <d v="2017-05-29T10:12:30"/>
    <m/>
    <m/>
    <m/>
    <m/>
    <m/>
    <m/>
    <m/>
    <m/>
    <m/>
    <m/>
    <m/>
    <m/>
    <m/>
    <m/>
    <m/>
    <m/>
    <m/>
    <m/>
    <m/>
    <m/>
    <m/>
    <m/>
    <n v="30000000"/>
    <m/>
    <s v="GBP"/>
    <n v="1.22732"/>
    <m/>
    <m/>
    <m/>
    <m/>
    <n v="0"/>
    <n v="0"/>
    <n v="0"/>
    <n v="0"/>
    <n v="0"/>
    <n v="1.03944705064736E-3"/>
  </r>
  <r>
    <n v="99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3786066.853698637"/>
    <x v="4"/>
    <m/>
    <m/>
    <d v="2019-01-20T00:00:00"/>
    <n v="2.0547945205479454"/>
    <n v="1"/>
    <m/>
    <n v="1"/>
    <n v="2"/>
    <s v="12"/>
    <n v="0.05"/>
    <n v="4909280"/>
    <n v="4909280"/>
    <n v="1139127.6311072677"/>
    <n v="-12926.83"/>
    <m/>
    <n v="98185600"/>
    <s v="BNP FP Equity"/>
    <x v="292"/>
    <n v="-3.2317075000000001E-5"/>
    <n v="0.23203557978100001"/>
    <d v="2017-05-29T10:12:30"/>
    <m/>
    <m/>
    <m/>
    <m/>
    <m/>
    <m/>
    <m/>
    <m/>
    <m/>
    <m/>
    <m/>
    <m/>
    <m/>
    <m/>
    <m/>
    <m/>
    <m/>
    <m/>
    <m/>
    <m/>
    <m/>
    <m/>
    <n v="80000000"/>
    <m/>
    <s v="GBP"/>
    <n v="1.22732"/>
    <m/>
    <m/>
    <m/>
    <m/>
    <n v="0"/>
    <n v="0"/>
    <n v="0"/>
    <n v="0"/>
    <n v="0"/>
    <n v="2.8478190777681692E-3"/>
  </r>
  <r>
    <n v="997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1429997.992097316"/>
    <x v="4"/>
    <m/>
    <m/>
    <d v="2019-06-20T00:00:00"/>
    <n v="2.4684931506849317"/>
    <n v="1"/>
    <m/>
    <n v="1"/>
    <n v="2"/>
    <s v="12"/>
    <n v="0.05"/>
    <n v="1963712"/>
    <n v="2070485.86"/>
    <n v="542845.30626725021"/>
    <n v="106773.86"/>
    <m/>
    <n v="39274240"/>
    <s v="56243Z LN Equity"/>
    <x v="293"/>
    <n v="2.6693464999999998E-4"/>
    <n v="0.262182571132"/>
    <d v="2017-05-29T10:12:30"/>
    <m/>
    <m/>
    <m/>
    <m/>
    <m/>
    <m/>
    <m/>
    <m/>
    <m/>
    <m/>
    <m/>
    <m/>
    <m/>
    <m/>
    <m/>
    <m/>
    <m/>
    <m/>
    <m/>
    <m/>
    <m/>
    <m/>
    <n v="32000000"/>
    <m/>
    <s v="GBP"/>
    <n v="1.22732"/>
    <m/>
    <m/>
    <m/>
    <m/>
    <n v="0"/>
    <n v="0"/>
    <n v="0"/>
    <n v="0"/>
    <n v="0"/>
    <n v="1.3571132656681256E-3"/>
  </r>
  <r>
    <n v="998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2990760.412147511"/>
    <x v="4"/>
    <m/>
    <m/>
    <d v="2019-09-20T00:00:00"/>
    <n v="2.7205479452054795"/>
    <n v="1"/>
    <m/>
    <n v="1"/>
    <n v="2"/>
    <s v="12"/>
    <n v="0.05"/>
    <n v="2025078"/>
    <n v="2117269.16"/>
    <n v="594000.4439669837"/>
    <n v="92191.16"/>
    <m/>
    <n v="40501560"/>
    <s v="56243Z LN Equity"/>
    <x v="294"/>
    <n v="2.3047790000000002E-4"/>
    <n v="0.28055027447100001"/>
    <d v="2017-05-29T10:12:30"/>
    <m/>
    <m/>
    <m/>
    <m/>
    <m/>
    <m/>
    <m/>
    <m/>
    <m/>
    <m/>
    <m/>
    <m/>
    <m/>
    <m/>
    <m/>
    <m/>
    <m/>
    <m/>
    <m/>
    <m/>
    <m/>
    <m/>
    <n v="33000000"/>
    <m/>
    <s v="GBP"/>
    <n v="1.22732"/>
    <m/>
    <m/>
    <m/>
    <m/>
    <n v="0"/>
    <n v="0"/>
    <n v="0"/>
    <n v="0"/>
    <n v="0"/>
    <n v="1.4850011099174591E-3"/>
  </r>
  <r>
    <n v="999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5028829.907061921"/>
    <x v="4"/>
    <m/>
    <m/>
    <d v="2020-01-20T00:00:00"/>
    <n v="3.0547945205479454"/>
    <n v="1"/>
    <m/>
    <n v="1"/>
    <n v="2"/>
    <s v="12"/>
    <n v="0.05"/>
    <n v="2086444"/>
    <n v="2155330.81"/>
    <n v="657176.41318941244"/>
    <n v="68886.81"/>
    <m/>
    <n v="41728880"/>
    <s v="56243Z LN Equity"/>
    <x v="295"/>
    <n v="1.7221702499999999E-4"/>
    <n v="0.30490744629099997"/>
    <d v="2017-05-29T10:12:30"/>
    <m/>
    <m/>
    <m/>
    <m/>
    <m/>
    <m/>
    <m/>
    <m/>
    <m/>
    <m/>
    <m/>
    <m/>
    <m/>
    <m/>
    <m/>
    <m/>
    <m/>
    <m/>
    <m/>
    <m/>
    <m/>
    <m/>
    <n v="34000000"/>
    <m/>
    <s v="GBP"/>
    <n v="1.22732"/>
    <m/>
    <m/>
    <m/>
    <m/>
    <n v="0"/>
    <n v="0"/>
    <n v="0"/>
    <n v="0"/>
    <n v="0"/>
    <n v="1.6429410329735312E-3"/>
  </r>
  <r>
    <n v="1000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4181253.058175122"/>
    <x v="4"/>
    <m/>
    <m/>
    <d v="2019-12-20T00:00:00"/>
    <n v="2.9698630136986299"/>
    <n v="1"/>
    <m/>
    <n v="1"/>
    <n v="2"/>
    <s v="12"/>
    <n v="0.05"/>
    <n v="2025078"/>
    <n v="2088125.88"/>
    <n v="623761.47332709318"/>
    <n v="63047.88"/>
    <m/>
    <n v="40501560"/>
    <s v="56243Z LN Equity"/>
    <x v="296"/>
    <n v="1.576197E-4"/>
    <n v="0.298718328862"/>
    <d v="2017-05-29T10:12:30"/>
    <m/>
    <m/>
    <m/>
    <m/>
    <m/>
    <m/>
    <m/>
    <m/>
    <m/>
    <m/>
    <m/>
    <m/>
    <m/>
    <m/>
    <m/>
    <m/>
    <m/>
    <m/>
    <m/>
    <m/>
    <m/>
    <m/>
    <n v="33000000"/>
    <m/>
    <s v="GBP"/>
    <n v="1.22732"/>
    <m/>
    <m/>
    <m/>
    <m/>
    <n v="0"/>
    <n v="0"/>
    <n v="0"/>
    <n v="0"/>
    <n v="0"/>
    <n v="1.5594036833177329E-3"/>
  </r>
  <r>
    <n v="1001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713028.6117593441"/>
    <x v="4"/>
    <m/>
    <m/>
    <d v="2019-10-21T00:00:00"/>
    <n v="2.8054794520547945"/>
    <n v="1"/>
    <m/>
    <n v="1"/>
    <n v="2"/>
    <s v="12"/>
    <n v="0.05"/>
    <n v="1165954"/>
    <n v="1204229.92"/>
    <n v="345300.15496978984"/>
    <n v="38275.919999999998"/>
    <m/>
    <n v="23319080"/>
    <s v="56243Z LN Equity"/>
    <x v="297"/>
    <n v="9.56898E-5"/>
    <n v="0.28673939190100001"/>
    <d v="2017-05-29T10:12:30"/>
    <m/>
    <m/>
    <m/>
    <m/>
    <m/>
    <m/>
    <m/>
    <m/>
    <m/>
    <m/>
    <m/>
    <m/>
    <m/>
    <m/>
    <m/>
    <m/>
    <m/>
    <m/>
    <m/>
    <m/>
    <m/>
    <m/>
    <n v="19000000"/>
    <m/>
    <s v="GBP"/>
    <n v="1.22732"/>
    <m/>
    <m/>
    <m/>
    <m/>
    <n v="0"/>
    <n v="0"/>
    <n v="0"/>
    <n v="0"/>
    <n v="0"/>
    <n v="8.6325038742447464E-4"/>
  </r>
  <r>
    <n v="1002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938996.2468694793"/>
    <x v="4"/>
    <m/>
    <m/>
    <d v="2019-11-20T00:00:00"/>
    <n v="2.8876712328767122"/>
    <n v="1"/>
    <m/>
    <n v="1"/>
    <n v="2"/>
    <s v="12"/>
    <n v="0.05"/>
    <n v="1165954"/>
    <n v="1201590"/>
    <n v="351740.07134520577"/>
    <n v="35636"/>
    <m/>
    <n v="23319080"/>
    <s v="56243Z LN Equity"/>
    <x v="298"/>
    <n v="8.9090000000000003E-5"/>
    <n v="0.29272886038099999"/>
    <d v="2017-05-29T10:12:30"/>
    <m/>
    <m/>
    <m/>
    <m/>
    <m/>
    <m/>
    <m/>
    <m/>
    <m/>
    <m/>
    <m/>
    <m/>
    <m/>
    <m/>
    <m/>
    <m/>
    <m/>
    <m/>
    <m/>
    <m/>
    <m/>
    <m/>
    <n v="19000000"/>
    <m/>
    <s v="GBP"/>
    <n v="1.22732"/>
    <m/>
    <m/>
    <m/>
    <m/>
    <n v="0"/>
    <n v="0"/>
    <n v="0"/>
    <n v="0"/>
    <n v="0"/>
    <n v="8.7935017836301445E-4"/>
  </r>
  <r>
    <n v="1003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5446671.814791894"/>
    <x v="4"/>
    <m/>
    <m/>
    <d v="2020-02-20T00:00:00"/>
    <n v="3.1397260273972605"/>
    <n v="1"/>
    <m/>
    <n v="1"/>
    <n v="2"/>
    <s v="12"/>
    <n v="0.05"/>
    <n v="2086444"/>
    <n v="2147716.0299999998"/>
    <n v="668147.07678150805"/>
    <n v="61272.03"/>
    <m/>
    <n v="41728880"/>
    <s v="UBSN SW Equity"/>
    <x v="299"/>
    <n v="1.5318007499999999E-4"/>
    <n v="0.31109656372099997"/>
    <d v="2017-05-29T10:12:30"/>
    <m/>
    <m/>
    <m/>
    <m/>
    <m/>
    <m/>
    <m/>
    <m/>
    <m/>
    <m/>
    <m/>
    <m/>
    <m/>
    <m/>
    <m/>
    <m/>
    <m/>
    <m/>
    <m/>
    <m/>
    <m/>
    <m/>
    <n v="34000000"/>
    <m/>
    <s v="GBP"/>
    <n v="1.22732"/>
    <m/>
    <m/>
    <m/>
    <m/>
    <n v="0"/>
    <n v="0"/>
    <n v="0"/>
    <n v="0"/>
    <n v="0"/>
    <n v="1.6703676919537702E-3"/>
  </r>
  <r>
    <n v="1004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0287473.91422466"/>
    <x v="4"/>
    <m/>
    <m/>
    <d v="2019-05-15T00:00:00"/>
    <n v="2.3698630136986303"/>
    <n v="1"/>
    <m/>
    <n v="1"/>
    <n v="2"/>
    <s v="12"/>
    <n v="0.05"/>
    <n v="1840980"/>
    <n v="1986662.02"/>
    <n v="506589.2969128624"/>
    <n v="145682.01999999999"/>
    <m/>
    <n v="36819600"/>
    <s v="56243Z LN Equity"/>
    <x v="300"/>
    <n v="3.6420504999999995E-4"/>
    <n v="0.254995208955"/>
    <d v="2017-05-29T10:12:30"/>
    <m/>
    <m/>
    <m/>
    <m/>
    <m/>
    <m/>
    <m/>
    <m/>
    <m/>
    <m/>
    <m/>
    <m/>
    <m/>
    <m/>
    <m/>
    <m/>
    <m/>
    <m/>
    <m/>
    <m/>
    <m/>
    <m/>
    <n v="30000000"/>
    <m/>
    <s v="GBP"/>
    <n v="1.22732"/>
    <m/>
    <m/>
    <m/>
    <m/>
    <n v="0"/>
    <n v="0"/>
    <n v="0"/>
    <n v="0"/>
    <n v="0"/>
    <n v="1.2664732422821561E-3"/>
  </r>
  <r>
    <n v="1005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1810575.061756495"/>
    <x v="4"/>
    <m/>
    <m/>
    <d v="2019-07-20T00:00:00"/>
    <n v="2.5506849315068494"/>
    <n v="1"/>
    <m/>
    <n v="1"/>
    <n v="2"/>
    <s v="12"/>
    <n v="0.05"/>
    <n v="1963712"/>
    <n v="2054672.84"/>
    <n v="551005.80623818049"/>
    <n v="90960.84"/>
    <m/>
    <n v="39274240"/>
    <s v="56243Z LN Equity"/>
    <x v="301"/>
    <n v="2.2740209999999998E-4"/>
    <n v="0.26817203961199998"/>
    <d v="2017-05-29T10:12:30"/>
    <m/>
    <m/>
    <m/>
    <m/>
    <m/>
    <m/>
    <m/>
    <m/>
    <m/>
    <m/>
    <m/>
    <m/>
    <m/>
    <m/>
    <m/>
    <m/>
    <m/>
    <m/>
    <m/>
    <m/>
    <m/>
    <m/>
    <n v="32000000"/>
    <m/>
    <s v="GBP"/>
    <n v="1.22732"/>
    <m/>
    <m/>
    <m/>
    <m/>
    <n v="0"/>
    <n v="0"/>
    <n v="0"/>
    <n v="0"/>
    <n v="0"/>
    <n v="1.3775145155954511E-3"/>
  </r>
  <r>
    <n v="100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3264443.25790148"/>
    <x v="4"/>
    <m/>
    <m/>
    <d v="2018-10-20T00:00:00"/>
    <n v="1.8027397260273972"/>
    <n v="1"/>
    <m/>
    <n v="1"/>
    <n v="2"/>
    <s v="12"/>
    <n v="0.05"/>
    <n v="3120466.7805000003"/>
    <n v="3197367.5605000001"/>
    <n v="683174.73685337557"/>
    <n v="76900.78"/>
    <m/>
    <n v="62409335.609999999"/>
    <s v="BNP FP Equity"/>
    <x v="302"/>
    <n v="1.9225195E-4"/>
    <n v="0.21366787644099999"/>
    <d v="2017-05-29T10:12:30"/>
    <m/>
    <m/>
    <m/>
    <m/>
    <m/>
    <m/>
    <m/>
    <m/>
    <m/>
    <m/>
    <m/>
    <m/>
    <m/>
    <m/>
    <m/>
    <m/>
    <m/>
    <m/>
    <m/>
    <m/>
    <m/>
    <m/>
    <n v="484000000"/>
    <m/>
    <s v="HKD"/>
    <n v="7.7552500000000002"/>
    <m/>
    <m/>
    <m/>
    <m/>
    <n v="0"/>
    <n v="0"/>
    <n v="0"/>
    <n v="0"/>
    <n v="0"/>
    <n v="1.7079368421334389E-3"/>
  </r>
  <r>
    <n v="1007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794624.181193857"/>
    <x v="4"/>
    <m/>
    <m/>
    <d v="2019-09-20T00:00:00"/>
    <n v="2.7205479452054795"/>
    <n v="1"/>
    <m/>
    <n v="1"/>
    <n v="2"/>
    <s v="12"/>
    <n v="0.05"/>
    <n v="1682731.0530000003"/>
    <n v="1726593.1230000004"/>
    <n v="484396.1745573912"/>
    <n v="43862.07"/>
    <m/>
    <n v="33654621.060000002"/>
    <s v="BNP FP Equity"/>
    <x v="303"/>
    <n v="1.09655175E-4"/>
    <n v="0.28055027447100001"/>
    <d v="2017-05-29T10:12:30"/>
    <m/>
    <m/>
    <m/>
    <m/>
    <m/>
    <m/>
    <m/>
    <m/>
    <m/>
    <m/>
    <m/>
    <m/>
    <m/>
    <m/>
    <m/>
    <m/>
    <m/>
    <m/>
    <m/>
    <m/>
    <m/>
    <m/>
    <n v="261000000"/>
    <m/>
    <s v="HKD"/>
    <n v="7.7552500000000002"/>
    <m/>
    <m/>
    <m/>
    <m/>
    <n v="0"/>
    <n v="0"/>
    <n v="0"/>
    <n v="0"/>
    <n v="0"/>
    <n v="1.2109904363934781E-3"/>
  </r>
  <r>
    <n v="1008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2306612.110759974"/>
    <x v="4"/>
    <m/>
    <m/>
    <d v="2020-01-20T00:00:00"/>
    <n v="3.0547945205479454"/>
    <n v="1"/>
    <m/>
    <n v="1"/>
    <n v="2"/>
    <s v="12"/>
    <n v="0.05"/>
    <n v="1708520.0350000001"/>
    <n v="1761727.1050000002"/>
    <n v="537163.71264718648"/>
    <n v="53207.07"/>
    <m/>
    <n v="34170400.700000003"/>
    <s v="56243Z LN Equity"/>
    <x v="304"/>
    <n v="1.3301767499999999E-4"/>
    <n v="0.30490744629099997"/>
    <d v="2017-05-29T10:12:30"/>
    <m/>
    <m/>
    <m/>
    <m/>
    <m/>
    <m/>
    <m/>
    <m/>
    <m/>
    <m/>
    <m/>
    <m/>
    <m/>
    <m/>
    <m/>
    <m/>
    <m/>
    <m/>
    <m/>
    <m/>
    <m/>
    <m/>
    <n v="265000000"/>
    <m/>
    <s v="HKD"/>
    <n v="7.7552500000000002"/>
    <m/>
    <m/>
    <m/>
    <m/>
    <n v="0"/>
    <n v="0"/>
    <n v="0"/>
    <n v="0"/>
    <n v="0"/>
    <n v="1.3429092816179661E-3"/>
  </r>
  <r>
    <n v="100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163353.979528425"/>
    <x v="4"/>
    <m/>
    <m/>
    <d v="2019-10-20T00:00:00"/>
    <n v="2.8027397260273972"/>
    <n v="1"/>
    <m/>
    <n v="1"/>
    <n v="2"/>
    <s v="12"/>
    <n v="0.05"/>
    <n v="1689178.2985"/>
    <n v="1740262.4284999999"/>
    <n v="498654.34893141332"/>
    <n v="51084.13"/>
    <m/>
    <n v="33783565.969999999"/>
    <s v="BNP FP Equity"/>
    <x v="305"/>
    <n v="1.2771032499999998E-4"/>
    <n v="0.28653974295200002"/>
    <d v="2017-05-29T10:12:30"/>
    <m/>
    <m/>
    <m/>
    <m/>
    <m/>
    <m/>
    <m/>
    <m/>
    <m/>
    <m/>
    <m/>
    <m/>
    <m/>
    <m/>
    <m/>
    <m/>
    <m/>
    <m/>
    <m/>
    <m/>
    <m/>
    <m/>
    <n v="262000000"/>
    <m/>
    <s v="HKD"/>
    <n v="7.7552500000000002"/>
    <m/>
    <m/>
    <m/>
    <m/>
    <n v="0"/>
    <n v="0"/>
    <n v="0"/>
    <n v="0"/>
    <n v="0"/>
    <n v="1.2466358723285333E-3"/>
  </r>
  <r>
    <n v="1010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677234.950455988"/>
    <x v="4"/>
    <m/>
    <m/>
    <d v="2019-11-20T00:00:00"/>
    <n v="2.8876712328767122"/>
    <n v="1"/>
    <m/>
    <n v="1"/>
    <n v="2"/>
    <s v="12"/>
    <n v="0.05"/>
    <n v="1714967.2800000003"/>
    <n v="1769326.2500000002"/>
    <n v="517932.85680468834"/>
    <n v="54358.97"/>
    <m/>
    <n v="34299345.600000001"/>
    <s v="BNP FP Equity"/>
    <x v="306"/>
    <n v="1.3589742500000001E-4"/>
    <n v="0.29272886038099999"/>
    <d v="2017-05-29T10:12:30"/>
    <m/>
    <m/>
    <m/>
    <m/>
    <m/>
    <m/>
    <m/>
    <m/>
    <m/>
    <m/>
    <m/>
    <m/>
    <m/>
    <m/>
    <m/>
    <m/>
    <m/>
    <m/>
    <m/>
    <m/>
    <m/>
    <m/>
    <n v="266000000"/>
    <m/>
    <s v="HKD"/>
    <n v="7.7552500000000002"/>
    <m/>
    <m/>
    <m/>
    <m/>
    <n v="0"/>
    <n v="0"/>
    <n v="0"/>
    <n v="0"/>
    <n v="0"/>
    <n v="1.2948321420117208E-3"/>
  </r>
  <r>
    <n v="1011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964455.182120008"/>
    <x v="4"/>
    <m/>
    <m/>
    <d v="2019-12-20T00:00:00"/>
    <n v="2.9698630136986299"/>
    <n v="1"/>
    <m/>
    <n v="1"/>
    <n v="2"/>
    <s v="12"/>
    <n v="0.05"/>
    <n v="1708520.0350000001"/>
    <n v="1764996.8650000002"/>
    <n v="527236.91395946906"/>
    <n v="56476.83"/>
    <m/>
    <n v="34170400.700000003"/>
    <s v="BNP FP Equity"/>
    <x v="307"/>
    <n v="1.41192075E-4"/>
    <n v="0.298718328862"/>
    <d v="2017-05-29T10:12:30"/>
    <m/>
    <m/>
    <m/>
    <m/>
    <m/>
    <m/>
    <m/>
    <m/>
    <m/>
    <m/>
    <m/>
    <m/>
    <m/>
    <m/>
    <m/>
    <m/>
    <m/>
    <m/>
    <m/>
    <m/>
    <m/>
    <m/>
    <n v="265000000"/>
    <m/>
    <s v="HKD"/>
    <n v="7.7552500000000002"/>
    <m/>
    <m/>
    <m/>
    <m/>
    <n v="0"/>
    <n v="0"/>
    <n v="0"/>
    <n v="0"/>
    <n v="0"/>
    <n v="1.3180922848986727E-3"/>
  </r>
  <r>
    <n v="101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0457631.88550704"/>
    <x v="4"/>
    <m/>
    <m/>
    <d v="2019-08-20T00:00:00"/>
    <n v="2.6356164383561644"/>
    <n v="1"/>
    <m/>
    <n v="1"/>
    <n v="2"/>
    <s v="12"/>
    <n v="0.05"/>
    <n v="1682731.0530000003"/>
    <n v="1725541.0730000003"/>
    <n v="473421.44531177427"/>
    <n v="42810.02"/>
    <m/>
    <n v="33654621.060000002"/>
    <s v="BNP FP Equity"/>
    <x v="308"/>
    <n v="1.0702504999999999E-4"/>
    <n v="0.27436115704199998"/>
    <d v="2017-05-29T10:12:30"/>
    <m/>
    <m/>
    <m/>
    <m/>
    <m/>
    <m/>
    <m/>
    <m/>
    <m/>
    <m/>
    <m/>
    <m/>
    <m/>
    <m/>
    <m/>
    <m/>
    <m/>
    <m/>
    <m/>
    <m/>
    <m/>
    <m/>
    <n v="261000000"/>
    <m/>
    <s v="HKD"/>
    <n v="7.7552500000000002"/>
    <m/>
    <m/>
    <m/>
    <m/>
    <n v="0"/>
    <n v="0"/>
    <n v="0"/>
    <n v="0"/>
    <n v="0"/>
    <n v="1.1835536132794356E-3"/>
  </r>
  <r>
    <n v="1013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7268995.2829225902"/>
    <x v="4"/>
    <m/>
    <m/>
    <d v="2019-11-20T00:00:00"/>
    <n v="2.8876712328767122"/>
    <n v="1"/>
    <m/>
    <n v="1"/>
    <n v="2"/>
    <s v="12"/>
    <n v="0.05"/>
    <n v="1067554.8725000001"/>
    <n v="1143413.8325"/>
    <n v="334710.22813159664"/>
    <n v="75858.960000000006"/>
    <m/>
    <n v="-21351097.449999999"/>
    <s v="UBSN SW Equity"/>
    <x v="309"/>
    <n v="1.8964740000000001E-4"/>
    <n v="0.29272886038099999"/>
    <d v="2017-05-29T10:12:30"/>
    <m/>
    <m/>
    <m/>
    <m/>
    <m/>
    <m/>
    <m/>
    <m/>
    <m/>
    <m/>
    <m/>
    <m/>
    <m/>
    <m/>
    <m/>
    <m/>
    <m/>
    <m/>
    <m/>
    <m/>
    <m/>
    <m/>
    <n v="-2500000000"/>
    <m/>
    <s v="JPY"/>
    <n v="117.09"/>
    <m/>
    <m/>
    <m/>
    <m/>
    <n v="0"/>
    <n v="0"/>
    <n v="0"/>
    <n v="0"/>
    <n v="0"/>
    <n v="8.367755703289916E-4"/>
  </r>
  <r>
    <n v="1014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5066268.58794309"/>
    <x v="4"/>
    <m/>
    <m/>
    <d v="2019-09-20T00:00:00"/>
    <n v="2.7205479452054795"/>
    <n v="1"/>
    <m/>
    <n v="1"/>
    <n v="2"/>
    <s v="12"/>
    <n v="0.05"/>
    <n v="2348620.719"/>
    <n v="2589917.5389999999"/>
    <n v="726602.07642370684"/>
    <n v="241296.82"/>
    <m/>
    <n v="-46972414.380000003"/>
    <s v="UBSN SW Equity"/>
    <x v="310"/>
    <n v="6.0324205000000005E-4"/>
    <n v="0.28055027447100001"/>
    <d v="2017-05-29T10:12:30"/>
    <m/>
    <m/>
    <m/>
    <m/>
    <m/>
    <m/>
    <m/>
    <m/>
    <m/>
    <m/>
    <m/>
    <m/>
    <m/>
    <m/>
    <m/>
    <m/>
    <m/>
    <m/>
    <m/>
    <m/>
    <m/>
    <m/>
    <n v="-5500000000"/>
    <m/>
    <s v="JPY"/>
    <n v="117.09"/>
    <m/>
    <m/>
    <m/>
    <m/>
    <n v="0"/>
    <n v="0"/>
    <n v="0"/>
    <n v="0"/>
    <n v="0"/>
    <n v="1.8165051910592671E-3"/>
  </r>
  <r>
    <n v="1015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901908.2169989403"/>
    <x v="4"/>
    <m/>
    <m/>
    <d v="2019-07-16T00:00:00"/>
    <n v="2.5397260273972604"/>
    <n v="1"/>
    <m/>
    <n v="1"/>
    <n v="2"/>
    <s v="12"/>
    <n v="0.05"/>
    <n v="1319497.8220000002"/>
    <n v="1319497.8220000002"/>
    <n v="352798.67677453189"/>
    <n v="-70949.929999999993"/>
    <m/>
    <n v="-26389956.440000001"/>
    <s v="56243Z LN Equity"/>
    <x v="311"/>
    <n v="-1.7737482499999998E-4"/>
    <n v="0.267373443815"/>
    <d v="2017-05-29T10:12:30"/>
    <m/>
    <m/>
    <m/>
    <m/>
    <m/>
    <m/>
    <m/>
    <m/>
    <m/>
    <m/>
    <m/>
    <m/>
    <m/>
    <m/>
    <m/>
    <m/>
    <m/>
    <m/>
    <m/>
    <m/>
    <m/>
    <m/>
    <n v="-3090000000"/>
    <m/>
    <s v="JPY"/>
    <n v="117.09"/>
    <m/>
    <m/>
    <m/>
    <m/>
    <n v="0"/>
    <n v="0"/>
    <n v="0"/>
    <n v="0"/>
    <n v="0"/>
    <n v="8.8199669193632976E-4"/>
  </r>
  <r>
    <n v="101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517329.48733817"/>
    <x v="4"/>
    <m/>
    <m/>
    <d v="2019-01-20T00:00:00"/>
    <n v="2.0547945205479454"/>
    <n v="1"/>
    <m/>
    <n v="1"/>
    <n v="2"/>
    <s v="12"/>
    <n v="0.05"/>
    <n v="4441028.2690000003"/>
    <n v="4441028.2690000003"/>
    <n v="1030476.5692212259"/>
    <n v="-82040.899999999994"/>
    <m/>
    <n v="-88820565.379999995"/>
    <s v="BNP FP Equity"/>
    <x v="312"/>
    <n v="-2.0510224999999998E-4"/>
    <n v="0.23203557978100001"/>
    <d v="2017-05-29T10:12:30"/>
    <m/>
    <m/>
    <m/>
    <m/>
    <m/>
    <m/>
    <m/>
    <m/>
    <m/>
    <m/>
    <m/>
    <m/>
    <m/>
    <m/>
    <m/>
    <m/>
    <m/>
    <m/>
    <m/>
    <m/>
    <m/>
    <m/>
    <n v="-10400000000"/>
    <m/>
    <s v="JPY"/>
    <n v="117.09"/>
    <m/>
    <m/>
    <m/>
    <m/>
    <n v="0"/>
    <n v="0"/>
    <n v="0"/>
    <n v="0"/>
    <n v="0"/>
    <n v="2.5761914230530646E-3"/>
  </r>
  <r>
    <n v="1017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6713406.7992096869"/>
    <x v="4"/>
    <m/>
    <m/>
    <d v="2018-02-20T00:00:00"/>
    <n v="1.1397260273972603"/>
    <n v="1"/>
    <m/>
    <n v="1"/>
    <n v="2"/>
    <s v="12"/>
    <n v="0.05"/>
    <n v="2498078.4010000001"/>
    <n v="2498078.4010000001"/>
    <n v="413064.33491338167"/>
    <n v="-26264.799999999999"/>
    <m/>
    <n v="-49961568.020000003"/>
    <s v="UBSN SW Equity"/>
    <x v="313"/>
    <n v="-6.5661999999999996E-5"/>
    <n v="0.165352830699"/>
    <d v="2017-05-29T10:12:30"/>
    <m/>
    <m/>
    <m/>
    <m/>
    <m/>
    <m/>
    <m/>
    <m/>
    <m/>
    <m/>
    <m/>
    <m/>
    <m/>
    <m/>
    <m/>
    <m/>
    <m/>
    <m/>
    <m/>
    <m/>
    <m/>
    <m/>
    <n v="-5850000000"/>
    <m/>
    <s v="JPY"/>
    <n v="117.09"/>
    <m/>
    <m/>
    <m/>
    <m/>
    <n v="0"/>
    <n v="0"/>
    <n v="0"/>
    <n v="0"/>
    <n v="0"/>
    <n v="1.0326608372834541E-3"/>
  </r>
  <r>
    <n v="1018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3787642.662687931"/>
    <x v="4"/>
    <m/>
    <m/>
    <d v="2019-04-20T00:00:00"/>
    <n v="2.3013698630136985"/>
    <n v="1"/>
    <m/>
    <n v="1"/>
    <n v="2"/>
    <s v="12"/>
    <n v="0.05"/>
    <n v="2540780.5960000004"/>
    <n v="2540780.5960000004"/>
    <n v="635205.27457472845"/>
    <n v="-89525.93"/>
    <m/>
    <n v="-50815611.920000002"/>
    <s v="BNP FP Equity"/>
    <x v="314"/>
    <n v="-2.2381482499999998E-4"/>
    <n v="0.25000398522200001"/>
    <d v="2017-05-29T10:12:30"/>
    <m/>
    <m/>
    <m/>
    <m/>
    <m/>
    <m/>
    <m/>
    <m/>
    <m/>
    <m/>
    <m/>
    <m/>
    <m/>
    <m/>
    <m/>
    <m/>
    <m/>
    <m/>
    <m/>
    <m/>
    <m/>
    <m/>
    <n v="-5950000000"/>
    <m/>
    <s v="JPY"/>
    <n v="117.09"/>
    <m/>
    <m/>
    <m/>
    <m/>
    <n v="0"/>
    <n v="0"/>
    <n v="0"/>
    <n v="0"/>
    <n v="0"/>
    <n v="1.5880131864368212E-3"/>
  </r>
  <r>
    <n v="101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0627946.535194855"/>
    <x v="4"/>
    <m/>
    <m/>
    <d v="2018-12-20T00:00:00"/>
    <n v="1.9698630136986301"/>
    <n v="1"/>
    <m/>
    <n v="1"/>
    <n v="2"/>
    <s v="12"/>
    <n v="0.05"/>
    <n v="4441028.2690000003"/>
    <n v="4441028.2690000003"/>
    <n v="1002990.5237544352"/>
    <n v="-73524.77"/>
    <m/>
    <n v="-88820565.379999995"/>
    <s v="BNP FP Equity"/>
    <x v="315"/>
    <n v="-1.8381192500000002E-4"/>
    <n v="0.225846462351"/>
    <d v="2017-05-29T10:12:30"/>
    <m/>
    <m/>
    <m/>
    <m/>
    <m/>
    <m/>
    <m/>
    <m/>
    <m/>
    <m/>
    <m/>
    <m/>
    <m/>
    <m/>
    <m/>
    <m/>
    <m/>
    <m/>
    <m/>
    <m/>
    <m/>
    <m/>
    <n v="-10400000000"/>
    <m/>
    <s v="JPY"/>
    <n v="117.09"/>
    <m/>
    <m/>
    <m/>
    <m/>
    <n v="0"/>
    <n v="0"/>
    <n v="0"/>
    <n v="0"/>
    <n v="0"/>
    <n v="2.5074763093860882E-3"/>
  </r>
  <r>
    <n v="1020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3483958.229986712"/>
    <x v="4"/>
    <m/>
    <m/>
    <d v="2019-02-20T00:00:00"/>
    <n v="2.1397260273972605"/>
    <n v="1"/>
    <m/>
    <n v="1"/>
    <n v="2"/>
    <s v="12"/>
    <n v="0.05"/>
    <n v="4654539.2435000008"/>
    <n v="4654539.2435000008"/>
    <n v="1108826.2019348501"/>
    <n v="-71291.72"/>
    <m/>
    <n v="-93090784.870000005"/>
    <s v="BNP FP Equity"/>
    <x v="316"/>
    <n v="-1.7822930000000001E-4"/>
    <n v="0.23822469721"/>
    <d v="2017-05-29T10:12:30"/>
    <m/>
    <m/>
    <m/>
    <m/>
    <m/>
    <m/>
    <m/>
    <m/>
    <m/>
    <m/>
    <m/>
    <m/>
    <m/>
    <m/>
    <m/>
    <m/>
    <m/>
    <m/>
    <m/>
    <m/>
    <m/>
    <m/>
    <n v="-10900000000"/>
    <m/>
    <s v="JPY"/>
    <n v="117.09"/>
    <m/>
    <m/>
    <m/>
    <m/>
    <n v="0"/>
    <n v="0"/>
    <n v="0"/>
    <n v="0"/>
    <n v="0"/>
    <n v="2.772065504837125E-3"/>
  </r>
  <r>
    <n v="1021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5335704.175295437"/>
    <x v="4"/>
    <m/>
    <m/>
    <d v="2019-06-20T00:00:00"/>
    <n v="2.4684931506849317"/>
    <n v="1"/>
    <m/>
    <n v="1"/>
    <n v="2"/>
    <s v="12"/>
    <n v="0.05"/>
    <n v="2634725.4250000003"/>
    <n v="2634725.4250000003"/>
    <n v="690779.08615335147"/>
    <n v="-71391.05"/>
    <m/>
    <n v="-52694508.5"/>
    <s v="56243Z LN Equity"/>
    <x v="317"/>
    <n v="-1.7847762500000002E-4"/>
    <n v="0.262182571132"/>
    <d v="2017-05-29T10:12:30"/>
    <m/>
    <m/>
    <m/>
    <m/>
    <m/>
    <m/>
    <m/>
    <m/>
    <m/>
    <m/>
    <m/>
    <m/>
    <m/>
    <m/>
    <m/>
    <m/>
    <m/>
    <m/>
    <m/>
    <m/>
    <m/>
    <m/>
    <n v="-6170000000"/>
    <m/>
    <s v="JPY"/>
    <n v="117.09"/>
    <m/>
    <m/>
    <m/>
    <m/>
    <n v="0"/>
    <n v="0"/>
    <n v="0"/>
    <n v="0"/>
    <n v="0"/>
    <n v="1.7269477153833786E-3"/>
  </r>
  <r>
    <n v="1022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4155382.099982755"/>
    <x v="4"/>
    <m/>
    <m/>
    <d v="2018-05-20T00:00:00"/>
    <n v="1.3835616438356164"/>
    <n v="1"/>
    <m/>
    <n v="1"/>
    <n v="2"/>
    <s v="12"/>
    <n v="0.05"/>
    <n v="4338970.023"/>
    <n v="4338970.023"/>
    <n v="794559.07738592976"/>
    <n v="-35441.58"/>
    <m/>
    <n v="-86779400.459999993"/>
    <s v="56243Z LN Equity"/>
    <x v="318"/>
    <n v="-8.8603950000000004E-5"/>
    <n v="0.183121587191"/>
    <d v="2017-05-29T10:12:30"/>
    <m/>
    <m/>
    <m/>
    <m/>
    <m/>
    <m/>
    <m/>
    <m/>
    <m/>
    <m/>
    <m/>
    <m/>
    <m/>
    <m/>
    <m/>
    <m/>
    <m/>
    <m/>
    <m/>
    <m/>
    <m/>
    <m/>
    <n v="-10161000000"/>
    <m/>
    <s v="JPY"/>
    <n v="117.09"/>
    <m/>
    <m/>
    <m/>
    <m/>
    <n v="0"/>
    <n v="0"/>
    <n v="0"/>
    <n v="0"/>
    <n v="0"/>
    <n v="1.9863976934648246E-3"/>
  </r>
  <r>
    <n v="1023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308776.909269132"/>
    <x v="4"/>
    <m/>
    <m/>
    <d v="2018-09-20T00:00:00"/>
    <n v="1.7205479452054795"/>
    <n v="1"/>
    <m/>
    <n v="1"/>
    <n v="2"/>
    <s v="12"/>
    <n v="0.05"/>
    <n v="5252369.9720000001"/>
    <n v="5252369.9720000001"/>
    <n v="1090803.8338071222"/>
    <n v="-45723.98"/>
    <m/>
    <n v="-105047399.44"/>
    <s v="BNP FP Equity"/>
    <x v="319"/>
    <n v="-1.1430995E-4"/>
    <n v="0.20767840796100001"/>
    <d v="2017-05-29T10:12:30"/>
    <m/>
    <m/>
    <m/>
    <m/>
    <m/>
    <m/>
    <m/>
    <m/>
    <m/>
    <m/>
    <m/>
    <m/>
    <m/>
    <m/>
    <m/>
    <m/>
    <m/>
    <m/>
    <m/>
    <m/>
    <m/>
    <m/>
    <n v="-12300000000"/>
    <m/>
    <s v="JPY"/>
    <n v="117.09"/>
    <m/>
    <m/>
    <m/>
    <m/>
    <n v="0"/>
    <n v="0"/>
    <n v="0"/>
    <n v="0"/>
    <n v="0"/>
    <n v="2.7270095845178055E-3"/>
  </r>
  <r>
    <n v="1024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0627946.535194855"/>
    <x v="4"/>
    <m/>
    <m/>
    <d v="2018-12-20T00:00:00"/>
    <n v="1.9698630136986301"/>
    <n v="1"/>
    <m/>
    <n v="1"/>
    <n v="2"/>
    <s v="12"/>
    <n v="0.05"/>
    <n v="4441028.2690000003"/>
    <n v="4441028.2690000003"/>
    <n v="1002990.5237544352"/>
    <n v="-58659.76"/>
    <m/>
    <n v="-88820565.379999995"/>
    <s v="UBSN SW Equity"/>
    <x v="320"/>
    <n v="-1.466494E-4"/>
    <n v="0.225846462351"/>
    <d v="2017-05-29T10:12:30"/>
    <m/>
    <m/>
    <m/>
    <m/>
    <m/>
    <m/>
    <m/>
    <m/>
    <m/>
    <m/>
    <m/>
    <m/>
    <m/>
    <m/>
    <m/>
    <m/>
    <m/>
    <m/>
    <m/>
    <m/>
    <m/>
    <m/>
    <n v="-10400000000"/>
    <m/>
    <s v="JPY"/>
    <n v="117.09"/>
    <m/>
    <m/>
    <m/>
    <m/>
    <n v="0"/>
    <n v="0"/>
    <n v="0"/>
    <n v="0"/>
    <n v="0"/>
    <n v="2.5074763093860882E-3"/>
  </r>
  <r>
    <n v="1025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62199427.10123077"/>
    <x v="4"/>
    <m/>
    <m/>
    <d v="2019-12-20T00:00:00"/>
    <n v="2.9698630136986299"/>
    <n v="1"/>
    <m/>
    <n v="1"/>
    <n v="2"/>
    <s v="12"/>
    <n v="0.05"/>
    <n v="8882056.5374999996"/>
    <n v="8882056.5374999996"/>
    <n v="2653233.0857398021"/>
    <n v="-155066.49"/>
    <m/>
    <n v="-177641130.75"/>
    <s v="BNP FP Equity"/>
    <x v="321"/>
    <n v="-3.8766622499999997E-4"/>
    <n v="0.298718328862"/>
    <d v="2017-05-29T10:12:30"/>
    <m/>
    <m/>
    <m/>
    <m/>
    <m/>
    <m/>
    <m/>
    <m/>
    <m/>
    <m/>
    <m/>
    <m/>
    <m/>
    <m/>
    <m/>
    <m/>
    <m/>
    <m/>
    <m/>
    <m/>
    <m/>
    <m/>
    <n v="-20800000000"/>
    <m/>
    <s v="JPY"/>
    <n v="117.09"/>
    <m/>
    <m/>
    <m/>
    <m/>
    <n v="0"/>
    <n v="0"/>
    <n v="0"/>
    <n v="0"/>
    <n v="0"/>
    <n v="6.6330827143495051E-3"/>
  </r>
  <r>
    <n v="1026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5489759.544556286"/>
    <x v="4"/>
    <m/>
    <m/>
    <d v="2019-04-20T00:00:00"/>
    <n v="2.3013698630136985"/>
    <n v="1"/>
    <m/>
    <n v="1"/>
    <n v="2"/>
    <s v="12"/>
    <n v="0.05"/>
    <n v="4697241.4380000001"/>
    <n v="4697241.4380000001"/>
    <n v="1174329.0790499181"/>
    <n v="-56925.87"/>
    <m/>
    <n v="-93944828.760000005"/>
    <s v="DBK GR Equity"/>
    <x v="322"/>
    <n v="-1.4231467500000001E-4"/>
    <n v="0.25000398522200001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2.9358226976247954E-3"/>
  </r>
  <r>
    <n v="1027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8980118.666385602"/>
    <x v="4"/>
    <m/>
    <m/>
    <d v="2019-05-20T00:00:00"/>
    <n v="2.3835616438356166"/>
    <n v="1"/>
    <m/>
    <n v="1"/>
    <n v="2"/>
    <s v="12"/>
    <n v="0.05"/>
    <n v="5156290.0335000008"/>
    <n v="5156290.0335000008"/>
    <n v="1319976.4939648665"/>
    <n v="-72304.59"/>
    <m/>
    <n v="-103125800.67"/>
    <s v="BNP FP Equity"/>
    <x v="323"/>
    <n v="-1.8076147499999999E-4"/>
    <n v="0.255993453702"/>
    <d v="2017-05-29T10:12:30"/>
    <m/>
    <m/>
    <m/>
    <m/>
    <m/>
    <m/>
    <m/>
    <m/>
    <m/>
    <m/>
    <m/>
    <m/>
    <m/>
    <m/>
    <m/>
    <m/>
    <m/>
    <m/>
    <m/>
    <m/>
    <m/>
    <m/>
    <n v="-12075000000"/>
    <m/>
    <s v="JPY"/>
    <n v="117.09"/>
    <m/>
    <m/>
    <m/>
    <m/>
    <n v="0"/>
    <n v="0"/>
    <n v="0"/>
    <n v="0"/>
    <n v="0"/>
    <n v="3.2999412349121664E-3"/>
  </r>
  <r>
    <n v="1028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4855274.19030888"/>
    <x v="4"/>
    <m/>
    <m/>
    <d v="2019-06-20T00:00:00"/>
    <n v="2.4684931506849317"/>
    <n v="1"/>
    <m/>
    <n v="1"/>
    <n v="2"/>
    <s v="12"/>
    <n v="0.05"/>
    <n v="4270219.4895000001"/>
    <n v="4270219.4895000001"/>
    <n v="1119577.1250550866"/>
    <n v="-62914.85"/>
    <m/>
    <n v="-85404389.790000007"/>
    <s v="BNP FP Equity"/>
    <x v="324"/>
    <n v="-1.57287125E-4"/>
    <n v="0.262182571132"/>
    <d v="2017-05-29T10:12:30"/>
    <m/>
    <m/>
    <m/>
    <m/>
    <m/>
    <m/>
    <m/>
    <m/>
    <m/>
    <m/>
    <m/>
    <m/>
    <m/>
    <m/>
    <m/>
    <m/>
    <m/>
    <m/>
    <m/>
    <m/>
    <m/>
    <m/>
    <n v="-10000000000"/>
    <m/>
    <s v="JPY"/>
    <n v="117.09"/>
    <m/>
    <m/>
    <m/>
    <m/>
    <n v="0"/>
    <n v="0"/>
    <n v="0"/>
    <n v="0"/>
    <n v="0"/>
    <n v="2.7989428126377162E-3"/>
  </r>
  <r>
    <n v="1029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4928061.12708183"/>
    <x v="4"/>
    <m/>
    <m/>
    <d v="2019-05-20T00:00:00"/>
    <n v="2.3835616438356166"/>
    <n v="1"/>
    <m/>
    <n v="1"/>
    <n v="2"/>
    <s v="12"/>
    <n v="0.05"/>
    <n v="2656076.5225000004"/>
    <n v="2656076.5225000004"/>
    <n v="679938.20229157305"/>
    <n v="-39269.03"/>
    <m/>
    <n v="-53121530.450000003"/>
    <s v="56243Z LN Equity"/>
    <x v="325"/>
    <n v="-9.8172575000000001E-5"/>
    <n v="0.255993453702"/>
    <d v="2017-05-29T10:12:30"/>
    <m/>
    <m/>
    <m/>
    <m/>
    <m/>
    <m/>
    <m/>
    <m/>
    <m/>
    <m/>
    <m/>
    <m/>
    <m/>
    <m/>
    <m/>
    <m/>
    <m/>
    <m/>
    <m/>
    <m/>
    <m/>
    <m/>
    <n v="-6220000000"/>
    <m/>
    <s v="JPY"/>
    <n v="117.09"/>
    <m/>
    <m/>
    <m/>
    <m/>
    <n v="0"/>
    <n v="0"/>
    <n v="0"/>
    <n v="0"/>
    <n v="0"/>
    <n v="1.6998455057289326E-3"/>
  </r>
  <r>
    <n v="1030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4549066.037554808"/>
    <x v="4"/>
    <m/>
    <m/>
    <d v="2019-03-20T00:00:00"/>
    <n v="2.2164383561643834"/>
    <n v="1"/>
    <m/>
    <n v="1"/>
    <n v="2"/>
    <s v="12"/>
    <n v="0.05"/>
    <n v="4697241.4380000001"/>
    <n v="4697241.4380000001"/>
    <n v="1145257.3001930739"/>
    <n v="-47796.31"/>
    <m/>
    <n v="-93944828.760000005"/>
    <s v="BNP FP Equity"/>
    <x v="326"/>
    <n v="-1.1949077499999999E-4"/>
    <n v="0.24381486779200001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2.8631432504826848E-3"/>
  </r>
  <r>
    <n v="1031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41395257.779358119"/>
    <x v="4"/>
    <m/>
    <m/>
    <d v="2019-09-20T00:00:00"/>
    <n v="2.7205479452054795"/>
    <n v="1"/>
    <m/>
    <n v="1"/>
    <n v="2"/>
    <s v="12"/>
    <n v="0.05"/>
    <n v="6452942.1814999999"/>
    <n v="6452942.1814999999"/>
    <n v="1810374.7001653186"/>
    <n v="-89590.07"/>
    <m/>
    <n v="-129058843.63"/>
    <s v="DBK GR Equity"/>
    <x v="327"/>
    <n v="-2.2397517500000002E-4"/>
    <n v="0.28055027447100001"/>
    <d v="2017-05-29T10:12:30"/>
    <m/>
    <m/>
    <m/>
    <m/>
    <m/>
    <m/>
    <m/>
    <m/>
    <m/>
    <m/>
    <m/>
    <m/>
    <m/>
    <m/>
    <m/>
    <m/>
    <m/>
    <m/>
    <m/>
    <m/>
    <m/>
    <m/>
    <n v="-15111500000"/>
    <m/>
    <s v="JPY"/>
    <n v="117.09"/>
    <m/>
    <m/>
    <m/>
    <m/>
    <n v="0"/>
    <n v="0"/>
    <n v="0"/>
    <n v="0"/>
    <n v="0"/>
    <n v="4.5259367504132961E-3"/>
  </r>
  <r>
    <n v="1032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1418805.378346326"/>
    <x v="4"/>
    <m/>
    <m/>
    <d v="2019-02-20T00:00:00"/>
    <n v="2.1397260273972605"/>
    <n v="1"/>
    <m/>
    <n v="1"/>
    <n v="2"/>
    <s v="12"/>
    <n v="0.05"/>
    <n v="2263216.3295000005"/>
    <n v="2263216.3295000005"/>
    <n v="539154.02481586521"/>
    <n v="-20660"/>
    <m/>
    <n v="-45264326.590000004"/>
    <s v="DBK GR Equity"/>
    <x v="328"/>
    <n v="-5.1650000000000002E-5"/>
    <n v="0.23822469721"/>
    <d v="2017-05-29T10:12:30"/>
    <m/>
    <m/>
    <m/>
    <m/>
    <m/>
    <m/>
    <m/>
    <m/>
    <m/>
    <m/>
    <m/>
    <m/>
    <m/>
    <m/>
    <m/>
    <m/>
    <m/>
    <m/>
    <m/>
    <m/>
    <m/>
    <m/>
    <n v="-5300000000"/>
    <m/>
    <s v="JPY"/>
    <n v="117.09"/>
    <m/>
    <m/>
    <m/>
    <m/>
    <n v="0"/>
    <n v="0"/>
    <n v="0"/>
    <n v="0"/>
    <n v="0"/>
    <n v="1.347885062039663E-3"/>
  </r>
  <r>
    <n v="1033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798413.612029929"/>
    <x v="4"/>
    <m/>
    <m/>
    <d v="2018-08-20T00:00:00"/>
    <n v="1.6356164383561644"/>
    <n v="1"/>
    <m/>
    <n v="1"/>
    <n v="2"/>
    <s v="12"/>
    <n v="0.05"/>
    <n v="4355623.8789999997"/>
    <n v="4355623.8789999997"/>
    <n v="877611.56519959215"/>
    <n v="-17693.41"/>
    <m/>
    <n v="-87112477.579999998"/>
    <s v="BNP FP Equity"/>
    <x v="329"/>
    <n v="-4.4233524999999998E-5"/>
    <n v="0.20148929053100001"/>
    <d v="2017-05-29T10:12:30"/>
    <m/>
    <m/>
    <m/>
    <m/>
    <m/>
    <m/>
    <m/>
    <m/>
    <m/>
    <m/>
    <m/>
    <m/>
    <m/>
    <m/>
    <m/>
    <m/>
    <m/>
    <m/>
    <m/>
    <m/>
    <m/>
    <m/>
    <n v="-10200000000"/>
    <m/>
    <s v="JPY"/>
    <n v="117.09"/>
    <m/>
    <m/>
    <m/>
    <m/>
    <n v="0"/>
    <n v="0"/>
    <n v="0"/>
    <n v="0"/>
    <n v="0"/>
    <n v="2.1940289129989804E-3"/>
  </r>
  <r>
    <n v="1034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3903505.206368269"/>
    <x v="4"/>
    <m/>
    <m/>
    <d v="2019-04-20T00:00:00"/>
    <n v="2.3013698630136985"/>
    <n v="1"/>
    <m/>
    <n v="1"/>
    <n v="2"/>
    <s v="12"/>
    <n v="0.05"/>
    <n v="2562131.6935000001"/>
    <n v="2562131.6935000001"/>
    <n v="640543.13403859187"/>
    <n v="-30384.83"/>
    <m/>
    <n v="-51242633.869999997"/>
    <s v="DBK GR Equity"/>
    <x v="330"/>
    <n v="-7.5962075000000001E-5"/>
    <n v="0.25000398522200001"/>
    <d v="2017-05-29T10:12:30"/>
    <m/>
    <m/>
    <m/>
    <m/>
    <m/>
    <m/>
    <m/>
    <m/>
    <m/>
    <m/>
    <m/>
    <m/>
    <m/>
    <m/>
    <m/>
    <m/>
    <m/>
    <m/>
    <m/>
    <m/>
    <m/>
    <m/>
    <n v="-6000000000"/>
    <m/>
    <s v="JPY"/>
    <n v="117.09"/>
    <m/>
    <m/>
    <m/>
    <m/>
    <n v="0"/>
    <n v="0"/>
    <n v="0"/>
    <n v="0"/>
    <n v="0"/>
    <n v="1.6013578350964797E-3"/>
  </r>
  <r>
    <n v="1035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30529780.181465864"/>
    <x v="4"/>
    <m/>
    <m/>
    <d v="2019-11-20T00:00:00"/>
    <n v="2.8876712328767122"/>
    <n v="1"/>
    <m/>
    <n v="1"/>
    <n v="2"/>
    <s v="12"/>
    <n v="0.05"/>
    <n v="4483730.4634999996"/>
    <n v="4483730.4634999996"/>
    <n v="1312517.3088359279"/>
    <n v="-71412.37"/>
    <m/>
    <n v="-89674609.269999996"/>
    <s v="BNP FP Equity"/>
    <x v="331"/>
    <n v="-1.7853092499999998E-4"/>
    <n v="0.29272886038099999"/>
    <d v="2017-05-29T10:12:30"/>
    <m/>
    <m/>
    <m/>
    <m/>
    <m/>
    <m/>
    <m/>
    <m/>
    <m/>
    <m/>
    <m/>
    <m/>
    <m/>
    <m/>
    <m/>
    <m/>
    <m/>
    <m/>
    <m/>
    <m/>
    <m/>
    <m/>
    <n v="-10500000000"/>
    <m/>
    <s v="JPY"/>
    <n v="117.09"/>
    <m/>
    <m/>
    <m/>
    <m/>
    <n v="0"/>
    <n v="0"/>
    <n v="0"/>
    <n v="0"/>
    <n v="0"/>
    <n v="3.2812932720898197E-3"/>
  </r>
  <r>
    <n v="1036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0627946.535194855"/>
    <x v="4"/>
    <m/>
    <m/>
    <d v="2018-12-20T00:00:00"/>
    <n v="1.9698630136986301"/>
    <n v="1"/>
    <m/>
    <n v="1"/>
    <n v="2"/>
    <s v="12"/>
    <n v="0.05"/>
    <n v="4441028.2690000003"/>
    <n v="4441028.2690000003"/>
    <n v="1002990.5237544352"/>
    <n v="-40365.4"/>
    <m/>
    <n v="-88820565.379999995"/>
    <s v="UBSN SW Equity"/>
    <x v="332"/>
    <n v="-1.0091350000000001E-4"/>
    <n v="0.225846462351"/>
    <d v="2017-05-29T10:12:30"/>
    <m/>
    <m/>
    <m/>
    <m/>
    <m/>
    <m/>
    <m/>
    <m/>
    <m/>
    <m/>
    <m/>
    <m/>
    <m/>
    <m/>
    <m/>
    <m/>
    <m/>
    <m/>
    <m/>
    <m/>
    <m/>
    <m/>
    <n v="-10400000000"/>
    <m/>
    <s v="JPY"/>
    <n v="117.09"/>
    <m/>
    <m/>
    <m/>
    <m/>
    <n v="0"/>
    <n v="0"/>
    <n v="0"/>
    <n v="0"/>
    <n v="0"/>
    <n v="2.5074763093860882E-3"/>
  </r>
  <r>
    <n v="1037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5907965.827260533"/>
    <x v="4"/>
    <m/>
    <m/>
    <d v="2019-07-20T00:00:00"/>
    <n v="2.5506849315068494"/>
    <n v="1"/>
    <m/>
    <n v="1"/>
    <n v="2"/>
    <s v="12"/>
    <n v="0.05"/>
    <n v="2644973.9515000004"/>
    <n v="2644973.9515000004"/>
    <n v="709308.05929436628"/>
    <n v="-34698.879999999997"/>
    <m/>
    <n v="-52899479.030000001"/>
    <s v="56243Z LN Equity"/>
    <x v="333"/>
    <n v="-8.6747199999999988E-5"/>
    <n v="0.26817203961199998"/>
    <d v="2017-05-29T10:12:30"/>
    <m/>
    <m/>
    <m/>
    <m/>
    <m/>
    <m/>
    <m/>
    <m/>
    <m/>
    <m/>
    <m/>
    <m/>
    <m/>
    <m/>
    <m/>
    <m/>
    <m/>
    <m/>
    <m/>
    <m/>
    <m/>
    <m/>
    <n v="-6194000000"/>
    <m/>
    <s v="JPY"/>
    <n v="117.09"/>
    <m/>
    <m/>
    <m/>
    <m/>
    <n v="0"/>
    <n v="0"/>
    <n v="0"/>
    <n v="0"/>
    <n v="0"/>
    <n v="1.7732701482359157E-3"/>
  </r>
  <r>
    <n v="1038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6951752.604540769"/>
    <x v="4"/>
    <m/>
    <m/>
    <d v="2019-04-20T00:00:00"/>
    <n v="2.3013698630136985"/>
    <n v="1"/>
    <m/>
    <n v="1"/>
    <n v="2"/>
    <s v="12"/>
    <n v="0.05"/>
    <n v="1281065.8470000001"/>
    <n v="1281065.8470000001"/>
    <n v="320271.56708179694"/>
    <n v="-11201.9"/>
    <m/>
    <n v="-25621316.940000001"/>
    <s v="DBK GR Equity"/>
    <x v="334"/>
    <n v="-2.800475E-5"/>
    <n v="0.25000398522200001"/>
    <d v="2017-05-29T10:12:30"/>
    <m/>
    <m/>
    <m/>
    <m/>
    <m/>
    <m/>
    <m/>
    <m/>
    <m/>
    <m/>
    <m/>
    <m/>
    <m/>
    <m/>
    <m/>
    <m/>
    <m/>
    <m/>
    <m/>
    <m/>
    <m/>
    <m/>
    <n v="-3000000000"/>
    <m/>
    <s v="JPY"/>
    <n v="117.09"/>
    <m/>
    <m/>
    <m/>
    <m/>
    <n v="0"/>
    <n v="0"/>
    <n v="0"/>
    <n v="0"/>
    <n v="0"/>
    <n v="8.0067891770449235E-4"/>
  </r>
  <r>
    <n v="1039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0337462.586302612"/>
    <x v="4"/>
    <m/>
    <m/>
    <d v="2018-11-20T00:00:00"/>
    <n v="1.8876712328767122"/>
    <n v="1"/>
    <m/>
    <n v="1"/>
    <n v="2"/>
    <s v="12"/>
    <n v="0.05"/>
    <n v="4569134.8535000002"/>
    <n v="4569134.8535000002"/>
    <n v="1004556.253481722"/>
    <n v="-22875.83"/>
    <m/>
    <n v="-91382697.069999993"/>
    <s v="UBSN SW Equity"/>
    <x v="335"/>
    <n v="-5.7189575000000004E-5"/>
    <n v="0.21985699387099999"/>
    <d v="2017-05-29T10:12:30"/>
    <m/>
    <m/>
    <m/>
    <m/>
    <m/>
    <m/>
    <m/>
    <m/>
    <m/>
    <m/>
    <m/>
    <m/>
    <m/>
    <m/>
    <m/>
    <m/>
    <m/>
    <m/>
    <m/>
    <m/>
    <m/>
    <m/>
    <n v="-10700000000"/>
    <m/>
    <s v="JPY"/>
    <n v="117.09"/>
    <m/>
    <m/>
    <m/>
    <m/>
    <n v="0"/>
    <n v="0"/>
    <n v="0"/>
    <n v="0"/>
    <n v="0"/>
    <n v="2.5113906337043048E-3"/>
  </r>
  <r>
    <n v="1040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3304882.065909445"/>
    <x v="4"/>
    <m/>
    <m/>
    <d v="2018-11-20T00:00:00"/>
    <n v="1.8876712328767122"/>
    <n v="1"/>
    <m/>
    <n v="1"/>
    <n v="2"/>
    <s v="12"/>
    <n v="0.05"/>
    <n v="2989153.6425000001"/>
    <n v="2989153.6425000001"/>
    <n v="657186.33405859978"/>
    <n v="-14966.09"/>
    <m/>
    <n v="-59783072.850000001"/>
    <s v="DBK GR Equity"/>
    <x v="336"/>
    <n v="-3.7415225000000002E-5"/>
    <n v="0.21985699387099999"/>
    <d v="2017-05-29T10:12:30"/>
    <m/>
    <m/>
    <m/>
    <m/>
    <m/>
    <m/>
    <m/>
    <m/>
    <m/>
    <m/>
    <m/>
    <m/>
    <m/>
    <m/>
    <m/>
    <m/>
    <m/>
    <m/>
    <m/>
    <m/>
    <m/>
    <m/>
    <n v="-7000000000"/>
    <m/>
    <s v="JPY"/>
    <n v="117.09"/>
    <m/>
    <m/>
    <m/>
    <m/>
    <n v="0"/>
    <n v="0"/>
    <n v="0"/>
    <n v="0"/>
    <n v="0"/>
    <n v="1.6429658351464994E-3"/>
  </r>
  <r>
    <n v="1041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5730754.067002174"/>
    <x v="4"/>
    <m/>
    <m/>
    <d v="2019-07-20T00:00:00"/>
    <n v="2.5506849315068494"/>
    <n v="1"/>
    <m/>
    <n v="1"/>
    <n v="2"/>
    <s v="12"/>
    <n v="0.05"/>
    <n v="2615509.4370000004"/>
    <n v="2615509.4370000004"/>
    <n v="701406.50034472381"/>
    <n v="-29716.9"/>
    <m/>
    <n v="-52310188.740000002"/>
    <s v="BNP FP Equity"/>
    <x v="337"/>
    <n v="-7.4292250000000003E-5"/>
    <n v="0.26817203961199998"/>
    <d v="2017-05-29T10:12:30"/>
    <m/>
    <m/>
    <m/>
    <m/>
    <m/>
    <m/>
    <m/>
    <m/>
    <m/>
    <m/>
    <m/>
    <m/>
    <m/>
    <m/>
    <m/>
    <m/>
    <m/>
    <m/>
    <m/>
    <m/>
    <m/>
    <m/>
    <n v="-6125000000"/>
    <m/>
    <s v="JPY"/>
    <n v="117.09"/>
    <m/>
    <m/>
    <m/>
    <m/>
    <n v="0"/>
    <n v="0"/>
    <n v="0"/>
    <n v="0"/>
    <n v="0"/>
    <n v="1.7535162508618095E-3"/>
  </r>
  <r>
    <n v="1042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9914053.523067687"/>
    <x v="4"/>
    <m/>
    <m/>
    <d v="2019-10-20T00:00:00"/>
    <n v="2.8027397260273972"/>
    <n v="1"/>
    <m/>
    <n v="1"/>
    <n v="2"/>
    <s v="12"/>
    <n v="0.05"/>
    <n v="4526432.6584999999"/>
    <n v="4526432.6584999999"/>
    <n v="1297002.8504561281"/>
    <n v="-60119.18"/>
    <m/>
    <n v="-90528653.170000002"/>
    <s v="DBK GR Equity"/>
    <x v="338"/>
    <n v="-1.5029795E-4"/>
    <n v="0.28653974295200002"/>
    <d v="2017-05-29T10:12:30"/>
    <m/>
    <m/>
    <m/>
    <m/>
    <m/>
    <m/>
    <m/>
    <m/>
    <m/>
    <m/>
    <m/>
    <m/>
    <m/>
    <m/>
    <m/>
    <m/>
    <m/>
    <m/>
    <m/>
    <m/>
    <m/>
    <m/>
    <n v="-10600000000"/>
    <m/>
    <s v="JPY"/>
    <n v="117.09"/>
    <m/>
    <m/>
    <m/>
    <m/>
    <n v="0"/>
    <n v="0"/>
    <n v="0"/>
    <n v="0"/>
    <n v="0"/>
    <n v="3.2425071261403204E-3"/>
  </r>
  <r>
    <n v="1043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1818020.372066632"/>
    <x v="4"/>
    <m/>
    <m/>
    <d v="2018-12-20T00:00:00"/>
    <n v="1.9698630136986301"/>
    <n v="1"/>
    <m/>
    <n v="1"/>
    <n v="2"/>
    <s v="12"/>
    <n v="0.05"/>
    <n v="4697241.4380000001"/>
    <n v="4697241.4380000001"/>
    <n v="1060855.3615808242"/>
    <n v="-20925.27"/>
    <m/>
    <n v="-93944828.760000005"/>
    <s v="DBK GR Equity"/>
    <x v="339"/>
    <n v="-5.2313175000000004E-5"/>
    <n v="0.225846462351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2.6521384039520607E-3"/>
  </r>
  <r>
    <n v="1044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2206946.534828208"/>
    <x v="4"/>
    <m/>
    <m/>
    <d v="2019-01-20T00:00:00"/>
    <n v="2.0547945205479454"/>
    <n v="1"/>
    <m/>
    <n v="1"/>
    <n v="2"/>
    <s v="12"/>
    <n v="0.05"/>
    <n v="2519429.4985000002"/>
    <n v="2519429.4985000002"/>
    <n v="584597.28440180165"/>
    <n v="-9718.9500000000007"/>
    <m/>
    <n v="-50388589.969999999"/>
    <s v="56243Z LN Equity"/>
    <x v="340"/>
    <n v="-2.4297375E-5"/>
    <n v="0.23203557978100001"/>
    <d v="2017-05-29T10:12:30"/>
    <m/>
    <m/>
    <m/>
    <m/>
    <m/>
    <m/>
    <m/>
    <m/>
    <m/>
    <m/>
    <m/>
    <m/>
    <m/>
    <m/>
    <m/>
    <m/>
    <m/>
    <m/>
    <m/>
    <m/>
    <m/>
    <m/>
    <n v="-5900000000"/>
    <m/>
    <s v="JPY"/>
    <n v="117.09"/>
    <m/>
    <m/>
    <m/>
    <m/>
    <n v="0"/>
    <n v="0"/>
    <n v="0"/>
    <n v="0"/>
    <n v="0"/>
    <n v="1.4614932110045041E-3"/>
  </r>
  <r>
    <n v="1045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5951116.350659443"/>
    <x v="4"/>
    <m/>
    <m/>
    <d v="2018-07-20T00:00:00"/>
    <n v="1.5506849315068494"/>
    <n v="1"/>
    <m/>
    <n v="1"/>
    <n v="2"/>
    <s v="12"/>
    <n v="0.05"/>
    <n v="4362456.2305000005"/>
    <n v="4371506.5805000002"/>
    <n v="853755.99188381061"/>
    <n v="9050.35"/>
    <m/>
    <n v="-87249124.609999999"/>
    <s v="DBK GR Equity"/>
    <x v="341"/>
    <n v="2.2625875000000001E-5"/>
    <n v="0.19530017310100001"/>
    <d v="2017-05-29T10:12:30"/>
    <m/>
    <m/>
    <m/>
    <m/>
    <m/>
    <m/>
    <m/>
    <m/>
    <m/>
    <m/>
    <m/>
    <m/>
    <m/>
    <m/>
    <m/>
    <m/>
    <m/>
    <m/>
    <m/>
    <m/>
    <m/>
    <m/>
    <n v="-10216000000"/>
    <m/>
    <s v="JPY"/>
    <n v="117.09"/>
    <m/>
    <m/>
    <m/>
    <m/>
    <n v="0"/>
    <n v="0"/>
    <n v="0"/>
    <n v="0"/>
    <n v="0"/>
    <n v="2.1343899797095266E-3"/>
  </r>
  <r>
    <n v="1046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6400108.099719014"/>
    <x v="4"/>
    <m/>
    <m/>
    <d v="2019-05-20T00:00:00"/>
    <n v="2.3835616438356166"/>
    <n v="1"/>
    <m/>
    <n v="1"/>
    <n v="2"/>
    <s v="12"/>
    <n v="0.05"/>
    <n v="4697241.4380000001"/>
    <n v="4697241.4380000001"/>
    <n v="1202463.0585857688"/>
    <n v="-24606.03"/>
    <m/>
    <n v="-93944828.760000005"/>
    <s v="DBK GR Equity"/>
    <x v="342"/>
    <n v="-6.1515074999999995E-5"/>
    <n v="0.255993453702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3.0061576464644221E-3"/>
  </r>
  <r>
    <n v="1047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6117031.512513282"/>
    <x v="4"/>
    <m/>
    <m/>
    <d v="2018-06-20T00:00:00"/>
    <n v="1.4684931506849315"/>
    <n v="1"/>
    <m/>
    <n v="1"/>
    <n v="2"/>
    <s v="12"/>
    <n v="0.05"/>
    <n v="4654539.2435000008"/>
    <n v="4668722.5635000011"/>
    <n v="883839.15817614656"/>
    <n v="14183.32"/>
    <m/>
    <n v="-93090784.870000005"/>
    <s v="UBSN SW Equity"/>
    <x v="343"/>
    <n v="3.5458299999999999E-5"/>
    <n v="0.189310704621"/>
    <d v="2017-05-29T10:12:30"/>
    <m/>
    <m/>
    <m/>
    <m/>
    <m/>
    <m/>
    <m/>
    <m/>
    <m/>
    <m/>
    <m/>
    <m/>
    <m/>
    <m/>
    <m/>
    <m/>
    <m/>
    <m/>
    <m/>
    <m/>
    <m/>
    <m/>
    <n v="-10900000000"/>
    <m/>
    <s v="JPY"/>
    <n v="117.09"/>
    <m/>
    <m/>
    <m/>
    <m/>
    <n v="0"/>
    <n v="0"/>
    <n v="0"/>
    <n v="0"/>
    <n v="0"/>
    <n v="2.2095978954403666E-3"/>
  </r>
  <r>
    <n v="1048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25365621.107030638"/>
    <x v="4"/>
    <m/>
    <m/>
    <d v="2019-01-20T00:00:00"/>
    <n v="2.0547945205479454"/>
    <n v="1"/>
    <m/>
    <n v="1"/>
    <n v="2"/>
    <s v="12"/>
    <n v="0.05"/>
    <n v="5235289.0940000005"/>
    <n v="5235289.0940000005"/>
    <n v="1214773.3402474364"/>
    <n v="-9910.4"/>
    <m/>
    <n v="-104705781.88"/>
    <s v="56243Z LN Equity"/>
    <x v="344"/>
    <n v="-2.4775999999999998E-5"/>
    <n v="0.23203557978100001"/>
    <d v="2017-05-29T10:12:30"/>
    <m/>
    <m/>
    <m/>
    <m/>
    <m/>
    <m/>
    <m/>
    <m/>
    <m/>
    <m/>
    <m/>
    <m/>
    <m/>
    <m/>
    <m/>
    <m/>
    <m/>
    <m/>
    <m/>
    <m/>
    <m/>
    <m/>
    <n v="-12260000000"/>
    <m/>
    <s v="JPY"/>
    <n v="117.09"/>
    <m/>
    <m/>
    <m/>
    <m/>
    <n v="0"/>
    <n v="0"/>
    <n v="0"/>
    <n v="0"/>
    <n v="0"/>
    <n v="3.0369333506185909E-3"/>
  </r>
  <r>
    <n v="1049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862101.1583630107"/>
    <x v="4"/>
    <m/>
    <m/>
    <d v="2018-04-20T00:00:00"/>
    <n v="1.3013698630136987"/>
    <n v="1"/>
    <m/>
    <n v="1"/>
    <n v="2"/>
    <s v="12"/>
    <n v="0.05"/>
    <n v="2562131.6935000001"/>
    <n v="2574768.6435000002"/>
    <n v="456074.22501380247"/>
    <n v="12636.95"/>
    <m/>
    <n v="-51242633.869999997"/>
    <s v="56243Z LN Equity"/>
    <x v="345"/>
    <n v="3.1592375000000004E-5"/>
    <n v="0.17713211871099999"/>
    <d v="2017-05-29T10:12:30"/>
    <m/>
    <m/>
    <m/>
    <m/>
    <m/>
    <m/>
    <m/>
    <m/>
    <m/>
    <m/>
    <m/>
    <m/>
    <m/>
    <m/>
    <m/>
    <m/>
    <m/>
    <m/>
    <m/>
    <m/>
    <m/>
    <m/>
    <n v="-6000000000"/>
    <m/>
    <s v="JPY"/>
    <n v="117.09"/>
    <m/>
    <m/>
    <m/>
    <m/>
    <n v="0"/>
    <n v="0"/>
    <n v="0"/>
    <n v="0"/>
    <n v="0"/>
    <n v="1.1401855625345061E-3"/>
  </r>
  <r>
    <n v="1050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9240906.371631026"/>
    <x v="4"/>
    <m/>
    <m/>
    <d v="2018-10-20T00:00:00"/>
    <n v="1.8027397260273972"/>
    <n v="1"/>
    <m/>
    <n v="1"/>
    <n v="2"/>
    <s v="12"/>
    <n v="0.05"/>
    <n v="4526432.6584999999"/>
    <n v="4536256.8284999998"/>
    <n v="969252.36353658047"/>
    <n v="9824.17"/>
    <m/>
    <n v="-90528653.170000002"/>
    <s v="DBK GR Equity"/>
    <x v="346"/>
    <n v="2.4560425000000001E-5"/>
    <n v="0.21366787644099999"/>
    <d v="2017-05-29T10:12:30"/>
    <m/>
    <m/>
    <m/>
    <m/>
    <m/>
    <m/>
    <m/>
    <m/>
    <m/>
    <m/>
    <m/>
    <m/>
    <m/>
    <m/>
    <m/>
    <m/>
    <m/>
    <m/>
    <m/>
    <m/>
    <m/>
    <m/>
    <n v="-10600000000"/>
    <m/>
    <s v="JPY"/>
    <n v="117.09"/>
    <m/>
    <m/>
    <m/>
    <m/>
    <n v="0"/>
    <n v="0"/>
    <n v="0"/>
    <n v="0"/>
    <n v="0"/>
    <n v="2.4231309088414512E-3"/>
  </r>
  <r>
    <n v="1051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16233318.884013293"/>
    <x v="4"/>
    <m/>
    <m/>
    <d v="2019-08-20T00:00:00"/>
    <n v="2.6356164383561644"/>
    <n v="1"/>
    <m/>
    <n v="1"/>
    <n v="2"/>
    <s v="12"/>
    <n v="0.05"/>
    <n v="2612093.2615"/>
    <n v="2612093.2615"/>
    <n v="716656.9295267514"/>
    <n v="-2268.87"/>
    <m/>
    <n v="-52241865.229999997"/>
    <s v="56243Z LN Equity"/>
    <x v="347"/>
    <n v="-5.6721749999999996E-6"/>
    <n v="0.27436115704199998"/>
    <d v="2017-05-29T10:12:30"/>
    <m/>
    <m/>
    <m/>
    <m/>
    <m/>
    <m/>
    <m/>
    <m/>
    <m/>
    <m/>
    <m/>
    <m/>
    <m/>
    <m/>
    <m/>
    <m/>
    <m/>
    <m/>
    <m/>
    <m/>
    <m/>
    <m/>
    <n v="-6117000000"/>
    <m/>
    <s v="JPY"/>
    <n v="117.09"/>
    <m/>
    <m/>
    <m/>
    <m/>
    <n v="0"/>
    <n v="0"/>
    <n v="0"/>
    <n v="0"/>
    <n v="0"/>
    <n v="1.7916423238168785E-3"/>
  </r>
  <r>
    <n v="105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572895.447378894"/>
    <x v="4"/>
    <m/>
    <m/>
    <d v="2019-09-20T00:00:00"/>
    <n v="2.7205479452054795"/>
    <n v="1"/>
    <m/>
    <n v="1"/>
    <n v="2"/>
    <s v="12"/>
    <n v="0.05"/>
    <n v="2583482.7910000002"/>
    <n v="2583482.7910000002"/>
    <n v="724796.80610615516"/>
    <n v="-3866.96"/>
    <m/>
    <n v="-51669655.82"/>
    <s v="BNP FP Equity"/>
    <x v="348"/>
    <n v="-9.6674E-6"/>
    <n v="0.28055027447100001"/>
    <d v="2017-05-29T10:12:30"/>
    <m/>
    <m/>
    <m/>
    <m/>
    <m/>
    <m/>
    <m/>
    <m/>
    <m/>
    <m/>
    <m/>
    <m/>
    <m/>
    <m/>
    <m/>
    <m/>
    <m/>
    <m/>
    <m/>
    <m/>
    <m/>
    <m/>
    <n v="-6050000000"/>
    <m/>
    <s v="JPY"/>
    <n v="117.09"/>
    <m/>
    <m/>
    <m/>
    <m/>
    <n v="0"/>
    <n v="0"/>
    <n v="0"/>
    <n v="0"/>
    <n v="0"/>
    <n v="1.8119920152653878E-3"/>
  </r>
  <r>
    <n v="1053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23699407.3860696"/>
    <x v="4"/>
    <m/>
    <m/>
    <d v="2019-02-20T00:00:00"/>
    <n v="2.1397260273972605"/>
    <n v="1"/>
    <m/>
    <n v="1"/>
    <n v="2"/>
    <s v="12"/>
    <n v="0.05"/>
    <n v="4697241.4380000001"/>
    <n v="4697241.4380000001"/>
    <n v="1118998.919289815"/>
    <n v="-1701.34"/>
    <m/>
    <n v="-93944828.760000005"/>
    <s v="56243Z LN Equity"/>
    <x v="349"/>
    <n v="-4.2533499999999997E-6"/>
    <n v="0.23822469721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2.7974972982245374E-3"/>
  </r>
  <r>
    <n v="1054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2758713.879068118"/>
    <x v="4"/>
    <m/>
    <m/>
    <d v="2019-01-20T00:00:00"/>
    <n v="2.0547945205479454"/>
    <n v="1"/>
    <m/>
    <n v="1"/>
    <n v="2"/>
    <s v="12"/>
    <n v="0.05"/>
    <n v="4697241.4380000001"/>
    <n v="4702953.2879999997"/>
    <n v="1091252.4928640402"/>
    <n v="5711.85"/>
    <m/>
    <n v="-93944828.760000005"/>
    <s v="BNP FP Equity"/>
    <x v="350"/>
    <n v="1.4279625000000001E-5"/>
    <n v="0.23203557978100001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2.7281312321601006E-3"/>
  </r>
  <r>
    <n v="1055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5489759.544556286"/>
    <x v="4"/>
    <m/>
    <m/>
    <d v="2019-04-20T00:00:00"/>
    <n v="2.3013698630136985"/>
    <n v="1"/>
    <m/>
    <n v="1"/>
    <n v="2"/>
    <s v="12"/>
    <n v="0.05"/>
    <n v="4697241.4380000001"/>
    <n v="4697241.4380000001"/>
    <n v="1174329.0790499181"/>
    <n v="-4489.62"/>
    <m/>
    <n v="-93944828.760000005"/>
    <s v="DBK GR Equity"/>
    <x v="351"/>
    <n v="-1.122405E-5"/>
    <n v="0.25000398522200001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2.9358226976247954E-3"/>
  </r>
  <r>
    <n v="1056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4004195.274045251"/>
    <x v="4"/>
    <m/>
    <m/>
    <d v="2019-02-20T00:00:00"/>
    <n v="2.1397260273972605"/>
    <n v="1"/>
    <m/>
    <n v="1"/>
    <n v="2"/>
    <s v="12"/>
    <n v="0.05"/>
    <n v="2775642.6680000001"/>
    <n v="2776068.4580000001"/>
    <n v="661328.06784128165"/>
    <n v="425.79"/>
    <m/>
    <n v="-55512853.359999999"/>
    <s v="DBK GR Equity"/>
    <x v="352"/>
    <n v="1.0644750000000001E-6"/>
    <n v="0.23822469721"/>
    <d v="2017-05-29T10:12:30"/>
    <m/>
    <m/>
    <m/>
    <m/>
    <m/>
    <m/>
    <m/>
    <m/>
    <m/>
    <m/>
    <m/>
    <m/>
    <m/>
    <m/>
    <m/>
    <m/>
    <m/>
    <m/>
    <m/>
    <m/>
    <m/>
    <m/>
    <n v="-6500000000"/>
    <m/>
    <s v="JPY"/>
    <n v="117.09"/>
    <m/>
    <m/>
    <m/>
    <m/>
    <n v="0"/>
    <n v="0"/>
    <n v="0"/>
    <n v="0"/>
    <n v="0"/>
    <n v="1.6533201696032041E-3"/>
  </r>
  <r>
    <n v="1057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2497706.346961675"/>
    <x v="4"/>
    <m/>
    <m/>
    <d v="2019-03-20T00:00:00"/>
    <n v="2.2164383561643834"/>
    <n v="1"/>
    <m/>
    <n v="1"/>
    <n v="2"/>
    <s v="12"/>
    <n v="0.05"/>
    <n v="2391322.9140000003"/>
    <n v="2391322.9140000003"/>
    <n v="583040.08012489032"/>
    <n v="-887.65"/>
    <m/>
    <n v="-47826458.280000001"/>
    <s v="BNP FP Equity"/>
    <x v="353"/>
    <n v="-2.2191250000000001E-6"/>
    <n v="0.24381486779200001"/>
    <d v="2017-05-29T10:12:30"/>
    <m/>
    <m/>
    <m/>
    <m/>
    <m/>
    <m/>
    <m/>
    <m/>
    <m/>
    <m/>
    <m/>
    <m/>
    <m/>
    <m/>
    <m/>
    <m/>
    <m/>
    <m/>
    <m/>
    <m/>
    <m/>
    <m/>
    <n v="-5600000000"/>
    <m/>
    <s v="JPY"/>
    <n v="117.09"/>
    <m/>
    <m/>
    <m/>
    <m/>
    <n v="0"/>
    <n v="0"/>
    <n v="0"/>
    <n v="0"/>
    <n v="0"/>
    <n v="1.4576002003122259E-3"/>
  </r>
  <r>
    <n v="1058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4549066.037554808"/>
    <x v="4"/>
    <m/>
    <m/>
    <d v="2019-03-20T00:00:00"/>
    <n v="2.2164383561643834"/>
    <n v="1"/>
    <m/>
    <n v="1"/>
    <n v="2"/>
    <s v="12"/>
    <n v="0.05"/>
    <n v="4697241.4380000001"/>
    <n v="4707616.7079999996"/>
    <n v="1147786.9452764303"/>
    <n v="10375.27"/>
    <m/>
    <n v="-93944828.760000005"/>
    <s v="BNP FP Equity"/>
    <x v="354"/>
    <n v="2.5938175E-5"/>
    <n v="0.24381486779200001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2.8694673631910758E-3"/>
  </r>
  <r>
    <n v="1059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4549066.037554808"/>
    <x v="4"/>
    <m/>
    <m/>
    <d v="2019-03-20T00:00:00"/>
    <n v="2.2164383561643834"/>
    <n v="1"/>
    <m/>
    <n v="1"/>
    <n v="2"/>
    <s v="12"/>
    <n v="0.05"/>
    <n v="4697241.4380000001"/>
    <n v="4710040.4780000001"/>
    <n v="1148377.8964385386"/>
    <n v="12799.04"/>
    <m/>
    <n v="-93944828.760000005"/>
    <s v="DBK GR Equity"/>
    <x v="355"/>
    <n v="3.19976E-5"/>
    <n v="0.24381486779200001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2.8709447410963465E-3"/>
  </r>
  <r>
    <n v="1060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6400108.099719014"/>
    <x v="4"/>
    <m/>
    <m/>
    <d v="2019-05-20T00:00:00"/>
    <n v="2.3835616438356166"/>
    <n v="1"/>
    <m/>
    <n v="1"/>
    <n v="2"/>
    <s v="12"/>
    <n v="0.05"/>
    <n v="4697241.4380000001"/>
    <n v="4709043.7280000001"/>
    <n v="1205484.3675644614"/>
    <n v="11802.29"/>
    <m/>
    <n v="-93944828.760000005"/>
    <s v="DBK GR Equity"/>
    <x v="356"/>
    <n v="2.9505725000000003E-5"/>
    <n v="0.255993453702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3.0137109189111535E-3"/>
  </r>
  <r>
    <n v="1061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6400108.099719014"/>
    <x v="4"/>
    <m/>
    <m/>
    <d v="2019-05-20T00:00:00"/>
    <n v="2.3835616438356166"/>
    <n v="1"/>
    <m/>
    <n v="1"/>
    <n v="2"/>
    <s v="12"/>
    <n v="0.05"/>
    <n v="4697241.4380000001"/>
    <n v="4709043.7280000001"/>
    <n v="1205484.3675644614"/>
    <n v="11802.29"/>
    <m/>
    <n v="-93944828.760000005"/>
    <s v="DBK GR Equity"/>
    <x v="357"/>
    <n v="2.9505725000000003E-5"/>
    <n v="0.255993453702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3.0137109189111535E-3"/>
  </r>
  <r>
    <n v="1062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3699407.3860696"/>
    <x v="4"/>
    <m/>
    <m/>
    <d v="2019-02-20T00:00:00"/>
    <n v="2.1397260273972605"/>
    <n v="1"/>
    <m/>
    <n v="1"/>
    <n v="2"/>
    <s v="12"/>
    <n v="0.05"/>
    <n v="4697241.4380000001"/>
    <n v="4741562.7379999999"/>
    <n v="1129557.3475622686"/>
    <n v="44321.3"/>
    <m/>
    <n v="-93944828.760000005"/>
    <s v="DBK GR Equity"/>
    <x v="358"/>
    <n v="1.1080325000000001E-4"/>
    <n v="0.23822469721"/>
    <d v="2017-05-29T10:12:30"/>
    <m/>
    <m/>
    <m/>
    <m/>
    <m/>
    <m/>
    <m/>
    <m/>
    <m/>
    <m/>
    <m/>
    <m/>
    <m/>
    <m/>
    <m/>
    <m/>
    <m/>
    <m/>
    <m/>
    <m/>
    <m/>
    <m/>
    <n v="-11000000000"/>
    <m/>
    <s v="JPY"/>
    <n v="117.09"/>
    <m/>
    <m/>
    <m/>
    <m/>
    <n v="0"/>
    <n v="0"/>
    <n v="0"/>
    <n v="0"/>
    <n v="0"/>
    <n v="2.8238933689056717E-3"/>
  </r>
  <r>
    <n v="1063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6803338.2020775871"/>
    <x v="4"/>
    <m/>
    <m/>
    <d v="2018-02-22T00:00:00"/>
    <n v="1.1452054794520548"/>
    <n v="1"/>
    <m/>
    <n v="1"/>
    <n v="2"/>
    <s v="12"/>
    <n v="0.05"/>
    <n v="2519429.4985000002"/>
    <n v="2564393.2585"/>
    <n v="425053.64115873625"/>
    <n v="44963.76"/>
    <m/>
    <n v="-50388589.969999999"/>
    <s v="UBSN SW Equity"/>
    <x v="359"/>
    <n v="1.124094E-4"/>
    <n v="0.16575212859800001"/>
    <d v="2017-05-29T10:12:30"/>
    <m/>
    <m/>
    <m/>
    <m/>
    <m/>
    <m/>
    <m/>
    <m/>
    <m/>
    <m/>
    <m/>
    <m/>
    <m/>
    <m/>
    <m/>
    <m/>
    <m/>
    <m/>
    <m/>
    <m/>
    <m/>
    <m/>
    <n v="-5900000000"/>
    <m/>
    <s v="JPY"/>
    <n v="117.09"/>
    <m/>
    <m/>
    <m/>
    <m/>
    <n v="0"/>
    <n v="0"/>
    <n v="0"/>
    <n v="0"/>
    <n v="0"/>
    <n v="1.0626341028968406E-3"/>
  </r>
  <r>
    <n v="1064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7348995.6090803724"/>
    <x v="4"/>
    <m/>
    <m/>
    <d v="2018-03-20T00:00:00"/>
    <n v="1.2164383561643837"/>
    <n v="1"/>
    <m/>
    <n v="1"/>
    <n v="2"/>
    <s v="12"/>
    <n v="0.05"/>
    <n v="2562131.6935000001"/>
    <n v="2607558.8034999999"/>
    <n v="445743.92788698332"/>
    <n v="45427.11"/>
    <m/>
    <n v="-51242633.869999997"/>
    <s v="BNP FP Equity"/>
    <x v="360"/>
    <n v="1.13567775E-4"/>
    <n v="0.17094300128100001"/>
    <d v="2017-05-29T10:12:30"/>
    <m/>
    <m/>
    <m/>
    <m/>
    <m/>
    <m/>
    <m/>
    <m/>
    <m/>
    <m/>
    <m/>
    <m/>
    <m/>
    <m/>
    <m/>
    <m/>
    <m/>
    <m/>
    <m/>
    <m/>
    <m/>
    <m/>
    <n v="-6000000000"/>
    <m/>
    <s v="JPY"/>
    <n v="117.09"/>
    <m/>
    <m/>
    <m/>
    <m/>
    <n v="0"/>
    <n v="0"/>
    <n v="0"/>
    <n v="0"/>
    <n v="0"/>
    <n v="1.1143598197174583E-3"/>
  </r>
  <r>
    <n v="1065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4102719.383799393"/>
    <x v="4"/>
    <m/>
    <m/>
    <d v="2019-03-20T00:00:00"/>
    <n v="2.2164383561643834"/>
    <n v="1"/>
    <m/>
    <n v="1"/>
    <n v="2"/>
    <s v="12"/>
    <n v="0.05"/>
    <n v="4611837.0485000005"/>
    <n v="4688655.4985000007"/>
    <n v="1143163.9204890116"/>
    <n v="76818.45"/>
    <m/>
    <n v="-92236740.969999999"/>
    <s v="UBSN SW Equity"/>
    <x v="361"/>
    <n v="1.9204612499999999E-4"/>
    <n v="0.24381486779200001"/>
    <d v="2017-05-29T10:12:30"/>
    <m/>
    <m/>
    <m/>
    <m/>
    <m/>
    <m/>
    <m/>
    <m/>
    <m/>
    <m/>
    <m/>
    <m/>
    <m/>
    <m/>
    <m/>
    <m/>
    <m/>
    <m/>
    <m/>
    <m/>
    <m/>
    <m/>
    <n v="-10800000000"/>
    <m/>
    <s v="JPY"/>
    <n v="117.09"/>
    <m/>
    <m/>
    <m/>
    <m/>
    <n v="0"/>
    <n v="0"/>
    <n v="0"/>
    <n v="0"/>
    <n v="0"/>
    <n v="2.8579098012225289E-3"/>
  </r>
  <r>
    <n v="1066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33864966.252654143"/>
    <x v="4"/>
    <m/>
    <m/>
    <d v="2019-10-20T00:00:00"/>
    <n v="2.8027397260273972"/>
    <n v="1"/>
    <m/>
    <n v="1"/>
    <n v="2"/>
    <s v="12"/>
    <n v="0.05"/>
    <n v="5124263.3870000001"/>
    <n v="5311375.8670000006"/>
    <n v="1521920.2756516363"/>
    <n v="187112.48"/>
    <m/>
    <n v="-102485267.73999999"/>
    <s v="56243Z LN Equity"/>
    <x v="362"/>
    <n v="4.6778120000000003E-4"/>
    <n v="0.28653974295200002"/>
    <d v="2017-05-29T10:12:30"/>
    <m/>
    <m/>
    <m/>
    <m/>
    <m/>
    <m/>
    <m/>
    <m/>
    <m/>
    <m/>
    <m/>
    <m/>
    <m/>
    <m/>
    <m/>
    <m/>
    <m/>
    <m/>
    <m/>
    <m/>
    <m/>
    <m/>
    <n v="-12000000000"/>
    <m/>
    <s v="JPY"/>
    <n v="117.09"/>
    <m/>
    <m/>
    <m/>
    <m/>
    <n v="0"/>
    <n v="0"/>
    <n v="0"/>
    <n v="0"/>
    <n v="0"/>
    <n v="3.8048006891290907E-3"/>
  </r>
  <r>
    <n v="1067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5346512.49546035"/>
    <x v="4"/>
    <m/>
    <m/>
    <d v="2019-12-20T00:00:00"/>
    <n v="2.9698630136986299"/>
    <n v="1"/>
    <m/>
    <n v="1"/>
    <n v="2"/>
    <s v="12"/>
    <n v="0.05"/>
    <n v="2191476.6420000005"/>
    <n v="2300734.4620000003"/>
    <n v="687271.55364385271"/>
    <n v="109257.82"/>
    <m/>
    <n v="-43829532.840000004"/>
    <s v="UBSN SW Equity"/>
    <x v="363"/>
    <n v="2.7314455000000004E-4"/>
    <n v="0.298718328862"/>
    <d v="2017-05-29T10:12:30"/>
    <m/>
    <m/>
    <m/>
    <m/>
    <m/>
    <m/>
    <m/>
    <m/>
    <m/>
    <m/>
    <m/>
    <m/>
    <m/>
    <m/>
    <m/>
    <m/>
    <m/>
    <m/>
    <m/>
    <m/>
    <m/>
    <m/>
    <n v="-5132000000"/>
    <m/>
    <s v="JPY"/>
    <n v="117.09"/>
    <m/>
    <m/>
    <m/>
    <m/>
    <n v="0"/>
    <n v="0"/>
    <n v="0"/>
    <n v="0"/>
    <n v="0"/>
    <n v="1.7181788841096318E-3"/>
  </r>
  <r>
    <n v="1068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9374704.1129659731"/>
    <x v="4"/>
    <m/>
    <m/>
    <d v="2018-08-20T00:00:00"/>
    <n v="1.6356164383561644"/>
    <n v="1"/>
    <m/>
    <n v="1"/>
    <n v="2"/>
    <s v="12"/>
    <n v="0.05"/>
    <n v="2430746.5"/>
    <n v="2440490.41"/>
    <n v="491732.68125860934"/>
    <n v="9743.91"/>
    <m/>
    <n v="48614930"/>
    <s v="56243Z LN Equity"/>
    <x v="364"/>
    <n v="2.4359774999999998E-5"/>
    <n v="0.20148929053100001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2293317031465234E-3"/>
  </r>
  <r>
    <n v="106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777266.473575346"/>
    <x v="4"/>
    <m/>
    <m/>
    <d v="2019-01-20T00:00:00"/>
    <n v="2.0547945205479454"/>
    <n v="1"/>
    <m/>
    <n v="1"/>
    <n v="2"/>
    <s v="12"/>
    <n v="0.05"/>
    <n v="2430746.5"/>
    <n v="2430746.5"/>
    <n v="564019.67342813651"/>
    <n v="-1240.1600000000001"/>
    <m/>
    <n v="48614930"/>
    <s v="BNP FP Equity"/>
    <x v="365"/>
    <n v="-3.1004E-6"/>
    <n v="0.23203557978100001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4100491835703412E-3"/>
  </r>
  <r>
    <n v="1070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1777266.473575346"/>
    <x v="4"/>
    <m/>
    <m/>
    <d v="2019-01-20T00:00:00"/>
    <n v="2.0547945205479454"/>
    <n v="1"/>
    <m/>
    <n v="1"/>
    <n v="2"/>
    <s v="12"/>
    <n v="0.05"/>
    <n v="2430746.5"/>
    <n v="2431852.4900000002"/>
    <n v="564276.30245901854"/>
    <n v="1105.99"/>
    <m/>
    <n v="48614930"/>
    <s v="BNP FP Equity"/>
    <x v="366"/>
    <n v="2.7649750000000002E-6"/>
    <n v="0.23203557978100001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4106907561475463E-3"/>
  </r>
  <r>
    <n v="1071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2264060.154483126"/>
    <x v="4"/>
    <m/>
    <m/>
    <d v="2019-02-20T00:00:00"/>
    <n v="2.1397260273972605"/>
    <n v="1"/>
    <m/>
    <n v="1"/>
    <n v="2"/>
    <s v="12"/>
    <n v="0.05"/>
    <n v="2430746.5"/>
    <n v="2430746.5"/>
    <n v="579063.84895676724"/>
    <n v="-7611.16"/>
    <m/>
    <n v="48614930"/>
    <s v="DBK GR Equity"/>
    <x v="367"/>
    <n v="-1.9027900000000001E-5"/>
    <n v="0.23822469721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4476596223919182E-3"/>
  </r>
  <r>
    <n v="1072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1290472.792667564"/>
    <x v="4"/>
    <m/>
    <m/>
    <d v="2018-12-20T00:00:00"/>
    <n v="1.9698630136986301"/>
    <n v="1"/>
    <m/>
    <n v="1"/>
    <n v="2"/>
    <s v="12"/>
    <n v="0.05"/>
    <n v="2430746.5"/>
    <n v="2434006.62"/>
    <n v="549711.78446591482"/>
    <n v="3260.12"/>
    <m/>
    <n v="48614930"/>
    <s v="DBK GR Equity"/>
    <x v="368"/>
    <n v="8.1503000000000006E-6"/>
    <n v="0.225846462351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3742794611647871E-3"/>
  </r>
  <r>
    <n v="1073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7349014.279511014"/>
    <x v="4"/>
    <m/>
    <m/>
    <d v="2019-04-20T00:00:00"/>
    <n v="2.3013698630136985"/>
    <n v="1"/>
    <m/>
    <n v="1"/>
    <n v="2"/>
    <s v="12"/>
    <n v="0.05"/>
    <n v="1354273.05"/>
    <n v="1354273.05"/>
    <n v="338573.65957875288"/>
    <n v="-8345.0400000000009"/>
    <m/>
    <n v="27085461"/>
    <s v="BNP FP Equity"/>
    <x v="369"/>
    <n v="-2.0862600000000002E-5"/>
    <n v="0.25000398522200001"/>
    <d v="2017-05-29T10:12:30"/>
    <m/>
    <m/>
    <m/>
    <m/>
    <m/>
    <m/>
    <m/>
    <m/>
    <m/>
    <m/>
    <m/>
    <m/>
    <m/>
    <m/>
    <m/>
    <m/>
    <m/>
    <m/>
    <m/>
    <m/>
    <m/>
    <m/>
    <n v="39000000"/>
    <m/>
    <s v="NZD"/>
    <n v="0.69449899999999998"/>
    <m/>
    <m/>
    <m/>
    <m/>
    <n v="0"/>
    <n v="0"/>
    <n v="0"/>
    <n v="0"/>
    <n v="0"/>
    <n v="8.4643414894688225E-4"/>
  </r>
  <r>
    <n v="1074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7349014.279511014"/>
    <x v="4"/>
    <m/>
    <m/>
    <d v="2019-04-20T00:00:00"/>
    <n v="2.3013698630136985"/>
    <n v="1"/>
    <m/>
    <n v="1"/>
    <n v="2"/>
    <s v="12"/>
    <n v="0.05"/>
    <n v="1354273.05"/>
    <n v="1354273.05"/>
    <n v="338573.65957875288"/>
    <n v="-8345.0400000000009"/>
    <m/>
    <n v="27085461"/>
    <s v="56243Z LN Equity"/>
    <x v="370"/>
    <n v="-2.0862600000000002E-5"/>
    <n v="0.25000398522200001"/>
    <d v="2017-05-29T10:12:30"/>
    <m/>
    <m/>
    <m/>
    <m/>
    <m/>
    <m/>
    <m/>
    <m/>
    <m/>
    <m/>
    <m/>
    <m/>
    <m/>
    <m/>
    <m/>
    <m/>
    <m/>
    <m/>
    <m/>
    <m/>
    <m/>
    <m/>
    <n v="39000000"/>
    <m/>
    <s v="NZD"/>
    <n v="0.69449899999999998"/>
    <m/>
    <m/>
    <m/>
    <m/>
    <n v="0"/>
    <n v="0"/>
    <n v="0"/>
    <n v="0"/>
    <n v="0"/>
    <n v="8.4643414894688225E-4"/>
  </r>
  <r>
    <n v="1075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2703744.769496605"/>
    <x v="4"/>
    <m/>
    <m/>
    <d v="2019-03-20T00:00:00"/>
    <n v="2.2164383561643834"/>
    <n v="1"/>
    <m/>
    <n v="1"/>
    <n v="2"/>
    <s v="12"/>
    <n v="0.05"/>
    <n v="2430746.5"/>
    <n v="2433398.4500000002"/>
    <n v="593298.72137200774"/>
    <n v="2651.95"/>
    <m/>
    <n v="48614930"/>
    <s v="DBK GR Equity"/>
    <x v="371"/>
    <n v="6.6298749999999998E-6"/>
    <n v="0.24381486779200001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4832468034300193E-3"/>
  </r>
  <r>
    <n v="1076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9235171.5463647582"/>
    <x v="4"/>
    <m/>
    <m/>
    <d v="2020-08-20T00:00:00"/>
    <n v="3.6383561643835618"/>
    <n v="1"/>
    <m/>
    <n v="1"/>
    <n v="2"/>
    <s v="12"/>
    <n v="0.05"/>
    <n v="1076473.45"/>
    <n v="1076473.45"/>
    <n v="374002.04761094804"/>
    <n v="-22317.91"/>
    <m/>
    <n v="21529469"/>
    <s v="56243Z LN Equity"/>
    <x v="372"/>
    <n v="-5.5794775000000001E-5"/>
    <n v="0.347432672502"/>
    <d v="2017-05-29T10:12:30"/>
    <m/>
    <m/>
    <m/>
    <m/>
    <m/>
    <m/>
    <m/>
    <m/>
    <m/>
    <m/>
    <m/>
    <m/>
    <m/>
    <m/>
    <m/>
    <m/>
    <m/>
    <m/>
    <m/>
    <m/>
    <m/>
    <m/>
    <n v="31000000"/>
    <m/>
    <s v="NZD"/>
    <n v="0.69449899999999998"/>
    <m/>
    <m/>
    <m/>
    <m/>
    <n v="0"/>
    <n v="0"/>
    <n v="0"/>
    <n v="0"/>
    <n v="0"/>
    <n v="9.3500511902737014E-4"/>
  </r>
  <r>
    <n v="1077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5819091.2823722754"/>
    <x v="4"/>
    <m/>
    <m/>
    <d v="2020-07-20T00:00:00"/>
    <n v="3.5534246575342467"/>
    <n v="1"/>
    <m/>
    <n v="1"/>
    <n v="2"/>
    <s v="12"/>
    <n v="0.05"/>
    <n v="694499"/>
    <n v="694499"/>
    <n v="236993.30775394893"/>
    <n v="-14063.07"/>
    <m/>
    <n v="13889980"/>
    <s v="56243Z LN Equity"/>
    <x v="373"/>
    <n v="-3.5157675000000002E-5"/>
    <n v="0.34124355507199999"/>
    <d v="2017-05-29T10:12:30"/>
    <m/>
    <m/>
    <m/>
    <m/>
    <m/>
    <m/>
    <m/>
    <m/>
    <m/>
    <m/>
    <m/>
    <m/>
    <m/>
    <m/>
    <m/>
    <m/>
    <m/>
    <m/>
    <m/>
    <m/>
    <m/>
    <m/>
    <n v="20000000"/>
    <m/>
    <s v="NZD"/>
    <n v="0.69449899999999998"/>
    <m/>
    <m/>
    <m/>
    <m/>
    <n v="0"/>
    <n v="0"/>
    <n v="0"/>
    <n v="0"/>
    <n v="0"/>
    <n v="5.9248326938487236E-4"/>
  </r>
  <r>
    <n v="1078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2511046.25710039"/>
    <x v="4"/>
    <m/>
    <m/>
    <d v="2020-07-20T00:00:00"/>
    <n v="3.5534246575342467"/>
    <n v="1"/>
    <m/>
    <n v="1"/>
    <n v="2"/>
    <s v="12"/>
    <n v="0.05"/>
    <n v="1493172.85"/>
    <n v="1493172.85"/>
    <n v="509535.61167099024"/>
    <n v="-30235.9"/>
    <m/>
    <n v="29863457"/>
    <s v="UBSN SW Equity"/>
    <x v="374"/>
    <n v="-7.5589750000000009E-5"/>
    <n v="0.34124355507199999"/>
    <d v="2017-05-29T10:12:30"/>
    <m/>
    <m/>
    <m/>
    <m/>
    <m/>
    <m/>
    <m/>
    <m/>
    <m/>
    <m/>
    <m/>
    <m/>
    <m/>
    <m/>
    <m/>
    <m/>
    <m/>
    <m/>
    <m/>
    <m/>
    <m/>
    <m/>
    <n v="43000000"/>
    <m/>
    <s v="NZD"/>
    <n v="0.69449899999999998"/>
    <m/>
    <m/>
    <m/>
    <m/>
    <n v="0"/>
    <n v="0"/>
    <n v="0"/>
    <n v="0"/>
    <n v="0"/>
    <n v="1.2738390291774757E-3"/>
  </r>
  <r>
    <n v="107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4023695.930077884"/>
    <x v="4"/>
    <m/>
    <m/>
    <d v="2020-09-20T00:00:00"/>
    <n v="3.7232876712328768"/>
    <n v="1"/>
    <m/>
    <n v="1"/>
    <n v="2"/>
    <s v="12"/>
    <n v="0.05"/>
    <n v="1597347.7000000002"/>
    <n v="1597347.7000000002"/>
    <n v="564856.9528161661"/>
    <n v="-24970.09"/>
    <m/>
    <n v="31946954"/>
    <s v="BNP FP Equity"/>
    <x v="375"/>
    <n v="-6.2425224999999995E-5"/>
    <n v="0.35362178993100002"/>
    <d v="2017-05-29T10:12:30"/>
    <m/>
    <m/>
    <m/>
    <m/>
    <m/>
    <m/>
    <m/>
    <m/>
    <m/>
    <m/>
    <m/>
    <m/>
    <m/>
    <m/>
    <m/>
    <m/>
    <m/>
    <m/>
    <m/>
    <m/>
    <m/>
    <m/>
    <n v="46000000"/>
    <m/>
    <s v="NZD"/>
    <n v="0.69449899999999998"/>
    <m/>
    <m/>
    <m/>
    <m/>
    <n v="0"/>
    <n v="0"/>
    <n v="0"/>
    <n v="0"/>
    <n v="0"/>
    <n v="1.4121423820404153E-3"/>
  </r>
  <r>
    <n v="1080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7326581.3909899192"/>
    <x v="4"/>
    <m/>
    <m/>
    <d v="2020-11-20T00:00:00"/>
    <n v="3.8904109589041096"/>
    <n v="1"/>
    <m/>
    <n v="1"/>
    <n v="2"/>
    <s v="12"/>
    <n v="0.05"/>
    <n v="798673.85000000009"/>
    <n v="798673.85000000009"/>
    <n v="292155.19450437848"/>
    <n v="-14123.92"/>
    <m/>
    <n v="15973477"/>
    <s v="BNP FP Equity"/>
    <x v="376"/>
    <n v="-3.5309799999999999E-5"/>
    <n v="0.365800375841"/>
    <d v="2017-05-29T10:12:30"/>
    <m/>
    <m/>
    <m/>
    <m/>
    <m/>
    <m/>
    <m/>
    <m/>
    <m/>
    <m/>
    <m/>
    <m/>
    <m/>
    <m/>
    <m/>
    <m/>
    <m/>
    <m/>
    <m/>
    <m/>
    <m/>
    <m/>
    <n v="23000000"/>
    <m/>
    <s v="NZD"/>
    <n v="0.69449899999999998"/>
    <m/>
    <m/>
    <m/>
    <m/>
    <n v="0"/>
    <n v="0"/>
    <n v="0"/>
    <n v="0"/>
    <n v="0"/>
    <n v="7.3038798626094616E-4"/>
  </r>
  <r>
    <n v="1081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24209573.291966688"/>
    <x v="4"/>
    <m/>
    <m/>
    <d v="2020-11-20T00:00:00"/>
    <n v="3.8904109589041096"/>
    <n v="1"/>
    <m/>
    <n v="1"/>
    <n v="2"/>
    <s v="12"/>
    <n v="0.05"/>
    <n v="2639096.2000000002"/>
    <n v="2639096.2000000002"/>
    <n v="965382.381840555"/>
    <n v="-46669.84"/>
    <m/>
    <n v="52781924"/>
    <s v="56243Z LN Equity"/>
    <x v="377"/>
    <n v="-1.1667459999999999E-4"/>
    <n v="0.365800375841"/>
    <d v="2017-05-29T10:12:30"/>
    <m/>
    <m/>
    <m/>
    <m/>
    <m/>
    <m/>
    <m/>
    <m/>
    <m/>
    <m/>
    <m/>
    <m/>
    <m/>
    <m/>
    <m/>
    <m/>
    <m/>
    <m/>
    <m/>
    <m/>
    <m/>
    <m/>
    <n v="76000000"/>
    <m/>
    <s v="NZD"/>
    <n v="0.69449899999999998"/>
    <m/>
    <m/>
    <m/>
    <m/>
    <n v="0"/>
    <n v="0"/>
    <n v="0"/>
    <n v="0"/>
    <n v="0"/>
    <n v="2.4134559546013876E-3"/>
  </r>
  <r>
    <n v="108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263844.177794524"/>
    <x v="4"/>
    <m/>
    <m/>
    <d v="2020-12-20T00:00:00"/>
    <n v="3.9726027397260273"/>
    <n v="1"/>
    <m/>
    <n v="1"/>
    <n v="2"/>
    <s v="12"/>
    <n v="0.05"/>
    <n v="1736247.5"/>
    <n v="1736247.5"/>
    <n v="645519.1877294617"/>
    <n v="-28108.84"/>
    <m/>
    <n v="34724950"/>
    <s v="BNP FP Equity"/>
    <x v="378"/>
    <n v="-7.0272100000000001E-5"/>
    <n v="0.37178984432200002"/>
    <d v="2017-05-29T10:12:30"/>
    <m/>
    <m/>
    <m/>
    <m/>
    <m/>
    <m/>
    <m/>
    <m/>
    <m/>
    <m/>
    <m/>
    <m/>
    <m/>
    <m/>
    <m/>
    <m/>
    <m/>
    <m/>
    <m/>
    <m/>
    <m/>
    <m/>
    <n v="50000000"/>
    <m/>
    <s v="NZD"/>
    <n v="0.69449899999999998"/>
    <m/>
    <m/>
    <m/>
    <m/>
    <n v="0"/>
    <n v="0"/>
    <n v="0"/>
    <n v="0"/>
    <n v="0"/>
    <n v="1.6137979693236543E-3"/>
  </r>
  <r>
    <n v="1083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9240555.43960982"/>
    <x v="4"/>
    <m/>
    <m/>
    <d v="2019-12-20T00:00:00"/>
    <n v="2.9698630136986299"/>
    <n v="1"/>
    <m/>
    <n v="1"/>
    <n v="2"/>
    <s v="12"/>
    <n v="0.05"/>
    <n v="1319548.1000000001"/>
    <n v="1319548.1000000001"/>
    <n v="394173.2032850273"/>
    <n v="-1108.95"/>
    <m/>
    <n v="26390962"/>
    <s v="UBSN SW Equity"/>
    <x v="379"/>
    <n v="-2.7723750000000003E-6"/>
    <n v="0.298718328862"/>
    <d v="2017-05-29T10:12:30"/>
    <m/>
    <m/>
    <m/>
    <m/>
    <m/>
    <m/>
    <m/>
    <m/>
    <m/>
    <m/>
    <m/>
    <m/>
    <m/>
    <m/>
    <m/>
    <m/>
    <m/>
    <m/>
    <m/>
    <m/>
    <m/>
    <m/>
    <n v="38000000"/>
    <m/>
    <s v="NZD"/>
    <n v="0.69449899999999998"/>
    <m/>
    <m/>
    <m/>
    <m/>
    <n v="0"/>
    <n v="0"/>
    <n v="0"/>
    <n v="0"/>
    <n v="0"/>
    <n v="9.8543300821256818E-4"/>
  </r>
  <r>
    <n v="1084"/>
    <s v="MORGAN STANLEY &amp;"/>
    <s v="CC Swap"/>
    <s v="1"/>
    <s v="Brokers"/>
    <m/>
    <s v="A+"/>
    <s v="A1"/>
    <m/>
    <s v="A"/>
    <s v="A"/>
    <n v="0"/>
    <n v="8.0000000000000002E-3"/>
    <n v="8.0000000000000002E-3"/>
    <s v=""/>
    <n v="8.0000000000000002E-3"/>
    <n v="8457198.9724531528"/>
    <x v="4"/>
    <m/>
    <m/>
    <d v="2020-12-20T00:00:00"/>
    <n v="3.9726027397260273"/>
    <n v="1"/>
    <m/>
    <n v="1"/>
    <n v="2"/>
    <s v="12"/>
    <n v="0.05"/>
    <n v="902848.70000000007"/>
    <n v="902848.70000000007"/>
    <n v="335669.9776193201"/>
    <n v="-14616.96"/>
    <m/>
    <n v="18056974"/>
    <s v="56243Z LN Equity"/>
    <x v="380"/>
    <n v="-3.6542399999999998E-5"/>
    <n v="0.37178984432200002"/>
    <d v="2017-05-29T10:12:30"/>
    <m/>
    <m/>
    <m/>
    <m/>
    <m/>
    <m/>
    <m/>
    <m/>
    <m/>
    <m/>
    <m/>
    <m/>
    <m/>
    <m/>
    <m/>
    <m/>
    <m/>
    <m/>
    <m/>
    <m/>
    <m/>
    <m/>
    <n v="26000000"/>
    <m/>
    <s v="NZD"/>
    <n v="0.69449899999999998"/>
    <m/>
    <m/>
    <m/>
    <m/>
    <n v="0"/>
    <n v="0"/>
    <n v="0"/>
    <n v="0"/>
    <n v="0"/>
    <n v="8.3917494404830029E-4"/>
  </r>
  <r>
    <n v="1085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4509592.295444824"/>
    <x v="4"/>
    <m/>
    <m/>
    <d v="2021-03-20T00:00:00"/>
    <n v="4.2191780821917808"/>
    <n v="1"/>
    <m/>
    <n v="1"/>
    <n v="2"/>
    <s v="12"/>
    <n v="0.05"/>
    <n v="1458447.9000000001"/>
    <n v="1458447.9000000001"/>
    <n v="568442.10087452293"/>
    <n v="-22341.119999999999"/>
    <m/>
    <n v="29168958"/>
    <s v="UBSN SW Equity"/>
    <x v="381"/>
    <n v="-5.5852799999999995E-5"/>
    <n v="0.389758249763"/>
    <d v="2017-05-29T10:12:30"/>
    <m/>
    <m/>
    <m/>
    <m/>
    <m/>
    <m/>
    <m/>
    <m/>
    <m/>
    <m/>
    <m/>
    <m/>
    <m/>
    <m/>
    <m/>
    <m/>
    <m/>
    <m/>
    <m/>
    <m/>
    <m/>
    <m/>
    <n v="42000000"/>
    <m/>
    <s v="NZD"/>
    <n v="0.69449899999999998"/>
    <m/>
    <m/>
    <m/>
    <m/>
    <n v="0"/>
    <n v="0"/>
    <n v="0"/>
    <n v="0"/>
    <n v="0"/>
    <n v="1.4211052521863074E-3"/>
  </r>
  <r>
    <n v="108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7022075.809807561"/>
    <x v="4"/>
    <m/>
    <m/>
    <d v="2019-12-20T00:00:00"/>
    <n v="2.9698630136986299"/>
    <n v="1"/>
    <m/>
    <n v="1"/>
    <n v="2"/>
    <s v="12"/>
    <n v="0.05"/>
    <n v="2430746.5"/>
    <n v="2434360.5299999998"/>
    <n v="727188.10936921253"/>
    <n v="3614.03"/>
    <m/>
    <n v="48614930"/>
    <s v="BNP FP Equity"/>
    <x v="382"/>
    <n v="9.0350750000000009E-6"/>
    <n v="0.298718328862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8179702734230313E-3"/>
  </r>
  <r>
    <n v="1087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280893.173070554"/>
    <x v="4"/>
    <m/>
    <m/>
    <d v="2021-02-20T00:00:00"/>
    <n v="4.1424657534246574"/>
    <n v="1"/>
    <m/>
    <n v="1"/>
    <n v="2"/>
    <s v="12"/>
    <n v="0.05"/>
    <n v="1666797.6"/>
    <n v="1666797.6"/>
    <n v="640330.43237550079"/>
    <n v="-20882"/>
    <m/>
    <n v="33335952"/>
    <s v="BNP FP Equity"/>
    <x v="383"/>
    <n v="-5.2204999999999999E-5"/>
    <n v="0.38416807918099999"/>
    <d v="2017-05-29T10:12:30"/>
    <m/>
    <m/>
    <m/>
    <m/>
    <m/>
    <m/>
    <m/>
    <m/>
    <m/>
    <m/>
    <m/>
    <m/>
    <m/>
    <m/>
    <m/>
    <m/>
    <m/>
    <m/>
    <m/>
    <m/>
    <m/>
    <m/>
    <n v="48000000"/>
    <m/>
    <s v="NZD"/>
    <n v="0.69449899999999998"/>
    <m/>
    <m/>
    <m/>
    <m/>
    <n v="0"/>
    <n v="0"/>
    <n v="0"/>
    <n v="0"/>
    <n v="0"/>
    <n v="1.6008260809387521E-3"/>
  </r>
  <r>
    <n v="1088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2957012.080899775"/>
    <x v="4"/>
    <m/>
    <m/>
    <d v="2021-01-20T00:00:00"/>
    <n v="4.0575342465753428"/>
    <n v="1"/>
    <m/>
    <n v="1"/>
    <n v="2"/>
    <s v="12"/>
    <n v="0.05"/>
    <n v="1354273.05"/>
    <n v="1354273.05"/>
    <n v="511886.72136636009"/>
    <n v="-19012.939999999999"/>
    <m/>
    <n v="27085461"/>
    <s v="UBSN SW Equity"/>
    <x v="384"/>
    <n v="-4.7532349999999996E-5"/>
    <n v="0.37797896175099999"/>
    <d v="2017-05-29T10:12:30"/>
    <m/>
    <m/>
    <m/>
    <m/>
    <m/>
    <m/>
    <m/>
    <m/>
    <m/>
    <m/>
    <m/>
    <m/>
    <m/>
    <m/>
    <m/>
    <m/>
    <m/>
    <m/>
    <m/>
    <m/>
    <m/>
    <m/>
    <n v="39000000"/>
    <m/>
    <s v="NZD"/>
    <n v="0.69449899999999998"/>
    <m/>
    <m/>
    <m/>
    <m/>
    <n v="0"/>
    <n v="0"/>
    <n v="0"/>
    <n v="0"/>
    <n v="0"/>
    <n v="1.2797168034159002E-3"/>
  </r>
  <r>
    <n v="1089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3391985.789323827"/>
    <x v="4"/>
    <m/>
    <m/>
    <d v="2021-04-20T00:00:00"/>
    <n v="4.3041095890410963"/>
    <n v="1"/>
    <m/>
    <n v="1"/>
    <n v="2"/>
    <s v="12"/>
    <n v="0.05"/>
    <n v="1319548.1000000001"/>
    <n v="1319548.1000000001"/>
    <n v="522471.59607820603"/>
    <n v="-17552.12"/>
    <m/>
    <n v="26390962"/>
    <s v="UBSN SW Equity"/>
    <x v="385"/>
    <n v="-4.3880300000000001E-5"/>
    <n v="0.39594736719200002"/>
    <d v="2017-05-29T10:12:30"/>
    <m/>
    <m/>
    <m/>
    <m/>
    <m/>
    <m/>
    <m/>
    <m/>
    <m/>
    <m/>
    <m/>
    <m/>
    <m/>
    <m/>
    <m/>
    <m/>
    <m/>
    <m/>
    <m/>
    <m/>
    <m/>
    <m/>
    <n v="38000000"/>
    <m/>
    <s v="NZD"/>
    <n v="0.69449899999999998"/>
    <m/>
    <m/>
    <m/>
    <m/>
    <n v="0"/>
    <n v="0"/>
    <n v="0"/>
    <n v="0"/>
    <n v="0"/>
    <n v="1.3061789901955151E-3"/>
  </r>
  <r>
    <n v="1090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6064191.469956769"/>
    <x v="4"/>
    <m/>
    <m/>
    <d v="2019-10-20T00:00:00"/>
    <n v="2.8027397260273972"/>
    <n v="1"/>
    <m/>
    <n v="1"/>
    <n v="2"/>
    <s v="12"/>
    <n v="0.05"/>
    <n v="2430746.5"/>
    <n v="2439167.59"/>
    <n v="698918.45425544935"/>
    <n v="8421.09"/>
    <m/>
    <n v="48614930"/>
    <s v="UBSN SW Equity"/>
    <x v="386"/>
    <n v="2.1052725000000001E-5"/>
    <n v="0.28653974295200002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7472961356386233E-3"/>
  </r>
  <r>
    <n v="1091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6550985.150864549"/>
    <x v="4"/>
    <m/>
    <m/>
    <d v="2019-11-20T00:00:00"/>
    <n v="2.8876712328767122"/>
    <n v="1"/>
    <m/>
    <n v="1"/>
    <n v="2"/>
    <s v="12"/>
    <n v="0.05"/>
    <n v="2430746.5"/>
    <n v="2440997.46"/>
    <n v="714550.40465871559"/>
    <n v="10250.959999999999"/>
    <m/>
    <n v="48614930"/>
    <s v="UBSN SW Equity"/>
    <x v="387"/>
    <n v="2.5627399999999998E-5"/>
    <n v="0.29272886038099999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1.7863760116467889E-3"/>
  </r>
  <r>
    <n v="1092"/>
    <s v="DEUTSCHE BANK-RG"/>
    <s v="CC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22298291.18996932"/>
    <x v="4"/>
    <m/>
    <m/>
    <d v="2020-11-20T00:00:00"/>
    <n v="3.8904109589041096"/>
    <n v="1"/>
    <m/>
    <n v="1"/>
    <n v="2"/>
    <s v="12"/>
    <n v="0.05"/>
    <n v="2430746.5"/>
    <n v="2455943.66"/>
    <n v="898385.11387232121"/>
    <n v="25197.16"/>
    <m/>
    <n v="48614930"/>
    <s v="DBK GR Equity"/>
    <x v="388"/>
    <n v="6.2992900000000005E-5"/>
    <n v="0.365800375841"/>
    <d v="2017-05-29T10:12:30"/>
    <m/>
    <m/>
    <m/>
    <m/>
    <m/>
    <m/>
    <m/>
    <m/>
    <m/>
    <m/>
    <m/>
    <m/>
    <m/>
    <m/>
    <m/>
    <m/>
    <m/>
    <m/>
    <m/>
    <m/>
    <m/>
    <m/>
    <n v="70000000"/>
    <m/>
    <s v="NZD"/>
    <n v="0.69449899999999998"/>
    <m/>
    <m/>
    <m/>
    <m/>
    <n v="0"/>
    <n v="0"/>
    <n v="0"/>
    <n v="0"/>
    <n v="0"/>
    <n v="2.2459627846808032E-3"/>
  </r>
  <r>
    <n v="1093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0269502.499441437"/>
    <x v="4"/>
    <m/>
    <m/>
    <d v="2020-07-20T00:00:00"/>
    <n v="3.5534246575342467"/>
    <n v="1"/>
    <m/>
    <n v="1"/>
    <n v="2"/>
    <s v="12"/>
    <n v="0.05"/>
    <n v="2419131.8769999999"/>
    <n v="2419131.8769999999"/>
    <n v="825513.16189548012"/>
    <n v="-9253.98"/>
    <m/>
    <n v="-48382637.539999999"/>
    <s v="BNP FP Equity"/>
    <x v="389"/>
    <n v="-2.3134949999999998E-5"/>
    <n v="0.34124355507199999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0637829047387003E-3"/>
  </r>
  <r>
    <n v="1094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3145052.584173296"/>
    <x v="4"/>
    <m/>
    <m/>
    <d v="2021-01-20T00:00:00"/>
    <n v="4.0575342465753428"/>
    <n v="1"/>
    <m/>
    <n v="1"/>
    <n v="2"/>
    <s v="12"/>
    <n v="0.05"/>
    <n v="2419131.8769999999"/>
    <n v="2419131.8769999999"/>
    <n v="914380.95520720771"/>
    <n v="-16262.93"/>
    <m/>
    <n v="-48382637.539999999"/>
    <s v="BNP FP Equity"/>
    <x v="390"/>
    <n v="-4.0657325000000003E-5"/>
    <n v="0.37797896175099999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2859523880180191E-3"/>
  </r>
  <r>
    <n v="1095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23629520.261492252"/>
    <x v="4"/>
    <m/>
    <m/>
    <d v="2021-02-20T00:00:00"/>
    <n v="4.1424657534246574"/>
    <n v="1"/>
    <m/>
    <n v="1"/>
    <n v="2"/>
    <s v="12"/>
    <n v="0.05"/>
    <n v="2419131.8769999999"/>
    <n v="2419131.8769999999"/>
    <n v="929353.24647261703"/>
    <n v="-27281.01"/>
    <m/>
    <n v="-48382637.539999999"/>
    <s v="UBSN SW Equity"/>
    <x v="391"/>
    <n v="-6.8202524999999998E-5"/>
    <n v="0.38416807918099999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3233831161815427E-3"/>
  </r>
  <r>
    <n v="109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4551571.647357363"/>
    <x v="4"/>
    <m/>
    <m/>
    <d v="2021-04-20T00:00:00"/>
    <n v="4.3041095890410963"/>
    <n v="1"/>
    <m/>
    <n v="1"/>
    <n v="2"/>
    <s v="12"/>
    <n v="0.05"/>
    <n v="2419131.8769999999"/>
    <n v="2419131.8769999999"/>
    <n v="957848.89758839121"/>
    <n v="-29811.03"/>
    <m/>
    <n v="-48382637.539999999"/>
    <s v="BNP FP Equity"/>
    <x v="392"/>
    <n v="-7.4527574999999993E-5"/>
    <n v="0.39594736719200002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3946222439709779E-3"/>
  </r>
  <r>
    <n v="1097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6010205.565174565"/>
    <x v="4"/>
    <m/>
    <m/>
    <d v="2020-08-20T00:00:00"/>
    <n v="3.6383561643835618"/>
    <n v="1"/>
    <m/>
    <n v="1"/>
    <n v="2"/>
    <s v="12"/>
    <n v="0.05"/>
    <n v="1866187.4480000001"/>
    <n v="1890848.4680000001"/>
    <n v="656942.53653355245"/>
    <n v="24661.02"/>
    <m/>
    <n v="-37323748.960000001"/>
    <s v="UBSN SW Equity"/>
    <x v="393"/>
    <n v="6.1652549999999996E-5"/>
    <n v="0.347432672502"/>
    <d v="2017-05-29T10:12:30"/>
    <m/>
    <m/>
    <m/>
    <m/>
    <m/>
    <m/>
    <m/>
    <m/>
    <m/>
    <m/>
    <m/>
    <m/>
    <m/>
    <m/>
    <m/>
    <m/>
    <m/>
    <m/>
    <m/>
    <m/>
    <m/>
    <m/>
    <n v="-54000000"/>
    <m/>
    <s v="SGD"/>
    <n v="1.4468000000000001"/>
    <m/>
    <m/>
    <m/>
    <m/>
    <n v="0"/>
    <n v="0"/>
    <n v="0"/>
    <n v="0"/>
    <n v="0"/>
    <n v="1.6423563413338811E-3"/>
  </r>
  <r>
    <n v="1098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3145052.584173296"/>
    <x v="4"/>
    <m/>
    <m/>
    <d v="2021-01-20T00:00:00"/>
    <n v="4.0575342465753428"/>
    <n v="1"/>
    <m/>
    <n v="1"/>
    <n v="2"/>
    <s v="12"/>
    <n v="0.05"/>
    <n v="2419131.8769999999"/>
    <n v="2439045.8869999996"/>
    <n v="921908.03203130665"/>
    <n v="19914.009999999998"/>
    <m/>
    <n v="-48382637.539999999"/>
    <s v="BNP FP Equity"/>
    <x v="394"/>
    <n v="4.9785024999999993E-5"/>
    <n v="0.37797896175099999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3047700800782668E-3"/>
  </r>
  <r>
    <n v="109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2660584.906854343"/>
    <x v="4"/>
    <m/>
    <m/>
    <d v="2020-12-20T00:00:00"/>
    <n v="3.9726027397260273"/>
    <n v="1"/>
    <m/>
    <n v="1"/>
    <n v="2"/>
    <s v="12"/>
    <n v="0.05"/>
    <n v="2419131.8769999999"/>
    <n v="2445734.0469999998"/>
    <n v="909299.08058714494"/>
    <n v="26602.17"/>
    <m/>
    <n v="-48382637.539999999"/>
    <s v="BNP FP Equity"/>
    <x v="395"/>
    <n v="6.6505424999999997E-5"/>
    <n v="0.37178984432200002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2732477014678625E-3"/>
  </r>
  <r>
    <n v="1100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3629520.261492252"/>
    <x v="4"/>
    <m/>
    <m/>
    <d v="2021-02-20T00:00:00"/>
    <n v="4.1424657534246574"/>
    <n v="1"/>
    <m/>
    <n v="1"/>
    <n v="2"/>
    <s v="12"/>
    <n v="0.05"/>
    <n v="2419131.8769999999"/>
    <n v="2444479.9369999999"/>
    <n v="939091.1619937818"/>
    <n v="25348.06"/>
    <m/>
    <n v="-48382637.539999999"/>
    <s v="BNP FP Equity"/>
    <x v="396"/>
    <n v="6.3370150000000009E-5"/>
    <n v="0.38416807918099999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3477279049844545E-3"/>
  </r>
  <r>
    <n v="1101"/>
    <s v="UBS AG-REG"/>
    <s v="CC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18421381.104566228"/>
    <x v="4"/>
    <m/>
    <m/>
    <d v="2020-02-20T00:00:00"/>
    <n v="3.1397260273972605"/>
    <n v="1"/>
    <m/>
    <n v="1"/>
    <n v="2"/>
    <s v="12"/>
    <n v="0.05"/>
    <n v="2488249.9309999999"/>
    <n v="2742343.8709999998"/>
    <n v="853133.75480944512"/>
    <n v="254093.94"/>
    <m/>
    <n v="-49764998.619999997"/>
    <s v="UBSN SW Equity"/>
    <x v="397"/>
    <n v="6.3523485E-4"/>
    <n v="0.31109656372099997"/>
    <d v="2017-05-29T10:12:30"/>
    <m/>
    <m/>
    <m/>
    <m/>
    <m/>
    <m/>
    <m/>
    <m/>
    <m/>
    <m/>
    <m/>
    <m/>
    <m/>
    <m/>
    <m/>
    <m/>
    <m/>
    <m/>
    <m/>
    <m/>
    <m/>
    <m/>
    <n v="-72000000"/>
    <m/>
    <s v="SGD"/>
    <n v="1.4468000000000001"/>
    <m/>
    <m/>
    <m/>
    <m/>
    <n v="0"/>
    <n v="0"/>
    <n v="0"/>
    <n v="0"/>
    <n v="0"/>
    <n v="2.1328343870236129E-3"/>
  </r>
  <r>
    <n v="110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5020411.335085381"/>
    <x v="4"/>
    <m/>
    <m/>
    <d v="2021-05-20T00:00:00"/>
    <n v="4.3863013698630136"/>
    <n v="1"/>
    <m/>
    <n v="1"/>
    <n v="2"/>
    <s v="12"/>
    <n v="0.05"/>
    <n v="2419131.8769999999"/>
    <n v="2423102.7769999998"/>
    <n v="973934.26269783883"/>
    <n v="3970.9"/>
    <m/>
    <n v="-48382637.539999999"/>
    <s v="BNP FP Equity"/>
    <x v="398"/>
    <n v="9.9272500000000005E-6"/>
    <n v="0.40193683567299998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4348356567445973E-3"/>
  </r>
  <r>
    <n v="1103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5504879.012404338"/>
    <x v="4"/>
    <m/>
    <m/>
    <d v="2021-06-20T00:00:00"/>
    <n v="4.4712328767123291"/>
    <n v="1"/>
    <m/>
    <n v="1"/>
    <n v="2"/>
    <s v="12"/>
    <n v="0.05"/>
    <n v="2419131.8769999999"/>
    <n v="2426460.6469999999"/>
    <n v="990301.5642213705"/>
    <n v="7328.77"/>
    <m/>
    <n v="-48382637.539999999"/>
    <s v="BNP FP Equity"/>
    <x v="399"/>
    <n v="1.8321925E-5"/>
    <n v="0.40812595310200001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4757539105534263E-3"/>
  </r>
  <r>
    <n v="1104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3308030.193386585"/>
    <x v="4"/>
    <m/>
    <m/>
    <d v="2020-12-20T00:00:00"/>
    <n v="3.9726027397260273"/>
    <n v="1"/>
    <m/>
    <n v="1"/>
    <n v="2"/>
    <s v="12"/>
    <n v="0.05"/>
    <n v="2488249.9309999999"/>
    <n v="2694642.9609999997"/>
    <n v="1001840.886973563"/>
    <n v="206393.03"/>
    <m/>
    <n v="-49764998.619999997"/>
    <s v="BNP FP Equity"/>
    <x v="400"/>
    <n v="5.1598257499999999E-4"/>
    <n v="0.37178984432200002"/>
    <d v="2017-05-29T10:12:30"/>
    <m/>
    <m/>
    <m/>
    <m/>
    <m/>
    <m/>
    <m/>
    <m/>
    <m/>
    <m/>
    <m/>
    <m/>
    <m/>
    <m/>
    <m/>
    <m/>
    <m/>
    <m/>
    <m/>
    <m/>
    <m/>
    <m/>
    <n v="-72000000"/>
    <m/>
    <s v="SGD"/>
    <n v="1.4468000000000001"/>
    <m/>
    <m/>
    <m/>
    <m/>
    <n v="0"/>
    <n v="0"/>
    <n v="0"/>
    <n v="0"/>
    <n v="0"/>
    <n v="2.5046022174339076E-3"/>
  </r>
  <r>
    <n v="1105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3806339.804417606"/>
    <x v="4"/>
    <m/>
    <m/>
    <d v="2021-01-20T00:00:00"/>
    <n v="4.0575342465753428"/>
    <n v="1"/>
    <m/>
    <n v="1"/>
    <n v="2"/>
    <s v="12"/>
    <n v="0.05"/>
    <n v="2488249.9309999999"/>
    <n v="2686686.7609999999"/>
    <n v="1015511.0724729371"/>
    <n v="198436.83"/>
    <m/>
    <n v="-49764998.619999997"/>
    <s v="BNP FP Equity"/>
    <x v="401"/>
    <n v="4.9609207499999998E-4"/>
    <n v="0.37797896175099999"/>
    <d v="2017-05-29T10:12:30"/>
    <m/>
    <m/>
    <m/>
    <m/>
    <m/>
    <m/>
    <m/>
    <m/>
    <m/>
    <m/>
    <m/>
    <m/>
    <m/>
    <m/>
    <m/>
    <m/>
    <m/>
    <m/>
    <m/>
    <m/>
    <m/>
    <m/>
    <n v="-72000000"/>
    <m/>
    <s v="SGD"/>
    <n v="1.4468000000000001"/>
    <m/>
    <m/>
    <m/>
    <m/>
    <n v="0"/>
    <n v="0"/>
    <n v="0"/>
    <n v="0"/>
    <n v="0"/>
    <n v="2.5387776811823426E-3"/>
  </r>
  <r>
    <n v="110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2825795.085937206"/>
    <x v="4"/>
    <m/>
    <m/>
    <d v="2020-11-20T00:00:00"/>
    <n v="3.8904109589041096"/>
    <n v="1"/>
    <m/>
    <n v="1"/>
    <n v="2"/>
    <s v="12"/>
    <n v="0.05"/>
    <n v="2488249.9309999999"/>
    <n v="2726557.8709999998"/>
    <n v="997375.89396403672"/>
    <n v="238307.94"/>
    <m/>
    <n v="-49764998.619999997"/>
    <s v="BNP FP Equity"/>
    <x v="402"/>
    <n v="5.9576984999999997E-4"/>
    <n v="0.365800375841"/>
    <d v="2017-05-29T10:12:30"/>
    <m/>
    <m/>
    <m/>
    <m/>
    <m/>
    <m/>
    <m/>
    <m/>
    <m/>
    <m/>
    <m/>
    <m/>
    <m/>
    <m/>
    <m/>
    <m/>
    <m/>
    <m/>
    <m/>
    <m/>
    <m/>
    <m/>
    <n v="-72000000"/>
    <m/>
    <s v="SGD"/>
    <n v="1.4468000000000001"/>
    <m/>
    <m/>
    <m/>
    <m/>
    <n v="0"/>
    <n v="0"/>
    <n v="0"/>
    <n v="0"/>
    <n v="0"/>
    <n v="2.4934397349100916E-3"/>
  </r>
  <r>
    <n v="1107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346940.756425783"/>
    <x v="4"/>
    <m/>
    <m/>
    <d v="2020-08-20T00:00:00"/>
    <n v="3.6383561643835618"/>
    <n v="1"/>
    <m/>
    <n v="1"/>
    <n v="2"/>
    <s v="12"/>
    <n v="0.05"/>
    <n v="2488249.9309999999"/>
    <n v="2802934.8509999998"/>
    <n v="973831.14613192505"/>
    <n v="314684.92"/>
    <m/>
    <n v="-49764998.619999997"/>
    <s v="BNP FP Equity"/>
    <x v="403"/>
    <n v="7.8671229999999995E-4"/>
    <n v="0.347432672502"/>
    <d v="2017-05-29T10:12:30"/>
    <m/>
    <m/>
    <m/>
    <m/>
    <m/>
    <m/>
    <m/>
    <m/>
    <m/>
    <m/>
    <m/>
    <m/>
    <m/>
    <m/>
    <m/>
    <m/>
    <m/>
    <m/>
    <m/>
    <m/>
    <m/>
    <m/>
    <n v="-72000000"/>
    <m/>
    <s v="SGD"/>
    <n v="1.4468000000000001"/>
    <m/>
    <m/>
    <m/>
    <m/>
    <n v="0"/>
    <n v="0"/>
    <n v="0"/>
    <n v="0"/>
    <n v="0"/>
    <n v="2.4345778653298124E-3"/>
  </r>
  <r>
    <n v="1108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4642213.987542935"/>
    <x v="4"/>
    <m/>
    <m/>
    <d v="2021-02-20T00:00:00"/>
    <n v="4.1424657534246574"/>
    <n v="1"/>
    <m/>
    <n v="1"/>
    <n v="2"/>
    <s v="12"/>
    <n v="0.05"/>
    <n v="2522808.9575"/>
    <n v="2783735.9575"/>
    <n v="1069422.4957398567"/>
    <n v="260927"/>
    <m/>
    <n v="-50456179.149999999"/>
    <s v="BNP FP Equity"/>
    <x v="404"/>
    <n v="6.5231749999999998E-4"/>
    <n v="0.38416807918099999"/>
    <d v="2017-05-29T10:12:30"/>
    <m/>
    <m/>
    <m/>
    <m/>
    <m/>
    <m/>
    <m/>
    <m/>
    <m/>
    <m/>
    <m/>
    <m/>
    <m/>
    <m/>
    <m/>
    <m/>
    <m/>
    <m/>
    <m/>
    <m/>
    <m/>
    <m/>
    <n v="-73000000"/>
    <m/>
    <s v="SGD"/>
    <n v="1.4468000000000001"/>
    <m/>
    <m/>
    <m/>
    <m/>
    <n v="0"/>
    <n v="0"/>
    <n v="0"/>
    <n v="0"/>
    <n v="0"/>
    <n v="2.6735562393496418E-3"/>
  </r>
  <r>
    <n v="1109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845250.367456801"/>
    <x v="4"/>
    <m/>
    <m/>
    <d v="2020-09-20T00:00:00"/>
    <n v="3.7232876712328768"/>
    <n v="1"/>
    <m/>
    <n v="1"/>
    <n v="2"/>
    <s v="12"/>
    <n v="0.05"/>
    <n v="2488249.9309999999"/>
    <n v="2831060.0009999997"/>
    <n v="1001124.5049556786"/>
    <n v="342810.07"/>
    <m/>
    <n v="-49764998.619999997"/>
    <s v="BNP FP Equity"/>
    <x v="405"/>
    <n v="8.5702517500000003E-4"/>
    <n v="0.35362178993100002"/>
    <d v="2017-05-29T10:12:30"/>
    <m/>
    <m/>
    <m/>
    <m/>
    <m/>
    <m/>
    <m/>
    <m/>
    <m/>
    <m/>
    <m/>
    <m/>
    <m/>
    <m/>
    <m/>
    <m/>
    <m/>
    <m/>
    <m/>
    <m/>
    <m/>
    <m/>
    <n v="-72000000"/>
    <m/>
    <s v="SGD"/>
    <n v="1.4468000000000001"/>
    <m/>
    <m/>
    <m/>
    <m/>
    <n v="0"/>
    <n v="0"/>
    <n v="0"/>
    <n v="0"/>
    <n v="0"/>
    <n v="2.5028112623891965E-3"/>
  </r>
  <r>
    <n v="1110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5851246.587711211"/>
    <x v="4"/>
    <m/>
    <m/>
    <d v="2020-11-20T00:00:00"/>
    <n v="3.8904109589041096"/>
    <n v="1"/>
    <m/>
    <n v="1"/>
    <n v="2"/>
    <s v="12"/>
    <n v="0.05"/>
    <n v="1727951.341"/>
    <n v="1817461.281"/>
    <n v="664828.01966626535"/>
    <n v="89509.94"/>
    <m/>
    <n v="-34559026.82"/>
    <s v="BNP FP Equity"/>
    <x v="406"/>
    <n v="2.2377485000000001E-4"/>
    <n v="0.365800375841"/>
    <d v="2017-05-29T10:12:30"/>
    <m/>
    <m/>
    <m/>
    <m/>
    <m/>
    <m/>
    <m/>
    <m/>
    <m/>
    <m/>
    <m/>
    <m/>
    <m/>
    <m/>
    <m/>
    <m/>
    <m/>
    <m/>
    <m/>
    <m/>
    <m/>
    <m/>
    <n v="-50000000"/>
    <m/>
    <s v="SGD"/>
    <n v="1.4468000000000001"/>
    <m/>
    <m/>
    <m/>
    <m/>
    <n v="0"/>
    <n v="0"/>
    <n v="0"/>
    <n v="0"/>
    <n v="0"/>
    <n v="1.6620700491656634E-3"/>
  </r>
  <r>
    <n v="1111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2508770.152531765"/>
    <x v="4"/>
    <m/>
    <m/>
    <d v="2020-11-20T00:00:00"/>
    <n v="3.8904109589041096"/>
    <n v="1"/>
    <m/>
    <n v="1"/>
    <n v="2"/>
    <s v="12"/>
    <n v="0.05"/>
    <n v="2453690.9040000001"/>
    <n v="2591155.8340000003"/>
    <n v="947845.77793979994"/>
    <n v="137464.93"/>
    <m/>
    <n v="-49073818.079999998"/>
    <s v="BNP FP Equity"/>
    <x v="407"/>
    <n v="3.4366232500000001E-4"/>
    <n v="0.365800375841"/>
    <d v="2017-05-29T10:12:30"/>
    <m/>
    <m/>
    <m/>
    <m/>
    <m/>
    <m/>
    <m/>
    <m/>
    <m/>
    <m/>
    <m/>
    <m/>
    <m/>
    <m/>
    <m/>
    <m/>
    <m/>
    <m/>
    <m/>
    <m/>
    <m/>
    <m/>
    <n v="-71000000"/>
    <m/>
    <s v="SGD"/>
    <n v="1.4468000000000001"/>
    <m/>
    <m/>
    <m/>
    <m/>
    <n v="0"/>
    <n v="0"/>
    <n v="0"/>
    <n v="0"/>
    <n v="0"/>
    <n v="2.3696144448495E-3"/>
  </r>
  <r>
    <n v="1112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845250.367456801"/>
    <x v="4"/>
    <m/>
    <m/>
    <d v="2020-09-20T00:00:00"/>
    <n v="3.7232876712328768"/>
    <n v="1"/>
    <m/>
    <n v="1"/>
    <n v="2"/>
    <s v="12"/>
    <n v="0.05"/>
    <n v="2488249.9309999999"/>
    <n v="2641501.0609999998"/>
    <n v="934092.33329545555"/>
    <n v="153251.13"/>
    <m/>
    <n v="-49764998.619999997"/>
    <s v="BNP FP Equity"/>
    <x v="408"/>
    <n v="3.8312782499999999E-4"/>
    <n v="0.35362178993100002"/>
    <d v="2017-05-29T10:12:30"/>
    <m/>
    <m/>
    <m/>
    <m/>
    <m/>
    <m/>
    <m/>
    <m/>
    <m/>
    <m/>
    <m/>
    <m/>
    <m/>
    <m/>
    <m/>
    <m/>
    <m/>
    <m/>
    <m/>
    <m/>
    <m/>
    <m/>
    <n v="-72000000"/>
    <m/>
    <s v="SGD"/>
    <n v="1.4468000000000001"/>
    <m/>
    <m/>
    <m/>
    <m/>
    <n v="0"/>
    <n v="0"/>
    <n v="0"/>
    <n v="0"/>
    <n v="0"/>
    <n v="2.3352308332386389E-3"/>
  </r>
  <r>
    <n v="1113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1707277.541807365"/>
    <x v="4"/>
    <m/>
    <m/>
    <d v="2020-10-20T00:00:00"/>
    <n v="3.8054794520547945"/>
    <n v="1"/>
    <m/>
    <n v="1"/>
    <n v="2"/>
    <s v="12"/>
    <n v="0.05"/>
    <n v="2419131.8769999999"/>
    <n v="2561767.8569999998"/>
    <n v="921240.56281518238"/>
    <n v="142635.98000000001"/>
    <m/>
    <n v="-48382637.539999999"/>
    <s v="BNP FP Equity"/>
    <x v="409"/>
    <n v="3.5658995000000004E-4"/>
    <n v="0.35961125841199998"/>
    <d v="2017-05-29T10:12:30"/>
    <m/>
    <m/>
    <m/>
    <m/>
    <m/>
    <m/>
    <m/>
    <m/>
    <m/>
    <m/>
    <m/>
    <m/>
    <m/>
    <m/>
    <m/>
    <m/>
    <m/>
    <m/>
    <m/>
    <m/>
    <m/>
    <m/>
    <n v="-70000000"/>
    <m/>
    <s v="SGD"/>
    <n v="1.4468000000000001"/>
    <m/>
    <m/>
    <m/>
    <m/>
    <n v="0"/>
    <n v="0"/>
    <n v="0"/>
    <n v="0"/>
    <n v="0"/>
    <n v="2.303101407037956E-3"/>
  </r>
  <r>
    <n v="1114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2327485.47490618"/>
    <x v="4"/>
    <m/>
    <m/>
    <d v="2020-10-20T00:00:00"/>
    <n v="3.8054794520547945"/>
    <n v="1"/>
    <m/>
    <n v="1"/>
    <n v="2"/>
    <s v="12"/>
    <n v="0.05"/>
    <n v="2488249.9309999999"/>
    <n v="2896030.9610000001"/>
    <n v="1041445.3382853237"/>
    <n v="407781.03"/>
    <m/>
    <n v="-49764998.619999997"/>
    <s v="BNP FP Equity"/>
    <x v="410"/>
    <n v="1.019452575E-3"/>
    <n v="0.35961125841199998"/>
    <d v="2017-05-29T10:12:30"/>
    <m/>
    <m/>
    <m/>
    <m/>
    <m/>
    <m/>
    <m/>
    <m/>
    <m/>
    <m/>
    <m/>
    <m/>
    <m/>
    <m/>
    <m/>
    <m/>
    <m/>
    <m/>
    <m/>
    <m/>
    <m/>
    <m/>
    <n v="-72000000"/>
    <m/>
    <s v="SGD"/>
    <n v="1.4468000000000001"/>
    <m/>
    <m/>
    <m/>
    <m/>
    <n v="0"/>
    <n v="0"/>
    <n v="0"/>
    <n v="0"/>
    <n v="0"/>
    <n v="2.6036133457133094E-3"/>
  </r>
  <r>
    <n v="1115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0457484.891217243"/>
    <x v="4"/>
    <m/>
    <m/>
    <d v="2020-08-20T00:00:00"/>
    <n v="3.6383561643835618"/>
    <n v="1"/>
    <m/>
    <n v="1"/>
    <n v="2"/>
    <s v="12"/>
    <n v="0.05"/>
    <n v="2384572.8505000002"/>
    <n v="2551172.9805000001"/>
    <n v="886360.84663000773"/>
    <n v="166600.13"/>
    <m/>
    <n v="-47691457.009999998"/>
    <s v="BNP FP Equity"/>
    <x v="411"/>
    <n v="4.1650032499999999E-4"/>
    <n v="0.347432672502"/>
    <d v="2017-05-29T10:12:30"/>
    <m/>
    <m/>
    <m/>
    <m/>
    <m/>
    <m/>
    <m/>
    <m/>
    <m/>
    <m/>
    <m/>
    <m/>
    <m/>
    <m/>
    <m/>
    <m/>
    <m/>
    <m/>
    <m/>
    <m/>
    <m/>
    <m/>
    <n v="-69000000"/>
    <m/>
    <s v="SGD"/>
    <n v="1.4468000000000001"/>
    <m/>
    <m/>
    <m/>
    <m/>
    <n v="0"/>
    <n v="0"/>
    <n v="0"/>
    <n v="0"/>
    <n v="0"/>
    <n v="2.2159021165750192E-3"/>
  </r>
  <r>
    <n v="1116"/>
    <s v="BNP PARIBAS"/>
    <s v="CC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4410919.742886562"/>
    <x v="4"/>
    <m/>
    <m/>
    <d v="2021-03-20T00:00:00"/>
    <n v="4.2191780821917808"/>
    <n v="1"/>
    <m/>
    <n v="1"/>
    <n v="2"/>
    <s v="12"/>
    <n v="0.05"/>
    <n v="2453690.9040000001"/>
    <n v="2617326.824"/>
    <n v="1020124.7219799915"/>
    <n v="163635.92000000001"/>
    <m/>
    <n v="-49073818.079999998"/>
    <s v="BNP FP Equity"/>
    <x v="412"/>
    <n v="4.0908980000000001E-4"/>
    <n v="0.389758249763"/>
    <d v="2017-05-29T10:12:30"/>
    <m/>
    <m/>
    <m/>
    <m/>
    <m/>
    <m/>
    <m/>
    <m/>
    <m/>
    <m/>
    <m/>
    <m/>
    <m/>
    <m/>
    <m/>
    <m/>
    <m/>
    <m/>
    <m/>
    <m/>
    <m/>
    <m/>
    <n v="-71000000"/>
    <m/>
    <s v="SGD"/>
    <n v="1.4468000000000001"/>
    <m/>
    <m/>
    <m/>
    <m/>
    <n v="0"/>
    <n v="0"/>
    <n v="0"/>
    <n v="0"/>
    <n v="0"/>
    <n v="2.5503118049499786E-3"/>
  </r>
  <r>
    <n v="1117"/>
    <s v="UBS AG-REG"/>
    <s v="IR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304886.96497784444"/>
    <x v="5"/>
    <m/>
    <m/>
    <d v="2017-01-20T00:00:00"/>
    <n v="5.4794520547945202E-2"/>
    <n v="2"/>
    <m/>
    <n v="2"/>
    <n v="1"/>
    <s v="21"/>
    <n v="0"/>
    <n v="0"/>
    <n v="16098.19"/>
    <n v="2497.9679629272478"/>
    <n v="16098.19"/>
    <m/>
    <n v="-47194923.670000002"/>
    <s v="UBSN SW Equity"/>
    <x v="413"/>
    <n v="4.024547500000000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-328000000"/>
    <m/>
    <s v="CNY"/>
    <n v="6.9499000000000004"/>
    <m/>
    <m/>
    <m/>
    <m/>
    <n v="0"/>
    <n v="0"/>
    <n v="0"/>
    <n v="0"/>
    <n v="0"/>
    <n v="6.2449199073181198E-6"/>
  </r>
  <r>
    <n v="1118"/>
    <s v="BNP PARIBAS"/>
    <s v="IR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2895961.4001431051"/>
    <x v="5"/>
    <m/>
    <m/>
    <d v="2017-07-20T00:00:00"/>
    <n v="0.55068493150684927"/>
    <n v="2"/>
    <m/>
    <n v="2"/>
    <n v="1"/>
    <s v="21"/>
    <n v="0"/>
    <n v="0"/>
    <n v="239261"/>
    <n v="37126.305055284858"/>
    <n v="239261"/>
    <m/>
    <n v="-44604958.340000004"/>
    <s v="BNP FP Equity"/>
    <x v="414"/>
    <n v="5.981524999999999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-310000000"/>
    <m/>
    <s v="CNY"/>
    <n v="6.9499000000000004"/>
    <m/>
    <m/>
    <m/>
    <m/>
    <n v="0"/>
    <n v="0"/>
    <n v="0"/>
    <n v="0"/>
    <n v="0"/>
    <n v="9.2815762638212142E-5"/>
  </r>
  <r>
    <n v="1119"/>
    <s v="BNP PARIBAS"/>
    <s v="IR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771001.50329003448"/>
    <x v="5"/>
    <m/>
    <m/>
    <d v="2017-02-22T00:00:00"/>
    <n v="0.14520547945205478"/>
    <n v="2"/>
    <m/>
    <n v="2"/>
    <n v="1"/>
    <s v="21"/>
    <n v="0"/>
    <n v="0"/>
    <n v="57899.08"/>
    <n v="8984.2427579101586"/>
    <n v="57899.08"/>
    <m/>
    <n v="-45036619.229999997"/>
    <s v="BNP FP Equity"/>
    <x v="415"/>
    <n v="1.44747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-313000000"/>
    <m/>
    <s v="CNY"/>
    <n v="6.9499000000000004"/>
    <m/>
    <m/>
    <m/>
    <m/>
    <n v="0"/>
    <n v="0"/>
    <n v="0"/>
    <n v="0"/>
    <n v="0"/>
    <n v="2.2460606894775396E-5"/>
  </r>
  <r>
    <n v="1120"/>
    <s v="MORGAN STANLEY &amp;"/>
    <s v="IR Swap"/>
    <s v="1"/>
    <s v="Brokers"/>
    <m/>
    <s v="A+"/>
    <s v="A1"/>
    <m/>
    <s v="A"/>
    <s v="A"/>
    <n v="0"/>
    <n v="8.0000000000000002E-3"/>
    <n v="8.0000000000000002E-3"/>
    <s v=""/>
    <n v="8.0000000000000002E-3"/>
    <n v="2463728.3553456273"/>
    <x v="5"/>
    <m/>
    <m/>
    <d v="2017-06-20T00:00:00"/>
    <n v="0.46849315068493153"/>
    <n v="2"/>
    <m/>
    <n v="2"/>
    <n v="1"/>
    <s v="21"/>
    <n v="0"/>
    <n v="0"/>
    <n v="180609.94"/>
    <n v="28025.377008608571"/>
    <n v="180609.94"/>
    <m/>
    <n v="-44604958.340000004"/>
    <s v="56243Z LN Equity"/>
    <x v="416"/>
    <n v="4.5152484999999999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-310000000"/>
    <m/>
    <s v="CNY"/>
    <n v="6.9499000000000004"/>
    <m/>
    <m/>
    <m/>
    <m/>
    <n v="0"/>
    <n v="0"/>
    <n v="0"/>
    <n v="0"/>
    <n v="0"/>
    <n v="7.006344252152143E-5"/>
  </r>
  <r>
    <n v="1121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1991060.6067892059"/>
    <x v="5"/>
    <m/>
    <m/>
    <d v="2017-05-20T00:00:00"/>
    <n v="0.38356164383561642"/>
    <n v="2"/>
    <m/>
    <n v="2"/>
    <n v="1"/>
    <s v="21"/>
    <n v="0"/>
    <n v="0"/>
    <n v="125770.01"/>
    <n v="19515.824802480252"/>
    <n v="125770.01"/>
    <m/>
    <n v="-44029410.5"/>
    <s v="1128007Z LN Equity"/>
    <x v="417"/>
    <n v="3.1442502499999997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-306000000"/>
    <m/>
    <s v="CNY"/>
    <n v="6.9499000000000004"/>
    <m/>
    <m/>
    <m/>
    <m/>
    <n v="0"/>
    <n v="0"/>
    <n v="0"/>
    <n v="0"/>
    <n v="0"/>
    <n v="4.8789562006200634E-5"/>
  </r>
  <r>
    <n v="1122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1589966.9317244433"/>
    <x v="5"/>
    <m/>
    <m/>
    <d v="2017-04-20T00:00:00"/>
    <n v="0.30136986301369861"/>
    <n v="2"/>
    <m/>
    <n v="2"/>
    <n v="1"/>
    <s v="21"/>
    <n v="0"/>
    <n v="0"/>
    <n v="32845.65"/>
    <n v="5096.6836285024192"/>
    <n v="32845.65"/>
    <m/>
    <n v="-44748845.310000002"/>
    <s v="1128007Z LN Equity"/>
    <x v="418"/>
    <n v="8.211412500000000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-311000000"/>
    <m/>
    <s v="CNY"/>
    <n v="6.9499000000000004"/>
    <m/>
    <m/>
    <m/>
    <m/>
    <n v="0"/>
    <n v="0"/>
    <n v="0"/>
    <n v="0"/>
    <n v="0"/>
    <n v="1.2741709071256049E-5"/>
  </r>
  <r>
    <n v="1123"/>
    <s v="DEUTSCHE BANK-RG"/>
    <s v="IR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1099638.0481648205"/>
    <x v="5"/>
    <m/>
    <m/>
    <d v="2019-04-25T00:00:00"/>
    <n v="2.3150684931506849"/>
    <n v="2"/>
    <m/>
    <n v="2"/>
    <n v="2"/>
    <s v="22"/>
    <n v="5.0000000000000001E-3"/>
    <n v="20144.174750000002"/>
    <n v="20144.174750000002"/>
    <n v="5056.2327831150787"/>
    <n v="-71698.759999999995"/>
    <m/>
    <n v="4028834.95"/>
    <s v="DBK GR Equity"/>
    <x v="419"/>
    <n v="-1.7924689999999999E-4"/>
    <n v="0.25100222996799998"/>
    <d v="2017-05-29T10:12:30"/>
    <m/>
    <m/>
    <m/>
    <m/>
    <m/>
    <m/>
    <m/>
    <m/>
    <m/>
    <m/>
    <m/>
    <m/>
    <m/>
    <m/>
    <m/>
    <m/>
    <m/>
    <m/>
    <m/>
    <m/>
    <m/>
    <m/>
    <n v="28000000"/>
    <m/>
    <s v="CNY"/>
    <n v="6.9499000000000004"/>
    <m/>
    <m/>
    <m/>
    <m/>
    <n v="0"/>
    <n v="0"/>
    <n v="0"/>
    <n v="0"/>
    <n v="0"/>
    <n v="1.2640581957787698E-5"/>
  </r>
  <r>
    <n v="1124"/>
    <s v="MORGAN STANLEY &amp;"/>
    <s v="IR Swap"/>
    <s v="1"/>
    <s v="Brokers"/>
    <m/>
    <s v="A+"/>
    <s v="A1"/>
    <m/>
    <s v="A"/>
    <s v="A"/>
    <n v="0"/>
    <n v="8.0000000000000002E-3"/>
    <n v="8.0000000000000002E-3"/>
    <s v=""/>
    <n v="8.0000000000000002E-3"/>
    <n v="6051634.4409180079"/>
    <x v="5"/>
    <m/>
    <m/>
    <d v="2018-02-20T00:00:00"/>
    <n v="1.1397260273972603"/>
    <n v="2"/>
    <m/>
    <n v="2"/>
    <n v="2"/>
    <s v="22"/>
    <n v="5.0000000000000001E-3"/>
    <n v="225183.09615"/>
    <n v="225183.09615"/>
    <n v="37234.662373967592"/>
    <n v="-551288.75"/>
    <m/>
    <n v="45036619.229999997"/>
    <s v="56243Z LN Equity"/>
    <x v="420"/>
    <n v="-1.378221875E-3"/>
    <n v="0.165352830699"/>
    <d v="2017-05-29T10:12:30"/>
    <m/>
    <m/>
    <m/>
    <m/>
    <m/>
    <m/>
    <m/>
    <m/>
    <m/>
    <m/>
    <m/>
    <m/>
    <m/>
    <m/>
    <m/>
    <m/>
    <m/>
    <m/>
    <m/>
    <m/>
    <m/>
    <m/>
    <n v="313000000"/>
    <m/>
    <s v="CNY"/>
    <n v="6.9499000000000004"/>
    <m/>
    <m/>
    <m/>
    <m/>
    <n v="0"/>
    <n v="0"/>
    <n v="0"/>
    <n v="0"/>
    <n v="0"/>
    <n v="9.308665593491898E-5"/>
  </r>
  <r>
    <n v="1125"/>
    <s v="UBS AG-REG"/>
    <s v="IR Swap"/>
    <s v="1"/>
    <s v="Banks"/>
    <m/>
    <s v="A+"/>
    <s v="A1"/>
    <s v="A+"/>
    <s v="A"/>
    <s v="A"/>
    <s v="A"/>
    <n v="8.0000000000000002E-3"/>
    <n v="8.0000000000000002E-3"/>
    <n v="8.0000000000000002E-3"/>
    <n v="8.0000000000000002E-3"/>
    <n v="5869074.0758235054"/>
    <x v="5"/>
    <m/>
    <m/>
    <d v="2018-01-20T00:00:00"/>
    <n v="1.0547945205479452"/>
    <n v="2"/>
    <m/>
    <n v="2"/>
    <n v="2"/>
    <s v="22"/>
    <n v="5.0000000000000001E-3"/>
    <n v="235974.61835"/>
    <n v="235974.61835"/>
    <n v="37558.596494057085"/>
    <n v="-533269.6"/>
    <m/>
    <n v="47194923.670000002"/>
    <s v="UBSN SW Equity"/>
    <x v="421"/>
    <n v="-1.3331739999999999E-3"/>
    <n v="0.15916371327000001"/>
    <d v="2017-05-29T10:12:30"/>
    <m/>
    <m/>
    <m/>
    <m/>
    <m/>
    <m/>
    <m/>
    <m/>
    <m/>
    <m/>
    <m/>
    <m/>
    <m/>
    <m/>
    <m/>
    <m/>
    <m/>
    <m/>
    <m/>
    <m/>
    <m/>
    <m/>
    <n v="328000000"/>
    <m/>
    <s v="CNY"/>
    <n v="6.9499000000000004"/>
    <m/>
    <m/>
    <m/>
    <m/>
    <n v="0"/>
    <n v="0"/>
    <n v="0"/>
    <n v="0"/>
    <n v="0"/>
    <n v="9.3896491235142716E-5"/>
  </r>
  <r>
    <n v="1126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3513636.3655605433"/>
    <x v="5"/>
    <m/>
    <m/>
    <d v="2019-04-20T00:00:00"/>
    <n v="2.3013698630136985"/>
    <n v="2"/>
    <m/>
    <n v="2"/>
    <n v="2"/>
    <s v="22"/>
    <n v="5.0000000000000001E-3"/>
    <n v="64749.133099999999"/>
    <n v="64749.133099999999"/>
    <n v="16187.541314669712"/>
    <n v="-228937.39"/>
    <m/>
    <n v="12949826.619999999"/>
    <s v="1128007Z LN Equity"/>
    <x v="422"/>
    <n v="-5.7234347500000006E-4"/>
    <n v="0.25000398522200001"/>
    <d v="2017-05-29T10:12:30"/>
    <m/>
    <m/>
    <m/>
    <m/>
    <m/>
    <m/>
    <m/>
    <m/>
    <m/>
    <m/>
    <m/>
    <m/>
    <m/>
    <m/>
    <m/>
    <m/>
    <m/>
    <m/>
    <m/>
    <m/>
    <m/>
    <m/>
    <n v="90000000"/>
    <m/>
    <s v="CNY"/>
    <n v="6.9499000000000004"/>
    <m/>
    <m/>
    <m/>
    <m/>
    <n v="0"/>
    <n v="0"/>
    <n v="0"/>
    <n v="0"/>
    <n v="0"/>
    <n v="4.0468853286674282E-5"/>
  </r>
  <r>
    <n v="1127"/>
    <s v="DEUTSCHE BANK-RG"/>
    <s v="IR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485216.45066951524"/>
    <x v="5"/>
    <m/>
    <m/>
    <d v="2019-05-20T00:00:00"/>
    <n v="2.3835616438356166"/>
    <n v="2"/>
    <m/>
    <n v="2"/>
    <n v="2"/>
    <s v="22"/>
    <n v="5.0000000000000001E-3"/>
    <n v="8633.2177499999998"/>
    <n v="8633.2177499999998"/>
    <n v="2210.0472283839094"/>
    <n v="-30827.67"/>
    <m/>
    <n v="1726643.55"/>
    <s v="DBK GR Equity"/>
    <x v="423"/>
    <n v="-7.7069174999999996E-5"/>
    <n v="0.255993453702"/>
    <d v="2017-05-29T10:12:30"/>
    <m/>
    <m/>
    <m/>
    <m/>
    <m/>
    <m/>
    <m/>
    <m/>
    <m/>
    <m/>
    <m/>
    <m/>
    <m/>
    <m/>
    <m/>
    <m/>
    <m/>
    <m/>
    <m/>
    <m/>
    <m/>
    <m/>
    <n v="12000000"/>
    <m/>
    <s v="CNY"/>
    <n v="6.9499000000000004"/>
    <m/>
    <m/>
    <m/>
    <m/>
    <n v="0"/>
    <n v="0"/>
    <n v="0"/>
    <n v="0"/>
    <n v="0"/>
    <n v="5.5251180709597734E-6"/>
  </r>
  <r>
    <n v="1128"/>
    <s v="BNP PARIBAS"/>
    <s v="IR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6162727.275609309"/>
    <x v="5"/>
    <m/>
    <m/>
    <d v="2019-04-20T00:00:00"/>
    <n v="2.3013698630136985"/>
    <n v="2"/>
    <m/>
    <n v="2"/>
    <n v="2"/>
    <s v="22"/>
    <n v="5.0000000000000001E-3"/>
    <n v="297846.01215000002"/>
    <n v="297846.01215000002"/>
    <n v="74462.690019980248"/>
    <n v="-457157.89"/>
    <m/>
    <n v="59569202.43"/>
    <s v="BNP FP Equity"/>
    <x v="424"/>
    <n v="-1.1428947250000001E-3"/>
    <n v="0.25000398522200001"/>
    <d v="2017-05-29T10:12:30"/>
    <m/>
    <m/>
    <m/>
    <m/>
    <m/>
    <m/>
    <m/>
    <m/>
    <m/>
    <m/>
    <m/>
    <m/>
    <m/>
    <m/>
    <m/>
    <m/>
    <m/>
    <m/>
    <m/>
    <m/>
    <m/>
    <m/>
    <n v="414000000"/>
    <m/>
    <s v="CNY"/>
    <n v="6.9499000000000004"/>
    <m/>
    <m/>
    <m/>
    <m/>
    <n v="0"/>
    <n v="0"/>
    <n v="0"/>
    <n v="0"/>
    <n v="0"/>
    <n v="1.8615672504995062E-4"/>
  </r>
  <r>
    <n v="1129"/>
    <s v="MORGAN STANLEY &amp;"/>
    <s v="IR Swap"/>
    <s v="1"/>
    <s v="Brokers"/>
    <m/>
    <s v="A+"/>
    <s v="A1"/>
    <m/>
    <s v="A"/>
    <s v="A"/>
    <n v="0"/>
    <n v="8.0000000000000002E-3"/>
    <n v="8.0000000000000002E-3"/>
    <s v=""/>
    <n v="8.0000000000000002E-3"/>
    <n v="4099242.4246784556"/>
    <x v="5"/>
    <m/>
    <m/>
    <d v="2019-04-20T00:00:00"/>
    <n v="2.3013698630136985"/>
    <n v="2"/>
    <m/>
    <n v="2"/>
    <n v="2"/>
    <s v="22"/>
    <n v="5.0000000000000001E-3"/>
    <n v="75540.655250000011"/>
    <n v="75540.655250000011"/>
    <n v="18885.464858781201"/>
    <n v="-113116.09"/>
    <m/>
    <n v="15108131.050000001"/>
    <s v="56243Z LN Equity"/>
    <x v="425"/>
    <n v="-2.8279022500000002E-4"/>
    <n v="0.25000398522200001"/>
    <d v="2017-05-29T10:12:30"/>
    <m/>
    <m/>
    <m/>
    <m/>
    <m/>
    <m/>
    <m/>
    <m/>
    <m/>
    <m/>
    <m/>
    <m/>
    <m/>
    <m/>
    <m/>
    <m/>
    <m/>
    <m/>
    <m/>
    <m/>
    <m/>
    <m/>
    <n v="105000000"/>
    <m/>
    <s v="CNY"/>
    <n v="6.9499000000000004"/>
    <m/>
    <m/>
    <m/>
    <m/>
    <n v="0"/>
    <n v="0"/>
    <n v="0"/>
    <n v="0"/>
    <n v="0"/>
    <n v="4.7213662146953001E-5"/>
  </r>
  <r>
    <n v="1130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25220101.016013715"/>
    <x v="5"/>
    <m/>
    <m/>
    <d v="2019-04-20T00:00:00"/>
    <n v="2.3013698630136985"/>
    <n v="2"/>
    <m/>
    <n v="2"/>
    <n v="2"/>
    <s v="22"/>
    <n v="5.0000000000000001E-3"/>
    <n v="464754.88854999997"/>
    <n v="464754.88854999997"/>
    <n v="116190.57428890646"/>
    <n v="-669832.63"/>
    <m/>
    <n v="92950977.709999993"/>
    <s v="1128007Z LN Equity"/>
    <x v="426"/>
    <n v="-1.6745815749999999E-3"/>
    <n v="0.25000398522200001"/>
    <d v="2017-05-29T10:12:30"/>
    <m/>
    <m/>
    <m/>
    <m/>
    <m/>
    <m/>
    <m/>
    <m/>
    <m/>
    <m/>
    <m/>
    <m/>
    <m/>
    <m/>
    <m/>
    <m/>
    <m/>
    <m/>
    <m/>
    <m/>
    <m/>
    <m/>
    <n v="646000000"/>
    <m/>
    <s v="CNY"/>
    <n v="6.9499000000000004"/>
    <m/>
    <m/>
    <m/>
    <m/>
    <n v="0"/>
    <n v="0"/>
    <n v="0"/>
    <n v="0"/>
    <n v="0"/>
    <n v="2.9047643572226612E-4"/>
  </r>
  <r>
    <n v="1131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7836431.578714625"/>
    <x v="5"/>
    <m/>
    <m/>
    <d v="2020-07-20T00:00:00"/>
    <n v="3.5534246575342467"/>
    <n v="2"/>
    <m/>
    <n v="2"/>
    <n v="2"/>
    <s v="22"/>
    <n v="5.0000000000000001E-3"/>
    <n v="93526.525550000006"/>
    <n v="93526.525550000006"/>
    <n v="31915.32407221424"/>
    <n v="-177681.69"/>
    <m/>
    <n v="18705305.109999999"/>
    <s v="1128007Z LN Equity"/>
    <x v="427"/>
    <n v="-4.4420422499999999E-4"/>
    <n v="0.34124355507199999"/>
    <d v="2017-05-29T10:12:30"/>
    <m/>
    <m/>
    <m/>
    <m/>
    <m/>
    <m/>
    <m/>
    <m/>
    <m/>
    <m/>
    <m/>
    <m/>
    <m/>
    <m/>
    <m/>
    <m/>
    <m/>
    <m/>
    <m/>
    <m/>
    <m/>
    <m/>
    <n v="130000000"/>
    <m/>
    <s v="CNY"/>
    <n v="6.9499000000000004"/>
    <m/>
    <m/>
    <m/>
    <m/>
    <n v="0"/>
    <n v="0"/>
    <n v="0"/>
    <n v="0"/>
    <n v="0"/>
    <n v="7.9788310180535597E-5"/>
  </r>
  <r>
    <n v="1132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4320471.3823607927"/>
    <x v="5"/>
    <m/>
    <m/>
    <d v="2020-08-20T00:00:00"/>
    <n v="3.6383561643835618"/>
    <n v="2"/>
    <m/>
    <n v="2"/>
    <n v="2"/>
    <s v="22"/>
    <n v="5.0000000000000001E-3"/>
    <n v="50360.436849999998"/>
    <n v="50360.436849999998"/>
    <n v="17496.861163163703"/>
    <n v="-98096.09"/>
    <m/>
    <n v="10072087.369999999"/>
    <s v="1128007Z LN Equity"/>
    <x v="428"/>
    <n v="-2.45240225E-4"/>
    <n v="0.347432672502"/>
    <d v="2017-05-29T10:12:30"/>
    <m/>
    <m/>
    <m/>
    <m/>
    <m/>
    <m/>
    <m/>
    <m/>
    <m/>
    <m/>
    <m/>
    <m/>
    <m/>
    <m/>
    <m/>
    <m/>
    <m/>
    <m/>
    <m/>
    <m/>
    <m/>
    <m/>
    <n v="70000000"/>
    <m/>
    <s v="CNY"/>
    <n v="6.9499000000000004"/>
    <m/>
    <m/>
    <m/>
    <m/>
    <n v="0"/>
    <n v="0"/>
    <n v="0"/>
    <n v="0"/>
    <n v="0"/>
    <n v="4.3742152907909257E-5"/>
  </r>
  <r>
    <n v="1133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5052943.7232721653"/>
    <x v="5"/>
    <m/>
    <m/>
    <d v="2020-09-20T00:00:00"/>
    <n v="3.7232876712328768"/>
    <n v="2"/>
    <m/>
    <n v="2"/>
    <n v="2"/>
    <s v="22"/>
    <n v="5.0000000000000001E-3"/>
    <n v="57554.784950000001"/>
    <n v="57554.784950000001"/>
    <n v="20352.62607311278"/>
    <n v="-113160.76"/>
    <m/>
    <n v="11510956.99"/>
    <s v="1128007Z LN Equity"/>
    <x v="429"/>
    <n v="-2.8290189999999999E-4"/>
    <n v="0.35362178993100002"/>
    <d v="2017-05-29T10:12:30"/>
    <m/>
    <m/>
    <m/>
    <m/>
    <m/>
    <m/>
    <m/>
    <m/>
    <m/>
    <m/>
    <m/>
    <m/>
    <m/>
    <m/>
    <m/>
    <m/>
    <m/>
    <m/>
    <m/>
    <m/>
    <m/>
    <m/>
    <n v="80000000"/>
    <m/>
    <s v="CNY"/>
    <n v="6.9499000000000004"/>
    <m/>
    <m/>
    <m/>
    <m/>
    <n v="0"/>
    <n v="0"/>
    <n v="0"/>
    <n v="0"/>
    <n v="0"/>
    <n v="5.0881565182781953E-5"/>
  </r>
  <r>
    <n v="1134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5052943.7232721653"/>
    <x v="5"/>
    <m/>
    <m/>
    <d v="2020-09-20T00:00:00"/>
    <n v="3.7232876712328768"/>
    <n v="2"/>
    <m/>
    <n v="2"/>
    <n v="2"/>
    <s v="22"/>
    <n v="5.0000000000000001E-3"/>
    <n v="57554.784950000001"/>
    <n v="57554.784950000001"/>
    <n v="20352.62607311278"/>
    <n v="-112136.29"/>
    <m/>
    <n v="11510956.99"/>
    <s v="1128007Z LN Equity"/>
    <x v="430"/>
    <n v="-2.8034072499999999E-4"/>
    <n v="0.35362178993100002"/>
    <d v="2017-05-29T10:12:30"/>
    <m/>
    <m/>
    <m/>
    <m/>
    <m/>
    <m/>
    <m/>
    <m/>
    <m/>
    <m/>
    <m/>
    <m/>
    <m/>
    <m/>
    <m/>
    <m/>
    <m/>
    <m/>
    <m/>
    <m/>
    <m/>
    <m/>
    <n v="80000000"/>
    <m/>
    <s v="CNY"/>
    <n v="6.9499000000000004"/>
    <m/>
    <m/>
    <m/>
    <m/>
    <n v="0"/>
    <n v="0"/>
    <n v="0"/>
    <n v="0"/>
    <n v="0"/>
    <n v="5.0881565182781953E-5"/>
  </r>
  <r>
    <n v="1135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25822438.67860372"/>
    <x v="5"/>
    <m/>
    <m/>
    <d v="2020-10-20T00:00:00"/>
    <n v="3.8054794520547945"/>
    <n v="2"/>
    <m/>
    <n v="2"/>
    <n v="2"/>
    <s v="22"/>
    <n v="5.0000000000000001E-3"/>
    <n v="287773.92480000004"/>
    <n v="287773.92480000004"/>
    <n v="103486.74323548826"/>
    <n v="-569516.11"/>
    <m/>
    <n v="57554784.960000001"/>
    <s v="1128007Z LN Equity"/>
    <x v="431"/>
    <n v="-1.4237902750000001E-3"/>
    <n v="0.35961125841199998"/>
    <d v="2017-05-29T10:12:30"/>
    <m/>
    <m/>
    <m/>
    <m/>
    <m/>
    <m/>
    <m/>
    <m/>
    <m/>
    <m/>
    <m/>
    <m/>
    <m/>
    <m/>
    <m/>
    <m/>
    <m/>
    <m/>
    <m/>
    <m/>
    <m/>
    <m/>
    <n v="400000000"/>
    <m/>
    <s v="CNY"/>
    <n v="6.9499000000000004"/>
    <m/>
    <m/>
    <m/>
    <m/>
    <n v="0"/>
    <n v="0"/>
    <n v="0"/>
    <n v="0"/>
    <n v="0"/>
    <n v="2.5871685808872067E-4"/>
  </r>
  <r>
    <n v="1136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12911219.33930186"/>
    <x v="5"/>
    <m/>
    <m/>
    <d v="2020-10-20T00:00:00"/>
    <n v="3.8054794520547945"/>
    <n v="2"/>
    <m/>
    <n v="2"/>
    <n v="2"/>
    <s v="22"/>
    <n v="5.0000000000000001E-3"/>
    <n v="143886.96240000002"/>
    <n v="143886.96240000002"/>
    <n v="51743.371617744131"/>
    <n v="-283483.21999999997"/>
    <m/>
    <n v="28777392.48"/>
    <s v="1128007Z LN Equity"/>
    <x v="432"/>
    <n v="-7.0870804999999997E-4"/>
    <n v="0.35961125841199998"/>
    <d v="2017-05-29T10:12:30"/>
    <m/>
    <m/>
    <m/>
    <m/>
    <m/>
    <m/>
    <m/>
    <m/>
    <m/>
    <m/>
    <m/>
    <m/>
    <m/>
    <m/>
    <m/>
    <m/>
    <m/>
    <m/>
    <m/>
    <m/>
    <m/>
    <m/>
    <n v="200000000"/>
    <m/>
    <s v="CNY"/>
    <n v="6.9499000000000004"/>
    <m/>
    <m/>
    <m/>
    <m/>
    <n v="0"/>
    <n v="0"/>
    <n v="0"/>
    <n v="0"/>
    <n v="0"/>
    <n v="1.2935842904436033E-4"/>
  </r>
  <r>
    <n v="1137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4320471.3823607927"/>
    <x v="5"/>
    <m/>
    <m/>
    <d v="2020-08-20T00:00:00"/>
    <n v="3.6383561643835618"/>
    <n v="2"/>
    <m/>
    <n v="2"/>
    <n v="2"/>
    <s v="22"/>
    <n v="5.0000000000000001E-3"/>
    <n v="50360.436849999998"/>
    <n v="50360.436849999998"/>
    <n v="17496.861163163703"/>
    <n v="-87755.08"/>
    <m/>
    <n v="10072087.369999999"/>
    <s v="1128007Z LN Equity"/>
    <x v="433"/>
    <n v="-2.193877E-4"/>
    <n v="0.347432672502"/>
    <d v="2017-05-29T10:12:30"/>
    <m/>
    <m/>
    <m/>
    <m/>
    <m/>
    <m/>
    <m/>
    <m/>
    <m/>
    <m/>
    <m/>
    <m/>
    <m/>
    <m/>
    <m/>
    <m/>
    <m/>
    <m/>
    <m/>
    <m/>
    <m/>
    <m/>
    <n v="70000000"/>
    <m/>
    <s v="CNY"/>
    <n v="6.9499000000000004"/>
    <m/>
    <m/>
    <m/>
    <m/>
    <n v="0"/>
    <n v="0"/>
    <n v="0"/>
    <n v="0"/>
    <n v="0"/>
    <n v="4.3742152907909257E-5"/>
  </r>
  <r>
    <n v="1138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6455609.66965093"/>
    <x v="5"/>
    <m/>
    <m/>
    <d v="2020-10-20T00:00:00"/>
    <n v="3.8054794520547945"/>
    <n v="2"/>
    <m/>
    <n v="2"/>
    <n v="2"/>
    <s v="22"/>
    <n v="5.0000000000000001E-3"/>
    <n v="71943.481200000009"/>
    <n v="71943.481200000009"/>
    <n v="25871.685808872066"/>
    <n v="-134086.82"/>
    <m/>
    <n v="14388696.24"/>
    <s v="1128007Z LN Equity"/>
    <x v="434"/>
    <n v="-3.3521705000000003E-4"/>
    <n v="0.35961125841199998"/>
    <d v="2017-05-29T10:12:30"/>
    <m/>
    <m/>
    <m/>
    <m/>
    <m/>
    <m/>
    <m/>
    <m/>
    <m/>
    <m/>
    <m/>
    <m/>
    <m/>
    <m/>
    <m/>
    <m/>
    <m/>
    <m/>
    <m/>
    <m/>
    <m/>
    <m/>
    <n v="100000000"/>
    <m/>
    <s v="CNY"/>
    <n v="6.9499000000000004"/>
    <m/>
    <m/>
    <m/>
    <m/>
    <n v="0"/>
    <n v="0"/>
    <n v="0"/>
    <n v="0"/>
    <n v="0"/>
    <n v="6.4679214522180166E-5"/>
  </r>
  <r>
    <n v="1139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22375728.721756939"/>
    <x v="5"/>
    <m/>
    <m/>
    <d v="2017-12-20T00:00:00"/>
    <n v="0.96986301369863015"/>
    <n v="2"/>
    <m/>
    <n v="2"/>
    <n v="1"/>
    <s v="21"/>
    <n v="0"/>
    <n v="0"/>
    <n v="0"/>
    <n v="0"/>
    <n v="-294004.92"/>
    <m/>
    <n v="195686268.87"/>
    <s v="1128007Z LN Equity"/>
    <x v="435"/>
    <n v="-7.3501229999999994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1360000000"/>
    <m/>
    <s v="CNY"/>
    <n v="6.9499000000000004"/>
    <m/>
    <m/>
    <m/>
    <m/>
    <n v="0"/>
    <n v="0"/>
    <n v="0"/>
    <n v="0"/>
    <n v="0"/>
    <n v="0"/>
  </r>
  <r>
    <n v="1140"/>
    <s v="MORGAN STANLEY &amp;"/>
    <s v="IR Swap"/>
    <s v="1"/>
    <s v="Brokers"/>
    <m/>
    <s v="A+"/>
    <s v="A1"/>
    <m/>
    <s v="A"/>
    <s v="A"/>
    <n v="0"/>
    <n v="8.0000000000000002E-3"/>
    <n v="8.0000000000000002E-3"/>
    <s v=""/>
    <n v="8.0000000000000002E-3"/>
    <n v="278860.02892660606"/>
    <x v="5"/>
    <m/>
    <m/>
    <d v="2017-01-20T00:00:00"/>
    <n v="5.4794520547945202E-2"/>
    <n v="2"/>
    <m/>
    <n v="2"/>
    <n v="1"/>
    <s v="21"/>
    <n v="0"/>
    <n v="0"/>
    <n v="7463.41"/>
    <n v="1158.1028099550849"/>
    <n v="7463.41"/>
    <m/>
    <n v="43166088.719999999"/>
    <s v="56243Z LN Equity"/>
    <x v="436"/>
    <n v="1.8658524999999999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0000000"/>
    <m/>
    <s v="CNY"/>
    <n v="6.9499000000000004"/>
    <m/>
    <m/>
    <m/>
    <m/>
    <n v="0"/>
    <n v="0"/>
    <n v="0"/>
    <n v="0"/>
    <n v="0"/>
    <n v="2.8952570248877121E-6"/>
  </r>
  <r>
    <n v="1141"/>
    <s v="MORGAN STANLEY &amp;"/>
    <s v="IR Swap"/>
    <s v="1"/>
    <s v="Brokers"/>
    <m/>
    <s v="A+"/>
    <s v="A1"/>
    <m/>
    <s v="A"/>
    <s v="A"/>
    <n v="0"/>
    <n v="8.0000000000000002E-3"/>
    <n v="8.0000000000000002E-3"/>
    <s v=""/>
    <n v="8.0000000000000002E-3"/>
    <n v="741907.10693946737"/>
    <x v="5"/>
    <m/>
    <m/>
    <d v="2017-02-20T00:00:00"/>
    <n v="0.13972602739726028"/>
    <n v="2"/>
    <m/>
    <n v="2"/>
    <n v="1"/>
    <s v="21"/>
    <n v="0"/>
    <n v="0"/>
    <n v="1612.31"/>
    <n v="250.18332659182371"/>
    <n v="1612.31"/>
    <m/>
    <n v="45036619.229999997"/>
    <s v="56243Z LN Equity"/>
    <x v="437"/>
    <n v="4.0307749999999995E-6"/>
    <n v="0.15517073428299999"/>
    <d v="2017-05-29T10:12:30"/>
    <m/>
    <m/>
    <m/>
    <m/>
    <m/>
    <m/>
    <m/>
    <m/>
    <m/>
    <m/>
    <m/>
    <m/>
    <m/>
    <m/>
    <m/>
    <m/>
    <m/>
    <m/>
    <m/>
    <m/>
    <m/>
    <m/>
    <n v="313000000"/>
    <m/>
    <s v="CNY"/>
    <n v="6.9499000000000004"/>
    <m/>
    <m/>
    <m/>
    <m/>
    <n v="0"/>
    <n v="0"/>
    <n v="0"/>
    <n v="0"/>
    <n v="0"/>
    <n v="6.2545831647955932E-7"/>
  </r>
  <r>
    <n v="1142"/>
    <s v="MORGAN STANLEY &amp;"/>
    <s v="IR Swap"/>
    <s v="1"/>
    <s v="Brokers"/>
    <m/>
    <s v="A+"/>
    <s v="A1"/>
    <m/>
    <s v="A"/>
    <s v="A"/>
    <n v="0"/>
    <n v="8.0000000000000002E-3"/>
    <n v="8.0000000000000002E-3"/>
    <s v=""/>
    <n v="8.0000000000000002E-3"/>
    <n v="6777460.620194695"/>
    <x v="5"/>
    <m/>
    <m/>
    <d v="2018-04-20T00:00:00"/>
    <n v="1.3013698630136987"/>
    <n v="2"/>
    <m/>
    <n v="2"/>
    <n v="2"/>
    <s v="22"/>
    <n v="5.0000000000000001E-3"/>
    <n v="220866.48730000001"/>
    <n v="220866.48730000001"/>
    <n v="39122.548847705169"/>
    <n v="-79706.3"/>
    <m/>
    <n v="44173297.460000001"/>
    <s v="56243Z LN Equity"/>
    <x v="438"/>
    <n v="-1.9926575E-4"/>
    <n v="0.17713211871099999"/>
    <d v="2017-05-29T10:12:30"/>
    <m/>
    <m/>
    <m/>
    <m/>
    <m/>
    <m/>
    <m/>
    <m/>
    <m/>
    <m/>
    <m/>
    <m/>
    <m/>
    <m/>
    <m/>
    <m/>
    <m/>
    <m/>
    <m/>
    <m/>
    <m/>
    <m/>
    <n v="307000000"/>
    <m/>
    <s v="CNY"/>
    <n v="6.9499000000000004"/>
    <m/>
    <m/>
    <m/>
    <m/>
    <n v="0"/>
    <n v="0"/>
    <n v="0"/>
    <n v="0"/>
    <n v="0"/>
    <n v="9.7806372119262926E-5"/>
  </r>
  <r>
    <n v="1143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5758459.5973344147"/>
    <x v="5"/>
    <m/>
    <m/>
    <d v="2017-12-20T00:00:00"/>
    <n v="0.96986301369863015"/>
    <n v="2"/>
    <m/>
    <n v="2"/>
    <n v="1"/>
    <s v="21"/>
    <n v="0"/>
    <n v="0"/>
    <n v="0"/>
    <n v="0"/>
    <n v="-39652.800000000003"/>
    <m/>
    <n v="50360436.840000004"/>
    <s v="1128007Z LN Equity"/>
    <x v="439"/>
    <n v="-9.913200000000001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50000000"/>
    <m/>
    <s v="CNY"/>
    <n v="6.9499000000000004"/>
    <m/>
    <m/>
    <m/>
    <m/>
    <n v="0"/>
    <n v="0"/>
    <n v="0"/>
    <n v="0"/>
    <n v="0"/>
    <n v="0"/>
  </r>
  <r>
    <n v="1144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2303383.8393911454"/>
    <x v="5"/>
    <m/>
    <m/>
    <d v="2017-12-20T00:00:00"/>
    <n v="0.96986301369863015"/>
    <n v="2"/>
    <m/>
    <n v="2"/>
    <n v="1"/>
    <s v="21"/>
    <n v="0"/>
    <n v="0"/>
    <n v="0"/>
    <n v="0"/>
    <n v="-13942.19"/>
    <m/>
    <n v="20144174.739999998"/>
    <s v="1128007Z LN Equity"/>
    <x v="440"/>
    <n v="-3.4855475000000004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140000000"/>
    <m/>
    <s v="CNY"/>
    <n v="6.9499000000000004"/>
    <m/>
    <m/>
    <m/>
    <m/>
    <n v="0"/>
    <n v="0"/>
    <n v="0"/>
    <n v="0"/>
    <n v="0"/>
    <n v="0"/>
  </r>
  <r>
    <n v="1145"/>
    <s v="BNP PARIBAS"/>
    <s v="IR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5758459.5973344147"/>
    <x v="5"/>
    <m/>
    <m/>
    <d v="2017-12-20T00:00:00"/>
    <n v="0.96986301369863015"/>
    <n v="2"/>
    <m/>
    <n v="2"/>
    <n v="1"/>
    <s v="21"/>
    <n v="0"/>
    <n v="0"/>
    <n v="0"/>
    <n v="0"/>
    <n v="-28853.51"/>
    <m/>
    <n v="50360436.840000004"/>
    <s v="BNP FP Equity"/>
    <x v="441"/>
    <n v="-7.213377500000000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50000000"/>
    <m/>
    <s v="CNY"/>
    <n v="6.9499000000000004"/>
    <m/>
    <m/>
    <m/>
    <m/>
    <n v="0"/>
    <n v="0"/>
    <n v="0"/>
    <n v="0"/>
    <n v="0"/>
    <n v="0"/>
  </r>
  <r>
    <n v="1146"/>
    <s v="DEUTSCHE BANK-RG"/>
    <s v="IR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5758459.5973344147"/>
    <x v="5"/>
    <m/>
    <m/>
    <d v="2017-12-20T00:00:00"/>
    <n v="0.96986301369863015"/>
    <n v="2"/>
    <m/>
    <n v="2"/>
    <n v="1"/>
    <s v="21"/>
    <n v="0"/>
    <n v="0"/>
    <n v="0"/>
    <n v="0"/>
    <n v="-30053.09"/>
    <m/>
    <n v="50360436.840000004"/>
    <s v="DBK GR Equity"/>
    <x v="442"/>
    <n v="-7.5132725000000002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50000000"/>
    <m/>
    <s v="CNY"/>
    <n v="6.9499000000000004"/>
    <m/>
    <m/>
    <m/>
    <m/>
    <n v="0"/>
    <n v="0"/>
    <n v="0"/>
    <n v="0"/>
    <n v="0"/>
    <n v="0"/>
  </r>
  <r>
    <n v="1147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5758459.5973344147"/>
    <x v="5"/>
    <m/>
    <m/>
    <d v="2017-12-20T00:00:00"/>
    <n v="0.96986301369863015"/>
    <n v="2"/>
    <m/>
    <n v="2"/>
    <n v="1"/>
    <s v="21"/>
    <n v="0"/>
    <n v="0"/>
    <n v="0"/>
    <n v="0"/>
    <n v="-18049.68"/>
    <m/>
    <n v="50360436.840000004"/>
    <s v="1128007Z LN Equity"/>
    <x v="443"/>
    <n v="-4.5124199999999997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50000000"/>
    <m/>
    <s v="CNY"/>
    <n v="6.9499000000000004"/>
    <m/>
    <m/>
    <m/>
    <m/>
    <n v="0"/>
    <n v="0"/>
    <n v="0"/>
    <n v="0"/>
    <n v="0"/>
    <n v="0"/>
  </r>
  <r>
    <n v="1148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11352391.778059512"/>
    <x v="5"/>
    <m/>
    <m/>
    <d v="2017-12-20T00:00:00"/>
    <n v="0.96986301369863015"/>
    <n v="2"/>
    <m/>
    <n v="2"/>
    <n v="1"/>
    <s v="21"/>
    <n v="0"/>
    <n v="0"/>
    <n v="0"/>
    <n v="0"/>
    <n v="-30854.87"/>
    <m/>
    <n v="99282004.060000002"/>
    <s v="1128007Z LN Equity"/>
    <x v="444"/>
    <n v="-7.7137174999999996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690000000"/>
    <m/>
    <s v="CNY"/>
    <n v="6.9499000000000004"/>
    <m/>
    <m/>
    <m/>
    <m/>
    <n v="0"/>
    <n v="0"/>
    <n v="0"/>
    <n v="0"/>
    <n v="0"/>
    <n v="0"/>
  </r>
  <r>
    <n v="1149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11187864.360306747"/>
    <x v="5"/>
    <m/>
    <m/>
    <d v="2017-12-20T00:00:00"/>
    <n v="0.96986301369863015"/>
    <n v="2"/>
    <m/>
    <n v="2"/>
    <n v="1"/>
    <s v="21"/>
    <n v="0"/>
    <n v="0"/>
    <n v="0"/>
    <n v="0"/>
    <n v="-114351.23"/>
    <m/>
    <n v="97843134.430000007"/>
    <s v="1128007Z LN Equity"/>
    <x v="445"/>
    <n v="-2.8587807500000001E-4"/>
    <n v="0.15517073428299999"/>
    <d v="2017-05-29T10:12:30"/>
    <m/>
    <m/>
    <m/>
    <m/>
    <m/>
    <m/>
    <m/>
    <m/>
    <m/>
    <m/>
    <m/>
    <m/>
    <m/>
    <m/>
    <m/>
    <m/>
    <m/>
    <m/>
    <m/>
    <m/>
    <m/>
    <m/>
    <n v="680000000"/>
    <m/>
    <s v="CNY"/>
    <n v="6.9499000000000004"/>
    <m/>
    <m/>
    <m/>
    <m/>
    <n v="0"/>
    <n v="0"/>
    <n v="0"/>
    <n v="0"/>
    <n v="0"/>
    <n v="0"/>
  </r>
  <r>
    <n v="1150"/>
    <s v="DEUTSCHE BANK-RG"/>
    <s v="IR Swap"/>
    <s v="1"/>
    <s v="Banks"/>
    <m/>
    <s v="A-"/>
    <s v="Baa2"/>
    <s v="A-"/>
    <s v="A"/>
    <s v="Baa"/>
    <s v="A"/>
    <n v="8.0000000000000002E-3"/>
    <n v="0.01"/>
    <n v="8.0000000000000002E-3"/>
    <n v="8.0000000000000002E-3"/>
    <n v="4442240.2610295238"/>
    <x v="5"/>
    <m/>
    <m/>
    <d v="2017-12-20T00:00:00"/>
    <n v="0.96986301369863015"/>
    <n v="2"/>
    <m/>
    <n v="2"/>
    <n v="1"/>
    <s v="21"/>
    <n v="0"/>
    <n v="0"/>
    <n v="0"/>
    <n v="0"/>
    <n v="-6518.55"/>
    <m/>
    <n v="38849479.850000001"/>
    <s v="DBK GR Equity"/>
    <x v="446"/>
    <n v="-1.6296375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270000000"/>
    <m/>
    <s v="CNY"/>
    <n v="6.9499000000000004"/>
    <m/>
    <m/>
    <m/>
    <m/>
    <n v="0"/>
    <n v="0"/>
    <n v="0"/>
    <n v="0"/>
    <n v="0"/>
    <n v="0"/>
  </r>
  <r>
    <n v="1151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11352391.778059512"/>
    <x v="5"/>
    <m/>
    <m/>
    <d v="2017-12-20T00:00:00"/>
    <n v="0.96986301369863015"/>
    <n v="2"/>
    <m/>
    <n v="2"/>
    <n v="1"/>
    <s v="21"/>
    <n v="0"/>
    <n v="0"/>
    <n v="0"/>
    <n v="0"/>
    <n v="-21387.33"/>
    <m/>
    <n v="99282004.060000002"/>
    <s v="1128007Z LN Equity"/>
    <x v="447"/>
    <n v="-5.3468325000000006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690000000"/>
    <m/>
    <s v="CNY"/>
    <n v="6.9499000000000004"/>
    <m/>
    <m/>
    <m/>
    <m/>
    <n v="0"/>
    <n v="0"/>
    <n v="0"/>
    <n v="0"/>
    <n v="0"/>
    <n v="0"/>
  </r>
  <r>
    <n v="1152"/>
    <s v="BNP PARIBAS"/>
    <s v="IR Swap"/>
    <s v="1"/>
    <s v="Banks"/>
    <m/>
    <s v="A"/>
    <s v="A1"/>
    <s v="A+"/>
    <s v="A"/>
    <s v="A"/>
    <s v="A"/>
    <n v="8.0000000000000002E-3"/>
    <n v="8.0000000000000002E-3"/>
    <n v="8.0000000000000002E-3"/>
    <n v="8.0000000000000002E-3"/>
    <n v="1569517.1962556134"/>
    <x v="5"/>
    <m/>
    <m/>
    <d v="2017-04-20T00:00:00"/>
    <n v="0.30136986301369861"/>
    <n v="2"/>
    <m/>
    <n v="2"/>
    <n v="1"/>
    <s v="21"/>
    <n v="0"/>
    <n v="0"/>
    <n v="17492.62"/>
    <n v="2714.3426899334913"/>
    <n v="17492.62"/>
    <m/>
    <n v="44173297.460000001"/>
    <s v="BNP FP Equity"/>
    <x v="448"/>
    <n v="4.3731549999999996E-5"/>
    <n v="0.15517073428299999"/>
    <d v="2017-05-29T10:12:30"/>
    <m/>
    <m/>
    <m/>
    <m/>
    <m/>
    <m/>
    <m/>
    <m/>
    <m/>
    <m/>
    <m/>
    <m/>
    <m/>
    <m/>
    <m/>
    <m/>
    <m/>
    <m/>
    <m/>
    <m/>
    <m/>
    <m/>
    <n v="307000000"/>
    <m/>
    <s v="CNY"/>
    <n v="6.9499000000000004"/>
    <m/>
    <m/>
    <m/>
    <m/>
    <n v="0"/>
    <n v="0"/>
    <n v="0"/>
    <n v="0"/>
    <n v="0"/>
    <n v="6.7858567248337284E-6"/>
  </r>
  <r>
    <n v="1153"/>
    <s v="MERRILL LYNCH IN"/>
    <s v="IR Swap"/>
    <s v="1"/>
    <s v="Brokers"/>
    <m/>
    <s v="A+"/>
    <m/>
    <s v="A"/>
    <s v="A"/>
    <n v="0"/>
    <s v="A"/>
    <n v="8.0000000000000002E-3"/>
    <s v=""/>
    <n v="8.0000000000000002E-3"/>
    <n v="8.0000000000000002E-3"/>
    <n v="25822438.67860372"/>
    <x v="5"/>
    <m/>
    <m/>
    <d v="2020-10-20T00:00:00"/>
    <n v="3.8054794520547945"/>
    <n v="2"/>
    <m/>
    <n v="2"/>
    <n v="2"/>
    <s v="22"/>
    <n v="5.0000000000000001E-3"/>
    <n v="287773.92480000004"/>
    <n v="287773.92480000004"/>
    <n v="103486.74323548826"/>
    <n v="-556756.21"/>
    <m/>
    <n v="57554784.960000001"/>
    <s v="1128007Z LN Equity"/>
    <x v="449"/>
    <n v="-1.3918905249999999E-3"/>
    <n v="0.35961125841199998"/>
    <d v="2017-05-29T10:12:30"/>
    <m/>
    <m/>
    <m/>
    <m/>
    <m/>
    <m/>
    <m/>
    <m/>
    <m/>
    <m/>
    <m/>
    <m/>
    <m/>
    <m/>
    <m/>
    <m/>
    <m/>
    <m/>
    <m/>
    <m/>
    <m/>
    <m/>
    <n v="400000000"/>
    <m/>
    <s v="CNY"/>
    <n v="6.9499000000000004"/>
    <m/>
    <m/>
    <m/>
    <m/>
    <n v="0"/>
    <n v="0"/>
    <n v="0"/>
    <n v="0"/>
    <n v="0"/>
    <n v="2.5871685808872067E-4"/>
  </r>
  <r>
    <n v="1154"/>
    <m/>
    <s v="Other Liabilities"/>
    <m/>
    <m/>
    <m/>
    <m/>
    <m/>
    <m/>
    <n v="0"/>
    <n v="0"/>
    <n v="0"/>
    <s v=""/>
    <s v=""/>
    <s v=""/>
    <s v=""/>
    <n v="0"/>
    <x v="7"/>
    <m/>
    <m/>
    <m/>
    <s v=""/>
    <s v=""/>
    <m/>
    <s v=""/>
    <n v="3"/>
    <s v=""/>
    <s v=""/>
    <n v="0"/>
    <n v="0"/>
    <n v="0"/>
    <n v="-351031.9"/>
    <m/>
    <m/>
    <m/>
    <x v="450"/>
    <n v="-8.7757975000000001E-4"/>
    <m/>
    <d v="2017-05-29T10:12: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">
  <r>
    <n v="1"/>
    <s v="APL LTD"/>
    <x v="0"/>
    <m/>
    <s v="Non-Financials"/>
    <m/>
    <m/>
    <m/>
    <m/>
    <n v="0"/>
    <n v="0"/>
    <n v="0"/>
    <s v=""/>
    <s v=""/>
    <s v=""/>
    <s v=""/>
    <n v="0"/>
    <n v="21"/>
    <m/>
    <m/>
    <d v="2024-01-15T00:00:00"/>
    <s v=""/>
    <s v=""/>
    <m/>
    <s v=""/>
    <n v="3"/>
    <s v=""/>
    <s v=""/>
    <n v="0"/>
    <n v="103845"/>
    <n v="415380"/>
    <n v="103845"/>
    <n v="2110.89"/>
    <m/>
    <s v="US029103AD00 Corp"/>
    <s v="NOLSP 8.0000% 2024-01-15"/>
    <n v="1.1753628635795808E-3"/>
    <n v="4"/>
    <d v="2017-02-02T09:30:32"/>
    <m/>
    <m/>
    <m/>
    <m/>
    <m/>
    <m/>
    <m/>
    <m/>
    <m/>
    <m/>
    <m/>
    <m/>
    <m/>
    <m/>
    <m/>
    <m/>
    <m/>
    <m/>
    <m/>
    <m/>
    <m/>
    <m/>
    <n v="161000"/>
    <n v="64.5"/>
    <s v="USD"/>
    <d v="1899-12-31T00:00:00"/>
    <m/>
    <m/>
    <m/>
    <m/>
    <n v="0"/>
    <n v="0"/>
    <n v="0"/>
    <n v="0"/>
    <n v="0"/>
    <n v="4.607787507364491E-3"/>
  </r>
  <r>
    <n v="2"/>
    <s v="NEPTUNE ORIENT"/>
    <x v="0"/>
    <m/>
    <s v="Non-Financials"/>
    <m/>
    <m/>
    <m/>
    <m/>
    <n v="0"/>
    <n v="0"/>
    <n v="0"/>
    <s v=""/>
    <s v=""/>
    <s v=""/>
    <s v=""/>
    <n v="0"/>
    <n v="21"/>
    <m/>
    <m/>
    <d v="2021-06-22T00:00:00"/>
    <s v=""/>
    <s v=""/>
    <m/>
    <s v=""/>
    <n v="3"/>
    <s v=""/>
    <s v=""/>
    <n v="0"/>
    <n v="112316.84"/>
    <n v="449267.36"/>
    <n v="112316.84"/>
    <n v="208.3"/>
    <m/>
    <s v="SG6P73971303 Corp"/>
    <s v="NOLSP EMTN 4.4000% 2021-06-22"/>
    <n v="1.2482351927306091E-3"/>
    <n v="4"/>
    <d v="2017-02-02T09:30:32"/>
    <m/>
    <m/>
    <m/>
    <m/>
    <m/>
    <m/>
    <m/>
    <m/>
    <m/>
    <m/>
    <m/>
    <m/>
    <m/>
    <m/>
    <m/>
    <m/>
    <m/>
    <m/>
    <m/>
    <m/>
    <m/>
    <m/>
    <n v="250000"/>
    <n v="65"/>
    <s v="SGD"/>
    <d v="1899-12-30T16:35:18"/>
    <m/>
    <m/>
    <m/>
    <m/>
    <n v="0"/>
    <n v="0"/>
    <n v="0"/>
    <n v="0"/>
    <n v="0"/>
    <n v="4.9836981291218295E-3"/>
  </r>
  <r>
    <n v="3"/>
    <s v="INDO ENERGY FIN"/>
    <x v="0"/>
    <m/>
    <s v="Non-Financials"/>
    <m/>
    <m/>
    <s v="Caa1"/>
    <s v="CCC"/>
    <n v="0"/>
    <s v="Caa"/>
    <s v="CCC"/>
    <s v=""/>
    <n v="0.1"/>
    <n v="0.1"/>
    <s v=""/>
    <n v="0"/>
    <n v="21"/>
    <m/>
    <m/>
    <d v="2023-01-24T00:00:00"/>
    <s v=""/>
    <s v=""/>
    <m/>
    <s v=""/>
    <n v="3"/>
    <s v=""/>
    <s v=""/>
    <n v="0"/>
    <n v="523440"/>
    <n v="2093760"/>
    <n v="523440"/>
    <n v="342.83"/>
    <m/>
    <s v="USN44525AA67 Corp"/>
    <s v="INDYIJ REGS 6.3750% 2023-01-24"/>
    <n v="5.8102941418605118E-3"/>
    <n v="4"/>
    <d v="2017-02-02T09:30:32"/>
    <m/>
    <m/>
    <m/>
    <m/>
    <m/>
    <m/>
    <m/>
    <m/>
    <m/>
    <m/>
    <m/>
    <m/>
    <m/>
    <m/>
    <m/>
    <m/>
    <m/>
    <m/>
    <m/>
    <m/>
    <m/>
    <m/>
    <n v="727000"/>
    <n v="72"/>
    <s v="USD"/>
    <d v="1899-12-31T00:00:00"/>
    <m/>
    <m/>
    <m/>
    <m/>
    <n v="0"/>
    <n v="0"/>
    <n v="0"/>
    <n v="0"/>
    <n v="0"/>
    <n v="2.3225964590060853E-2"/>
  </r>
  <r>
    <n v="4"/>
    <s v="MIE HOLDINGS"/>
    <x v="0"/>
    <m/>
    <s v="Non-Financials"/>
    <m/>
    <s v="B-"/>
    <m/>
    <s v="CCC"/>
    <s v="B"/>
    <n v="0"/>
    <s v="CCC"/>
    <n v="0.03"/>
    <s v=""/>
    <n v="0.1"/>
    <s v=""/>
    <n v="0"/>
    <n v="21"/>
    <m/>
    <m/>
    <d v="2019-04-25T00:00:00"/>
    <s v=""/>
    <s v=""/>
    <m/>
    <s v=""/>
    <n v="3"/>
    <s v=""/>
    <s v=""/>
    <n v="0"/>
    <n v="448700"/>
    <n v="1794800"/>
    <n v="448700"/>
    <n v="3647.08"/>
    <m/>
    <s v="USG61157AC01 Corp"/>
    <s v="MIEHOL REGS 7.5000% 2019-04-25"/>
    <n v="5.0178612937955757E-3"/>
    <n v="4"/>
    <d v="2017-02-02T09:30:32"/>
    <m/>
    <m/>
    <m/>
    <m/>
    <m/>
    <m/>
    <m/>
    <m/>
    <m/>
    <m/>
    <m/>
    <m/>
    <m/>
    <m/>
    <m/>
    <m/>
    <m/>
    <m/>
    <m/>
    <m/>
    <m/>
    <m/>
    <n v="641000"/>
    <n v="70"/>
    <s v="USD"/>
    <d v="1899-12-31T00:00:00"/>
    <m/>
    <m/>
    <m/>
    <m/>
    <n v="0"/>
    <n v="0"/>
    <n v="0"/>
    <n v="0"/>
    <n v="0"/>
    <n v="1.9909617743314047E-2"/>
  </r>
  <r>
    <n v="5"/>
    <s v="ODEBRECHT FINANC"/>
    <x v="0"/>
    <m/>
    <s v="Non-Financials"/>
    <m/>
    <s v="B-"/>
    <s v="Caa1"/>
    <s v="CC"/>
    <s v="B"/>
    <s v="Caa"/>
    <s v="CC"/>
    <n v="0.03"/>
    <n v="0.1"/>
    <n v="0.15"/>
    <s v=""/>
    <n v="0"/>
    <n v="21"/>
    <m/>
    <m/>
    <d v="2029-06-27T00:00:00"/>
    <s v=""/>
    <s v=""/>
    <m/>
    <s v=""/>
    <n v="3"/>
    <s v=""/>
    <s v=""/>
    <n v="0"/>
    <n v="789477.5"/>
    <n v="3157910"/>
    <n v="789477.5"/>
    <n v="804.42"/>
    <m/>
    <s v="USG6710EAQ38 Corp"/>
    <s v="ODBR REGS 5.2500% 2029-06-27"/>
    <n v="8.7665538982907819E-3"/>
    <n v="4"/>
    <d v="2017-02-02T09:30:32"/>
    <m/>
    <m/>
    <m/>
    <m/>
    <m/>
    <m/>
    <m/>
    <m/>
    <m/>
    <m/>
    <m/>
    <m/>
    <m/>
    <m/>
    <m/>
    <m/>
    <m/>
    <m/>
    <m/>
    <m/>
    <m/>
    <m/>
    <n v="1379000"/>
    <n v="57.25"/>
    <s v="USD"/>
    <d v="1899-12-31T00:00:00"/>
    <m/>
    <m/>
    <m/>
    <m/>
    <n v="0"/>
    <n v="0"/>
    <n v="0"/>
    <n v="0"/>
    <n v="0"/>
    <n v="3.5030522045792774E-2"/>
  </r>
  <r>
    <n v="6"/>
    <s v="INDONESIA (REP)"/>
    <x v="1"/>
    <m/>
    <s v="Govt"/>
    <m/>
    <s v="BB+"/>
    <s v="Baa3"/>
    <s v="BBB-"/>
    <s v="BB"/>
    <s v="Baa"/>
    <s v="BBB"/>
    <n v="0.02"/>
    <n v="0.01"/>
    <n v="0.01"/>
    <s v=""/>
    <n v="0"/>
    <n v="20"/>
    <m/>
    <m/>
    <d v="2025-01-15T00:00:00"/>
    <s v=""/>
    <s v=""/>
    <m/>
    <s v=""/>
    <n v="3"/>
    <s v=""/>
    <s v=""/>
    <n v="0"/>
    <n v="494887.5"/>
    <n v="273197.66791744519"/>
    <n v="494887.5"/>
    <n v="228.25"/>
    <m/>
    <s v="USY20721BG36 Govt"/>
    <s v="INDON REGS 4.1250% 2025-01-15"/>
    <n v="5.4922917991944743E-3"/>
    <n v="0.55203994426500003"/>
    <d v="2017-02-02T09:30:32"/>
    <m/>
    <m/>
    <m/>
    <m/>
    <m/>
    <m/>
    <m/>
    <m/>
    <m/>
    <m/>
    <m/>
    <m/>
    <m/>
    <m/>
    <m/>
    <m/>
    <m/>
    <m/>
    <m/>
    <m/>
    <m/>
    <m/>
    <n v="498000"/>
    <n v="99.375"/>
    <s v="USD"/>
    <d v="1899-12-31T00:00:00"/>
    <m/>
    <m/>
    <m/>
    <m/>
    <n v="0"/>
    <n v="0"/>
    <n v="0"/>
    <n v="0"/>
    <n v="0"/>
    <n v="3.0305667130606116E-3"/>
  </r>
  <r>
    <n v="7"/>
    <s v="CIMENTO TUPI SA"/>
    <x v="0"/>
    <m/>
    <s v="Non-Financials"/>
    <m/>
    <s v="D"/>
    <m/>
    <s v="C"/>
    <s v="D"/>
    <n v="0"/>
    <s v="C"/>
    <e v="#N/A"/>
    <s v=""/>
    <n v="0.2"/>
    <s v=""/>
    <n v="0"/>
    <n v="21"/>
    <m/>
    <m/>
    <d v="2018-05-11T00:00:00"/>
    <s v=""/>
    <s v=""/>
    <m/>
    <s v=""/>
    <n v="3"/>
    <s v=""/>
    <s v=""/>
    <n v="0"/>
    <n v="234975"/>
    <n v="939900"/>
    <n v="234975"/>
    <m/>
    <m/>
    <s v="USP9159EAA03 Corp"/>
    <s v="CIMTUP REGS 9.7500% 2018-05-11 (Non-Accruing TID)"/>
    <n v="2.6065647588785481E-3"/>
    <n v="4"/>
    <d v="2017-02-02T09:30:32"/>
    <m/>
    <m/>
    <m/>
    <m/>
    <m/>
    <m/>
    <m/>
    <m/>
    <m/>
    <m/>
    <m/>
    <m/>
    <m/>
    <m/>
    <m/>
    <m/>
    <m/>
    <m/>
    <m/>
    <m/>
    <m/>
    <m/>
    <n v="1205000"/>
    <n v="19.5"/>
    <s v="USD"/>
    <d v="1899-12-31T00:00:00"/>
    <m/>
    <m/>
    <m/>
    <m/>
    <n v="0"/>
    <n v="0"/>
    <n v="0"/>
    <n v="0"/>
    <n v="0"/>
    <n v="1.0426259035514193E-2"/>
  </r>
  <r>
    <n v="8"/>
    <s v="TREASURY BILL"/>
    <x v="1"/>
    <m/>
    <s v="Govt"/>
    <m/>
    <s v="AA+"/>
    <s v="Aaa"/>
    <s v="AAA"/>
    <s v="AA"/>
    <s v="Aaa"/>
    <s v="AAA"/>
    <n v="7.0000000000000001E-3"/>
    <n v="7.0000000000000001E-3"/>
    <n v="7.0000000000000001E-3"/>
    <s v=""/>
    <n v="0"/>
    <n v="23"/>
    <m/>
    <m/>
    <d v="2017-01-05T00:00:00"/>
    <s v=""/>
    <s v=""/>
    <m/>
    <s v=""/>
    <n v="3"/>
    <s v=""/>
    <s v=""/>
    <n v="0"/>
    <n v="20999592.600000001"/>
    <n v="0"/>
    <n v="20999592.600000001"/>
    <m/>
    <m/>
    <s v="US912796HV42 Govt"/>
    <s v="B 0.0000% 2017-01-05"/>
    <n v="0.23294732640479518"/>
    <m/>
    <d v="2017-02-02T09:30:32"/>
    <m/>
    <m/>
    <m/>
    <m/>
    <m/>
    <m/>
    <m/>
    <m/>
    <m/>
    <m/>
    <m/>
    <m/>
    <m/>
    <m/>
    <m/>
    <m/>
    <m/>
    <m/>
    <m/>
    <m/>
    <m/>
    <m/>
    <n v="21000000"/>
    <n v="99.998059999999995"/>
    <s v="USD"/>
    <d v="1899-12-31T00:00:00"/>
    <m/>
    <m/>
    <m/>
    <m/>
    <n v="0"/>
    <n v="0"/>
    <n v="0"/>
    <n v="0"/>
    <n v="0"/>
    <n v="0"/>
  </r>
  <r>
    <n v="9"/>
    <s v="UNITED MEXICAN"/>
    <x v="1"/>
    <m/>
    <s v="Govt"/>
    <m/>
    <s v="BBB+"/>
    <s v="A3"/>
    <s v="BBB+"/>
    <s v="BBB"/>
    <s v="A"/>
    <s v="BBB"/>
    <n v="0.01"/>
    <n v="8.0000000000000002E-3"/>
    <n v="0.01"/>
    <s v=""/>
    <n v="0"/>
    <n v="20"/>
    <m/>
    <m/>
    <d v="2031-02-23T00:00:00"/>
    <s v=""/>
    <s v=""/>
    <m/>
    <s v=""/>
    <n v="3"/>
    <s v=""/>
    <s v=""/>
    <n v="0"/>
    <n v="3062639.79"/>
    <n v="1369009.1897147726"/>
    <n v="3062639.79"/>
    <n v="16190.03"/>
    <m/>
    <s v="XS1369323149 Govt"/>
    <s v="MEX 3.3750% 2031-02-23"/>
    <n v="3.4153289955937374E-2"/>
    <n v="0.44700300511500002"/>
    <d v="2017-02-02T09:30:32"/>
    <m/>
    <m/>
    <m/>
    <m/>
    <m/>
    <m/>
    <m/>
    <m/>
    <m/>
    <m/>
    <m/>
    <m/>
    <m/>
    <m/>
    <m/>
    <m/>
    <m/>
    <m/>
    <m/>
    <m/>
    <m/>
    <m/>
    <n v="2862000"/>
    <n v="101.75"/>
    <s v="EUR"/>
    <d v="1899-12-31T01:14:27"/>
    <m/>
    <m/>
    <m/>
    <m/>
    <n v="0"/>
    <n v="0"/>
    <n v="0"/>
    <n v="0"/>
    <n v="0"/>
    <n v="1.5186343689717642E-2"/>
  </r>
  <r>
    <n v="10"/>
    <s v="COLOMBIA REP OF"/>
    <x v="1"/>
    <m/>
    <s v="Govt"/>
    <m/>
    <s v="BBB"/>
    <s v="Baa2"/>
    <s v="BBB"/>
    <s v="BBB"/>
    <s v="Baa"/>
    <s v="BBB"/>
    <n v="0.01"/>
    <n v="0.01"/>
    <n v="0.01"/>
    <s v=""/>
    <n v="0"/>
    <n v="20"/>
    <m/>
    <m/>
    <d v="2026-03-22T00:00:00"/>
    <s v=""/>
    <s v=""/>
    <m/>
    <s v=""/>
    <n v="3"/>
    <s v=""/>
    <s v=""/>
    <n v="0"/>
    <n v="0"/>
    <n v="0"/>
    <n v="-4330996.57"/>
    <n v="-14101.23"/>
    <m/>
    <s v="XS1385239006 Govt"/>
    <s v="COLOM 3.8750% 2026-03-22"/>
    <n v="-4.8199931053774708E-2"/>
    <n v="0.44700300511500002"/>
    <d v="2017-02-02T09:30:32"/>
    <m/>
    <m/>
    <m/>
    <m/>
    <m/>
    <m/>
    <m/>
    <m/>
    <m/>
    <m/>
    <m/>
    <m/>
    <m/>
    <m/>
    <m/>
    <m/>
    <m/>
    <m/>
    <m/>
    <m/>
    <m/>
    <m/>
    <n v="-3731000"/>
    <n v="110.375"/>
    <s v="EUR"/>
    <d v="1899-12-31T01:14:27"/>
    <m/>
    <m/>
    <m/>
    <m/>
    <n v="0"/>
    <n v="0"/>
    <n v="0"/>
    <n v="0"/>
    <n v="0"/>
    <n v="0"/>
  </r>
  <r>
    <n v="11"/>
    <s v="MOZAMBIQUE REP O"/>
    <x v="1"/>
    <m/>
    <s v="Govt"/>
    <m/>
    <s v="B-"/>
    <s v="Caa3"/>
    <m/>
    <s v="B"/>
    <s v="Caa"/>
    <n v="0"/>
    <n v="0.03"/>
    <n v="0.1"/>
    <s v=""/>
    <s v=""/>
    <n v="0"/>
    <n v="20"/>
    <m/>
    <m/>
    <d v="2023-01-18T00:00:00"/>
    <s v=""/>
    <s v=""/>
    <m/>
    <s v=""/>
    <n v="3"/>
    <s v=""/>
    <s v=""/>
    <n v="0"/>
    <n v="974765"/>
    <n v="3899060"/>
    <n v="974765"/>
    <n v="66956.460000000006"/>
    <m/>
    <s v="XS1391003446 Govt"/>
    <s v="MOZAM REGS 10.5000% 2023-01-18"/>
    <n v="1.1555758894365397E-2"/>
    <n v="4"/>
    <d v="2017-02-02T09:30:32"/>
    <m/>
    <m/>
    <m/>
    <m/>
    <m/>
    <m/>
    <m/>
    <m/>
    <m/>
    <m/>
    <m/>
    <m/>
    <m/>
    <m/>
    <m/>
    <m/>
    <m/>
    <m/>
    <m/>
    <m/>
    <m/>
    <m/>
    <n v="1628000"/>
    <n v="59.875"/>
    <s v="USD"/>
    <d v="1899-12-31T00:00:00"/>
    <m/>
    <m/>
    <m/>
    <m/>
    <n v="0"/>
    <n v="0"/>
    <n v="0"/>
    <n v="0"/>
    <n v="0"/>
    <n v="4.3252058256210202E-2"/>
  </r>
  <r>
    <n v="12"/>
    <s v="ARGENTINA"/>
    <x v="1"/>
    <m/>
    <s v="Govt"/>
    <m/>
    <s v="B-"/>
    <s v="B3"/>
    <s v="B"/>
    <s v="B"/>
    <s v="B"/>
    <s v="B"/>
    <n v="0.03"/>
    <n v="0.03"/>
    <n v="0.03"/>
    <s v=""/>
    <n v="0"/>
    <n v="20"/>
    <m/>
    <m/>
    <d v="2026-04-22T00:00:00"/>
    <s v=""/>
    <s v=""/>
    <m/>
    <s v=""/>
    <n v="3"/>
    <s v=""/>
    <s v=""/>
    <n v="0"/>
    <n v="0"/>
    <n v="0"/>
    <n v="-7816445"/>
    <n v="-5958.96"/>
    <m/>
    <s v="USP04808AC88 Govt"/>
    <s v="ARGENT REGS 7.5000% 2026-04-22"/>
    <n v="-8.6773497145858081E-2"/>
    <n v="4"/>
    <d v="2017-02-02T09:30:32"/>
    <m/>
    <m/>
    <m/>
    <m/>
    <m/>
    <m/>
    <m/>
    <m/>
    <m/>
    <m/>
    <m/>
    <m/>
    <m/>
    <m/>
    <m/>
    <m/>
    <m/>
    <m/>
    <m/>
    <m/>
    <m/>
    <m/>
    <n v="-7462000"/>
    <n v="104.75"/>
    <s v="USD"/>
    <d v="1899-12-31T00:00:00"/>
    <m/>
    <m/>
    <m/>
    <m/>
    <n v="0"/>
    <n v="0"/>
    <n v="0"/>
    <n v="0"/>
    <n v="0"/>
    <n v="0"/>
  </r>
  <r>
    <n v="13"/>
    <s v="USJ ACUCAR E AL"/>
    <x v="0"/>
    <m/>
    <s v="Non-Financials"/>
    <m/>
    <s v="CCC+"/>
    <m/>
    <s v="CCC"/>
    <s v="CCC"/>
    <n v="0"/>
    <s v="CCC"/>
    <n v="0.1"/>
    <s v=""/>
    <n v="0.1"/>
    <s v=""/>
    <n v="0"/>
    <n v="21"/>
    <m/>
    <m/>
    <d v="2021-11-09T00:00:00"/>
    <s v=""/>
    <s v=""/>
    <m/>
    <s v=""/>
    <n v="3"/>
    <s v=""/>
    <s v=""/>
    <n v="0"/>
    <n v="674765.81"/>
    <n v="2699063.24"/>
    <n v="674765.81"/>
    <m/>
    <m/>
    <s v="USP9634CAB74 Corp"/>
    <s v="USJACU REGS 9.8750% 2021-11-09 '16"/>
    <n v="7.4851400397580106E-3"/>
    <n v="4"/>
    <d v="2017-02-02T09:30:32"/>
    <m/>
    <m/>
    <m/>
    <m/>
    <m/>
    <m/>
    <m/>
    <m/>
    <m/>
    <m/>
    <m/>
    <m/>
    <m/>
    <m/>
    <m/>
    <m/>
    <m/>
    <m/>
    <m/>
    <m/>
    <m/>
    <m/>
    <n v="839522"/>
    <n v="80.375"/>
    <s v="USD"/>
    <d v="1899-12-31T00:00:00"/>
    <m/>
    <m/>
    <m/>
    <m/>
    <n v="0"/>
    <n v="0"/>
    <n v="0"/>
    <n v="0"/>
    <n v="0"/>
    <n v="2.9940560159032042E-2"/>
  </r>
  <r>
    <n v="14"/>
    <s v="CITY OF BUENOS"/>
    <x v="0"/>
    <m/>
    <s v="Municipals"/>
    <m/>
    <s v="B-"/>
    <s v="B3"/>
    <s v="B"/>
    <s v="B"/>
    <s v="B"/>
    <s v="B"/>
    <n v="0.03"/>
    <n v="0.03"/>
    <n v="0.03"/>
    <s v=""/>
    <n v="0"/>
    <n v="21"/>
    <m/>
    <m/>
    <d v="2027-06-01T00:00:00"/>
    <s v=""/>
    <s v=""/>
    <m/>
    <s v=""/>
    <n v="3"/>
    <s v=""/>
    <s v=""/>
    <n v="0"/>
    <n v="3955301.25"/>
    <n v="15821205"/>
    <n v="3955301.25"/>
    <n v="23687.5"/>
    <m/>
    <s v="XS1422866456 Corp"/>
    <s v="BUEAIR REGS 7.5000% 2027-06-01"/>
    <n v="4.4138703486431348E-2"/>
    <n v="4"/>
    <d v="2017-02-02T09:30:32"/>
    <m/>
    <m/>
    <m/>
    <m/>
    <m/>
    <m/>
    <m/>
    <m/>
    <m/>
    <m/>
    <m/>
    <m/>
    <m/>
    <m/>
    <m/>
    <m/>
    <m/>
    <m/>
    <m/>
    <m/>
    <m/>
    <m/>
    <n v="3873000"/>
    <n v="102.125"/>
    <s v="USD"/>
    <d v="1899-12-31T00:00:00"/>
    <m/>
    <m/>
    <m/>
    <m/>
    <n v="0"/>
    <n v="0"/>
    <n v="0"/>
    <n v="0"/>
    <n v="0"/>
    <n v="0.17550375740394972"/>
  </r>
  <r>
    <n v="15"/>
    <s v="KAISA GROUP"/>
    <x v="0"/>
    <m/>
    <s v="Non-Financials"/>
    <m/>
    <m/>
    <m/>
    <m/>
    <n v="0"/>
    <n v="0"/>
    <n v="0"/>
    <s v=""/>
    <s v=""/>
    <s v=""/>
    <s v=""/>
    <n v="0"/>
    <n v="21"/>
    <m/>
    <m/>
    <d v="2019-12-31T00:00:00"/>
    <s v=""/>
    <s v=""/>
    <m/>
    <s v=""/>
    <n v="3"/>
    <s v=""/>
    <s v=""/>
    <n v="0"/>
    <n v="367313.28"/>
    <n v="1469253.12"/>
    <n v="367313.28"/>
    <m/>
    <m/>
    <s v="XS1387985424 Corp"/>
    <s v="KAISAG A 6.5600% 2019-12-31"/>
    <n v="4.0745860245391587E-3"/>
    <n v="4"/>
    <d v="2017-02-02T09:30:32"/>
    <m/>
    <m/>
    <m/>
    <m/>
    <m/>
    <m/>
    <m/>
    <m/>
    <m/>
    <m/>
    <m/>
    <m/>
    <m/>
    <m/>
    <m/>
    <m/>
    <m/>
    <m/>
    <m/>
    <m/>
    <m/>
    <m/>
    <n v="394297"/>
    <n v="93.156499999999994"/>
    <s v="USD"/>
    <d v="1899-12-31T00:00:00"/>
    <m/>
    <m/>
    <m/>
    <m/>
    <n v="0"/>
    <n v="0"/>
    <n v="0"/>
    <n v="0"/>
    <n v="0"/>
    <n v="1.6298344098156635E-2"/>
  </r>
  <r>
    <n v="16"/>
    <s v="KAISA GROUP"/>
    <x v="0"/>
    <m/>
    <s v="Non-Financials"/>
    <m/>
    <m/>
    <m/>
    <m/>
    <n v="0"/>
    <n v="0"/>
    <n v="0"/>
    <s v=""/>
    <s v=""/>
    <s v=""/>
    <s v=""/>
    <n v="0"/>
    <n v="21"/>
    <m/>
    <m/>
    <d v="2020-06-30T00:00:00"/>
    <s v=""/>
    <s v=""/>
    <m/>
    <s v=""/>
    <n v="3"/>
    <s v=""/>
    <s v=""/>
    <n v="0"/>
    <n v="488036.86"/>
    <n v="1952147.44"/>
    <n v="488036.86"/>
    <m/>
    <m/>
    <s v="XS1387985770 Corp"/>
    <s v="KAISAG B 6.5600% 2020-06-30"/>
    <n v="5.4137660615373711E-3"/>
    <n v="4"/>
    <d v="2017-02-02T09:30:32"/>
    <m/>
    <m/>
    <m/>
    <m/>
    <m/>
    <m/>
    <m/>
    <m/>
    <m/>
    <m/>
    <m/>
    <m/>
    <m/>
    <m/>
    <m/>
    <m/>
    <m/>
    <m/>
    <m/>
    <m/>
    <m/>
    <m/>
    <n v="525729"/>
    <n v="92.830500000000001"/>
    <s v="USD"/>
    <d v="1899-12-31T00:00:00"/>
    <m/>
    <m/>
    <m/>
    <m/>
    <n v="0"/>
    <n v="0"/>
    <n v="0"/>
    <n v="0"/>
    <n v="0"/>
    <n v="2.1655064246149484E-2"/>
  </r>
  <r>
    <n v="17"/>
    <s v="YPF SOCIEDAD ANO"/>
    <x v="0"/>
    <m/>
    <s v="Non-Financials"/>
    <m/>
    <m/>
    <s v="B3"/>
    <s v="B"/>
    <n v="0"/>
    <s v="B"/>
    <s v="B"/>
    <s v=""/>
    <n v="0.03"/>
    <n v="0.03"/>
    <s v=""/>
    <n v="0"/>
    <n v="21"/>
    <m/>
    <m/>
    <d v="2019-09-30T00:00:00"/>
    <s v=""/>
    <s v=""/>
    <m/>
    <s v=""/>
    <n v="3"/>
    <s v=""/>
    <s v=""/>
    <n v="0"/>
    <n v="3414413.64"/>
    <n v="13657654.560000001"/>
    <n v="3414413.64"/>
    <n v="32651.5"/>
    <m/>
    <s v="CH0336352825 Corp"/>
    <s v="YPFDAR EMTN 3.7500% 2019-09-30"/>
    <n v="3.8238104119513776E-2"/>
    <n v="4"/>
    <d v="2017-02-02T09:30:32"/>
    <m/>
    <m/>
    <m/>
    <m/>
    <m/>
    <m/>
    <m/>
    <m/>
    <m/>
    <m/>
    <m/>
    <m/>
    <m/>
    <m/>
    <m/>
    <m/>
    <m/>
    <m/>
    <m/>
    <m/>
    <m/>
    <m/>
    <n v="3510000"/>
    <n v="99.125"/>
    <s v="CHF"/>
    <d v="1899-12-30T23:33:09"/>
    <m/>
    <m/>
    <m/>
    <m/>
    <n v="0"/>
    <n v="0"/>
    <n v="0"/>
    <n v="0"/>
    <n v="0"/>
    <n v="0.15150361129921441"/>
  </r>
  <r>
    <n v="18"/>
    <s v="BANCO MERCANTIL"/>
    <x v="2"/>
    <m/>
    <s v="Banks"/>
    <m/>
    <s v="BBB+"/>
    <s v="Ba1"/>
    <s v="BB+"/>
    <s v="BBB"/>
    <s v="Ba"/>
    <s v="BB"/>
    <n v="0.01"/>
    <n v="0.02"/>
    <n v="0.02"/>
    <s v=""/>
    <n v="0"/>
    <n v="22"/>
    <n v="3"/>
    <n v="3"/>
    <d v="2031-10-04T00:00:00"/>
    <s v=""/>
    <s v=""/>
    <m/>
    <s v=""/>
    <n v="3"/>
    <s v=""/>
    <s v=""/>
    <n v="0"/>
    <n v="246118.75"/>
    <n v="984475"/>
    <n v="246118.75"/>
    <n v="3640.07"/>
    <m/>
    <s v="USP14008AC36 Corp"/>
    <s v="BANORT REGS FLOAT 2031-10-04"/>
    <n v="2.7705608615005459E-3"/>
    <n v="4"/>
    <d v="2017-02-02T10:29:37"/>
    <m/>
    <m/>
    <m/>
    <m/>
    <m/>
    <m/>
    <m/>
    <m/>
    <m/>
    <m/>
    <m/>
    <m/>
    <m/>
    <m/>
    <m/>
    <m/>
    <m/>
    <m/>
    <m/>
    <m/>
    <m/>
    <m/>
    <n v="265000"/>
    <n v="92.875"/>
    <s v="USD"/>
    <d v="1899-12-31T00:00:00"/>
    <m/>
    <m/>
    <m/>
    <m/>
    <n v="0"/>
    <n v="0"/>
    <n v="0"/>
    <n v="0"/>
    <n v="0"/>
    <n v="1.0920727060312625E-2"/>
  </r>
  <r>
    <n v="19"/>
    <s v="BANCO HIPOT SA"/>
    <x v="3"/>
    <m/>
    <s v="Banks"/>
    <m/>
    <s v="B-"/>
    <s v="B3"/>
    <m/>
    <s v="B"/>
    <s v="B"/>
    <n v="0"/>
    <n v="0.03"/>
    <n v="0.03"/>
    <s v=""/>
    <s v=""/>
    <n v="0"/>
    <n v="21"/>
    <m/>
    <m/>
    <d v="2020-01-12T00:00:00"/>
    <s v=""/>
    <s v=""/>
    <m/>
    <s v=""/>
    <n v="3"/>
    <s v=""/>
    <s v=""/>
    <n v="0"/>
    <n v="931460.33"/>
    <n v="3725841.32"/>
    <n v="931460.33"/>
    <m/>
    <m/>
    <s v="USP13267AB84 Corp"/>
    <s v="BHIP REGS 0.0000% 2020-01-12"/>
    <n v="1.0332638240116536E-2"/>
    <n v="4"/>
    <d v="2017-02-02T09:30:32"/>
    <m/>
    <m/>
    <m/>
    <m/>
    <m/>
    <m/>
    <m/>
    <m/>
    <m/>
    <m/>
    <m/>
    <m/>
    <m/>
    <m/>
    <m/>
    <m/>
    <m/>
    <m/>
    <m/>
    <m/>
    <m/>
    <m/>
    <n v="14718000"/>
    <n v="100.5"/>
    <s v="USD"/>
    <d v="1899-12-31T00:00:00"/>
    <m/>
    <m/>
    <m/>
    <m/>
    <n v="0"/>
    <n v="0"/>
    <n v="0"/>
    <n v="0"/>
    <n v="0"/>
    <n v="4.1330552960466144E-2"/>
  </r>
  <r>
    <n v="20"/>
    <s v="PROV OF SANTA FE"/>
    <x v="0"/>
    <m/>
    <s v="Municipals"/>
    <m/>
    <m/>
    <s v="B3"/>
    <s v="B"/>
    <n v="0"/>
    <s v="B"/>
    <s v="B"/>
    <s v=""/>
    <n v="0.03"/>
    <n v="0.03"/>
    <s v=""/>
    <n v="0"/>
    <n v="21"/>
    <m/>
    <m/>
    <d v="2027-11-01T00:00:00"/>
    <s v=""/>
    <s v=""/>
    <m/>
    <s v=""/>
    <n v="3"/>
    <s v=""/>
    <s v=""/>
    <n v="0"/>
    <n v="7014280"/>
    <n v="28057120"/>
    <n v="7014280"/>
    <n v="82999.72"/>
    <m/>
    <s v="USP84641AB82 Corp"/>
    <s v="PROVSF REGS 6.9000% 2027-11-01"/>
    <n v="7.8729733810215599E-2"/>
    <n v="4"/>
    <d v="2017-02-02T09:30:32"/>
    <m/>
    <m/>
    <m/>
    <m/>
    <m/>
    <m/>
    <m/>
    <m/>
    <m/>
    <m/>
    <m/>
    <m/>
    <m/>
    <m/>
    <m/>
    <m/>
    <m/>
    <m/>
    <m/>
    <m/>
    <m/>
    <m/>
    <n v="7462000"/>
    <n v="94"/>
    <s v="USD"/>
    <d v="1899-12-31T00:00:00"/>
    <m/>
    <m/>
    <m/>
    <m/>
    <n v="0"/>
    <n v="0"/>
    <n v="0"/>
    <n v="0"/>
    <n v="0"/>
    <n v="0.31123608991435897"/>
  </r>
  <r>
    <n v="21"/>
    <s v="US TREASURY N/B"/>
    <x v="1"/>
    <m/>
    <s v="Govt"/>
    <m/>
    <s v="AA+"/>
    <s v="Aaa"/>
    <s v="AAA"/>
    <s v="AA"/>
    <s v="Aaa"/>
    <s v="AAA"/>
    <n v="7.0000000000000001E-3"/>
    <n v="7.0000000000000001E-3"/>
    <n v="7.0000000000000001E-3"/>
    <s v=""/>
    <n v="0"/>
    <n v="23"/>
    <m/>
    <m/>
    <d v="2046-11-15T00:00:00"/>
    <s v=""/>
    <s v=""/>
    <m/>
    <s v=""/>
    <n v="3"/>
    <s v=""/>
    <s v=""/>
    <n v="0"/>
    <n v="0"/>
    <n v="0"/>
    <n v="-1676624.89"/>
    <n v="-414.83"/>
    <m/>
    <s v="US912810RU43 Govt"/>
    <s v="T 2.8750% 2046-11-15"/>
    <n v="-1.8603309430328962E-2"/>
    <m/>
    <d v="2017-02-02T09:30:32"/>
    <m/>
    <m/>
    <m/>
    <m/>
    <m/>
    <m/>
    <m/>
    <m/>
    <m/>
    <m/>
    <m/>
    <m/>
    <m/>
    <m/>
    <m/>
    <m/>
    <m/>
    <m/>
    <m/>
    <m/>
    <m/>
    <m/>
    <n v="-1741100"/>
    <n v="96.296875"/>
    <s v="USD"/>
    <d v="1899-12-31T00:00:00"/>
    <m/>
    <m/>
    <m/>
    <m/>
    <n v="0"/>
    <n v="0"/>
    <n v="0"/>
    <n v="0"/>
    <n v="0"/>
    <n v="0"/>
  </r>
  <r>
    <n v="22"/>
    <s v="STUDIO CITY CO"/>
    <x v="0"/>
    <m/>
    <s v="Non-Financials"/>
    <m/>
    <s v="BB-"/>
    <s v="B1"/>
    <m/>
    <s v="BB"/>
    <s v="B"/>
    <n v="0"/>
    <n v="0.02"/>
    <n v="0.03"/>
    <s v=""/>
    <s v=""/>
    <n v="0"/>
    <n v="21"/>
    <m/>
    <m/>
    <d v="2021-11-30T00:00:00"/>
    <s v=""/>
    <s v=""/>
    <m/>
    <s v=""/>
    <n v="3"/>
    <s v=""/>
    <s v=""/>
    <n v="0"/>
    <n v="466630.43"/>
    <n v="1866521.72"/>
    <n v="466630.43"/>
    <n v="2803.13"/>
    <m/>
    <s v="USG8539EAB14 Corp"/>
    <s v="SYDCTY REGS 7.2500% 2021-11-30"/>
    <n v="5.2074006772248049E-3"/>
    <n v="4"/>
    <d v="2017-02-02T09:30:32"/>
    <m/>
    <m/>
    <m/>
    <m/>
    <m/>
    <m/>
    <m/>
    <m/>
    <m/>
    <m/>
    <m/>
    <m/>
    <m/>
    <m/>
    <m/>
    <m/>
    <m/>
    <m/>
    <m/>
    <m/>
    <m/>
    <m/>
    <n v="449000"/>
    <n v="103.92659999999999"/>
    <s v="USD"/>
    <d v="1899-12-31T00:00:00"/>
    <m/>
    <m/>
    <m/>
    <m/>
    <n v="0"/>
    <n v="0"/>
    <n v="0"/>
    <n v="0"/>
    <n v="0"/>
    <n v="2.0705222840869765E-2"/>
  </r>
  <r>
    <n v="23"/>
    <s v="STUDIO CITY CO"/>
    <x v="0"/>
    <m/>
    <s v="Non-Financials"/>
    <m/>
    <s v="BB-"/>
    <s v="B1"/>
    <m/>
    <s v="BB"/>
    <s v="B"/>
    <n v="0"/>
    <n v="0.02"/>
    <n v="0.03"/>
    <s v=""/>
    <s v=""/>
    <n v="0"/>
    <n v="21"/>
    <m/>
    <m/>
    <d v="2019-11-30T00:00:00"/>
    <s v=""/>
    <s v=""/>
    <m/>
    <s v=""/>
    <n v="3"/>
    <s v=""/>
    <s v=""/>
    <n v="0"/>
    <n v="208075"/>
    <n v="832300"/>
    <n v="208075"/>
    <n v="1026.98"/>
    <m/>
    <s v="USG8539EAA31 Corp"/>
    <s v="STDCTY REGS 5.8750% 2019-11-30"/>
    <n v="2.3195567702084352E-3"/>
    <n v="4"/>
    <d v="2017-02-02T09:30:32"/>
    <m/>
    <m/>
    <m/>
    <m/>
    <m/>
    <m/>
    <m/>
    <m/>
    <m/>
    <m/>
    <m/>
    <m/>
    <m/>
    <m/>
    <m/>
    <m/>
    <m/>
    <m/>
    <m/>
    <m/>
    <m/>
    <m/>
    <n v="203000"/>
    <n v="102.5"/>
    <s v="USD"/>
    <d v="1899-12-31T00:00:00"/>
    <m/>
    <m/>
    <m/>
    <m/>
    <n v="0"/>
    <n v="0"/>
    <n v="0"/>
    <n v="0"/>
    <n v="0"/>
    <n v="9.2326581500781595E-3"/>
  </r>
  <r>
    <n v="24"/>
    <s v="JPMORGAN CHASE"/>
    <x v="4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11381463.651909247"/>
    <n v="55"/>
    <m/>
    <m/>
    <d v="2021-12-20T00:00:00"/>
    <n v="4.9726027397260273"/>
    <n v="6"/>
    <m/>
    <n v="6"/>
    <n v="2"/>
    <s v="62"/>
    <n v="0.1"/>
    <n v="2222000"/>
    <n v="2785521.42"/>
    <n v="1069542.0275802894"/>
    <n v="563521.42000000004"/>
    <n v="-7406.67"/>
    <n v="-22220000"/>
    <s v="8147Z US Equity"/>
    <s v="MEXICO CDS 1.00% 12/21 - ICECR (94026390)"/>
    <n v="6.1689503531973788E-3"/>
    <n v="0.38396474710299999"/>
    <d v="2017-02-02T09:30:32"/>
    <n v="25"/>
    <m/>
    <s v="UNITED MEXICAN"/>
    <s v="Govt"/>
    <m/>
    <s v="Govt"/>
    <m/>
    <s v="BBB+"/>
    <s v="A3"/>
    <s v="BBB+"/>
    <s v="1"/>
    <n v="0"/>
    <d v="2021-12-20T00:00:00"/>
    <n v="0"/>
    <s v="MEXICO CDS 1.00% 12/21 - ICECR (94026390)"/>
    <s v="US91086QAW87 Govt"/>
    <m/>
    <m/>
    <m/>
    <m/>
    <m/>
    <m/>
    <n v="-22220000"/>
    <n v="-2.5360999999999998"/>
    <s v="USD"/>
    <d v="1899-12-31T00:00:00"/>
    <m/>
    <m/>
    <m/>
    <m/>
    <n v="0"/>
    <n v="0"/>
    <n v="0"/>
    <n v="0"/>
    <n v="0"/>
    <n v="1.1864370921290735E-2"/>
  </r>
  <r>
    <n v="26"/>
    <s v="JPMORGAN CHASE"/>
    <x v="5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3184965.8410248291"/>
    <n v="55"/>
    <m/>
    <m/>
    <d v="2021-12-20T00:00:00"/>
    <n v="4.9726027397260273"/>
    <n v="6"/>
    <m/>
    <n v="6"/>
    <n v="2"/>
    <s v="62"/>
    <n v="0.1"/>
    <n v="621800"/>
    <n v="682630.69"/>
    <n v="262106.12025059637"/>
    <n v="60830.69"/>
    <n v="-2072.67"/>
    <n v="-6218000"/>
    <s v="8147Z US Equity"/>
    <s v="CDS ITRAXX ASIA EX-JAP s26 1.00% 12/21 - ICE"/>
    <n v="6.5179948604524279E-4"/>
    <n v="0.38396474710299999"/>
    <d v="2017-02-02T09:30:32"/>
    <n v="27"/>
    <n v="4"/>
    <s v="MARKIT ITRX ASIAXJ IG 12/21"/>
    <s v="Bond"/>
    <m/>
    <s v="Index"/>
    <m/>
    <m/>
    <m/>
    <m/>
    <s v="1"/>
    <n v="0"/>
    <d v="2021-12-20T00:00:00"/>
    <n v="0"/>
    <s v="CDS ITRAXX ASIA EX-JAP s26 1.00% 12/21 - ICE"/>
    <s v="ITRX EXJP IG CDSI S26 5Y Corp"/>
    <m/>
    <m/>
    <m/>
    <m/>
    <m/>
    <m/>
    <n v="-6218000"/>
    <n v="-0.97829999999999995"/>
    <s v="USD"/>
    <d v="1899-12-31T00:00:00"/>
    <m/>
    <m/>
    <m/>
    <m/>
    <n v="0"/>
    <n v="0"/>
    <n v="0"/>
    <n v="0"/>
    <n v="0"/>
    <n v="2.9075287844731886E-3"/>
  </r>
  <r>
    <n v="28"/>
    <s v="JPMORGAN CHASE"/>
    <x v="5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9557970.8255907539"/>
    <n v="55"/>
    <m/>
    <m/>
    <d v="2021-12-20T00:00:00"/>
    <n v="4.9726027397260273"/>
    <n v="6"/>
    <m/>
    <n v="6"/>
    <n v="2"/>
    <s v="62"/>
    <n v="0.1"/>
    <n v="1866000"/>
    <n v="3037418.8200000003"/>
    <n v="1166261.7490671927"/>
    <n v="1171418.82"/>
    <n v="-6220"/>
    <n v="-18660000"/>
    <s v="8147Z US Equity"/>
    <s v="CDX EM26 1.00% 12/21 - (ICE)  "/>
    <n v="1.2925486461533648E-2"/>
    <n v="0.38396474710299999"/>
    <d v="2017-02-02T09:30:32"/>
    <n v="29"/>
    <n v="4"/>
    <s v="MARKIT CDX.EM.26 12/21"/>
    <s v="Bond"/>
    <m/>
    <s v="Index"/>
    <m/>
    <m/>
    <m/>
    <m/>
    <s v="1"/>
    <n v="0"/>
    <d v="2021-12-20T00:00:00"/>
    <n v="0"/>
    <s v="CDX EM26 1.00% 12/21 - (ICE)  "/>
    <s v="CDX EM CDSI S26 5Y PRC Corp"/>
    <m/>
    <m/>
    <m/>
    <m/>
    <m/>
    <m/>
    <n v="-18660000"/>
    <n v="-6.2777000000000003"/>
    <s v="USD"/>
    <d v="1899-12-31T00:00:00"/>
    <m/>
    <m/>
    <m/>
    <m/>
    <n v="0"/>
    <n v="0"/>
    <n v="0"/>
    <n v="0"/>
    <n v="0"/>
    <n v="1.293727747524886E-2"/>
  </r>
  <r>
    <n v="30"/>
    <s v="JPMORGAN CHASE"/>
    <x v="4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3184965.8410248291"/>
    <n v="55"/>
    <m/>
    <m/>
    <d v="2021-12-20T00:00:00"/>
    <n v="4.9726027397260273"/>
    <n v="6"/>
    <m/>
    <n v="6"/>
    <n v="2"/>
    <s v="62"/>
    <n v="0.1"/>
    <n v="621800"/>
    <n v="621800"/>
    <n v="238749.27974864541"/>
    <n v="-166343.94"/>
    <n v="-2072.67"/>
    <n v="-6218000"/>
    <s v="8147Z US Equity"/>
    <s v="CDS KOREA 1.00% 12/21 ICECR (94026604)"/>
    <n v="-1.8682361971945635E-3"/>
    <n v="0.38396474710299999"/>
    <d v="2017-02-02T09:30:32"/>
    <n v="31"/>
    <m/>
    <s v="REP OF KOREA"/>
    <s v="Govt"/>
    <m/>
    <s v="Govt"/>
    <m/>
    <s v="AA"/>
    <s v="Aa2"/>
    <s v="AA-"/>
    <s v="1"/>
    <n v="0"/>
    <d v="2021-12-20T00:00:00"/>
    <n v="0"/>
    <s v="CDS KOREA 1.00% 12/21 ICECR (94026604)"/>
    <s v="US50064FAJ30 Govt"/>
    <m/>
    <m/>
    <m/>
    <m/>
    <m/>
    <m/>
    <n v="-6218000"/>
    <n v="2.6751999999999998"/>
    <s v="USD"/>
    <d v="1899-12-31T00:00:00"/>
    <m/>
    <m/>
    <m/>
    <m/>
    <n v="0"/>
    <n v="0"/>
    <n v="0"/>
    <n v="0"/>
    <n v="0"/>
    <n v="2.648432636665411E-3"/>
  </r>
  <r>
    <n v="32"/>
    <s v="JPMORGAN CHASE"/>
    <x v="6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53664.687865614324"/>
    <n v="50"/>
    <m/>
    <m/>
    <d v="2017-10-17T00:00:00"/>
    <n v="0.79452054794520544"/>
    <n v="1"/>
    <m/>
    <n v="1"/>
    <n v="1"/>
    <s v="11"/>
    <n v="0.01"/>
    <n v="6557.1206999999995"/>
    <n v="70572.050699999993"/>
    <n v="8831.8403177752971"/>
    <n v="64014.93"/>
    <m/>
    <n v="-655712.06999999995"/>
    <s v="8147Z US Equity"/>
    <s v="ARS / USD"/>
    <n v="7.1011409971306373E-4"/>
    <n v="0.12514643162799999"/>
    <d v="2017-02-02T09:30:32"/>
    <m/>
    <m/>
    <m/>
    <m/>
    <m/>
    <m/>
    <m/>
    <m/>
    <m/>
    <m/>
    <m/>
    <m/>
    <m/>
    <m/>
    <m/>
    <m/>
    <m/>
    <m/>
    <m/>
    <m/>
    <m/>
    <m/>
    <n v="-12310535.189999999"/>
    <m/>
    <s v="ARS"/>
    <d v="1900-01-17T18:35:00"/>
    <m/>
    <m/>
    <m/>
    <m/>
    <n v="0"/>
    <n v="0"/>
    <n v="0"/>
    <n v="0"/>
    <n v="0"/>
    <n v="9.7971119175894496E-5"/>
  </r>
  <r>
    <n v="33"/>
    <s v="JPMORGAN CHASE"/>
    <x v="6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140014.20166759414"/>
    <n v="50"/>
    <m/>
    <m/>
    <d v="2017-11-10T00:00:00"/>
    <n v="0.86027397260273974"/>
    <n v="1"/>
    <m/>
    <n v="1"/>
    <n v="1"/>
    <s v="11"/>
    <n v="0.01"/>
    <n v="15800.288200000001"/>
    <n v="165413.4682"/>
    <n v="20700.905288441652"/>
    <n v="149613.18"/>
    <m/>
    <n v="-1580028.82"/>
    <s v="8147Z US Equity"/>
    <s v="ARS / USD"/>
    <n v="1.6596507817927559E-3"/>
    <n v="0.12514643162799999"/>
    <d v="2017-02-02T09:30:32"/>
    <m/>
    <m/>
    <m/>
    <m/>
    <m/>
    <m/>
    <m/>
    <m/>
    <m/>
    <m/>
    <m/>
    <m/>
    <m/>
    <m/>
    <m/>
    <m/>
    <m/>
    <m/>
    <m/>
    <m/>
    <m/>
    <m/>
    <n v="-30026709.649999999"/>
    <m/>
    <s v="ARS"/>
    <d v="1900-01-18T00:05:37"/>
    <m/>
    <m/>
    <m/>
    <m/>
    <n v="0"/>
    <n v="0"/>
    <n v="0"/>
    <n v="0"/>
    <n v="0"/>
    <n v="2.2963400447594247E-4"/>
  </r>
  <r>
    <n v="34"/>
    <s v="JPMORGAN CHASE"/>
    <x v="6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36907.268130987395"/>
    <n v="50"/>
    <m/>
    <m/>
    <d v="2017-09-13T00:00:00"/>
    <n v="0.70136986301369864"/>
    <n v="1"/>
    <m/>
    <n v="1"/>
    <n v="1"/>
    <s v="11"/>
    <n v="0.01"/>
    <n v="5108.5129999999999"/>
    <n v="23542.213"/>
    <n v="2946.2239495763124"/>
    <n v="18433.7"/>
    <m/>
    <n v="-510851.3"/>
    <s v="8147Z US Equity"/>
    <s v="ARS / USD"/>
    <n v="2.0448402083515053E-4"/>
    <n v="0.12514643162799999"/>
    <d v="2017-02-02T09:30:32"/>
    <m/>
    <m/>
    <m/>
    <m/>
    <m/>
    <m/>
    <m/>
    <m/>
    <m/>
    <m/>
    <m/>
    <m/>
    <m/>
    <m/>
    <m/>
    <m/>
    <m/>
    <m/>
    <m/>
    <m/>
    <m/>
    <m/>
    <n v="-9421273"/>
    <m/>
    <s v="ARS"/>
    <d v="1900-01-17T10:36:55"/>
    <m/>
    <m/>
    <m/>
    <m/>
    <n v="0"/>
    <n v="0"/>
    <n v="0"/>
    <n v="0"/>
    <n v="0"/>
    <n v="3.2682300324415723E-5"/>
  </r>
  <r>
    <n v="35"/>
    <s v="JPMORGAN CHASE"/>
    <x v="6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37464.139467241992"/>
    <n v="50"/>
    <m/>
    <m/>
    <d v="2017-09-18T00:00:00"/>
    <n v="0.71506849315068488"/>
    <n v="1"/>
    <m/>
    <n v="1"/>
    <n v="1"/>
    <s v="11"/>
    <n v="0.01"/>
    <n v="5086.2514000000001"/>
    <n v="25746.111400000002"/>
    <n v="3222.0339700069712"/>
    <n v="20659.86"/>
    <m/>
    <n v="-508625.14"/>
    <s v="8147Z US Equity"/>
    <s v="ARS / USD"/>
    <n v="2.2917869134743936E-4"/>
    <n v="0.12514643162799999"/>
    <d v="2017-02-02T09:30:32"/>
    <m/>
    <m/>
    <m/>
    <m/>
    <m/>
    <m/>
    <m/>
    <m/>
    <m/>
    <m/>
    <m/>
    <m/>
    <m/>
    <m/>
    <m/>
    <m/>
    <m/>
    <m/>
    <m/>
    <m/>
    <m/>
    <m/>
    <n v="-9405394.4499999993"/>
    <m/>
    <s v="ARS"/>
    <d v="1900-01-17T11:48:12"/>
    <m/>
    <m/>
    <m/>
    <m/>
    <n v="0"/>
    <n v="0"/>
    <n v="0"/>
    <n v="0"/>
    <n v="0"/>
    <n v="3.5741845720309446E-5"/>
  </r>
  <r>
    <n v="36"/>
    <s v="JPMORGAN CHASE"/>
    <x v="6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39655.9307543705"/>
    <n v="50"/>
    <m/>
    <m/>
    <d v="2017-10-03T00:00:00"/>
    <n v="0.75616438356164384"/>
    <n v="1"/>
    <m/>
    <n v="1"/>
    <n v="1"/>
    <s v="11"/>
    <n v="0.01"/>
    <n v="5091.2173000000003"/>
    <n v="25254.487300000001"/>
    <n v="3160.5089681896443"/>
    <n v="20163.27"/>
    <m/>
    <n v="-509121.73"/>
    <s v="8147Z US Equity"/>
    <s v="ARS / USD"/>
    <n v="2.2367004577403157E-4"/>
    <n v="0.12514643162799999"/>
    <d v="2017-02-02T09:30:32"/>
    <m/>
    <m/>
    <m/>
    <m/>
    <m/>
    <m/>
    <m/>
    <m/>
    <m/>
    <m/>
    <m/>
    <m/>
    <m/>
    <m/>
    <m/>
    <m/>
    <m/>
    <m/>
    <m/>
    <m/>
    <m/>
    <m/>
    <n v="-9490080.0500000007"/>
    <m/>
    <s v="ARS"/>
    <d v="1900-01-17T15:21:45"/>
    <m/>
    <m/>
    <m/>
    <m/>
    <n v="0"/>
    <n v="0"/>
    <n v="0"/>
    <n v="0"/>
    <n v="0"/>
    <n v="3.5059352257060236E-5"/>
  </r>
  <r>
    <n v="37"/>
    <s v="JPMORGAN CHASE"/>
    <x v="6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55236.29531528701"/>
    <n v="50"/>
    <m/>
    <m/>
    <d v="2017-09-12T00:00:00"/>
    <n v="0.69863013698630139"/>
    <n v="1"/>
    <m/>
    <n v="1"/>
    <n v="1"/>
    <s v="11"/>
    <n v="0.01"/>
    <n v="7675.5045"/>
    <n v="34053.054499999998"/>
    <n v="4261.6182567088072"/>
    <n v="26377.55"/>
    <m/>
    <n v="-767550.45"/>
    <s v="8147Z US Equity"/>
    <s v="ARS / USD"/>
    <n v="2.9260471222707459E-4"/>
    <n v="0.12514643162799999"/>
    <d v="2017-02-02T09:30:32"/>
    <m/>
    <m/>
    <m/>
    <m/>
    <m/>
    <m/>
    <m/>
    <m/>
    <m/>
    <m/>
    <m/>
    <m/>
    <m/>
    <m/>
    <m/>
    <m/>
    <m/>
    <m/>
    <m/>
    <m/>
    <m/>
    <m/>
    <n v="-14147796.960000001"/>
    <m/>
    <s v="ARS"/>
    <d v="1900-01-17T10:22:39"/>
    <m/>
    <m/>
    <m/>
    <m/>
    <n v="0"/>
    <n v="0"/>
    <n v="0"/>
    <n v="0"/>
    <n v="0"/>
    <n v="4.7273897068754593E-5"/>
  </r>
  <r>
    <n v="38"/>
    <s v="JPMORGAN CHASE"/>
    <x v="6"/>
    <s v="1"/>
    <s v="Banks"/>
    <m/>
    <s v="A+"/>
    <s v="Aa3"/>
    <s v="AA-"/>
    <s v="A"/>
    <s v="Aa"/>
    <s v="AA"/>
    <n v="8.0000000000000002E-3"/>
    <n v="7.0000000000000001E-3"/>
    <n v="7.0000000000000001E-3"/>
    <n v="7.0000000000000001E-3"/>
    <n v="584050.96421838622"/>
    <n v="50"/>
    <m/>
    <m/>
    <d v="2017-01-23T00:00:00"/>
    <n v="6.3013698630136991E-2"/>
    <n v="1"/>
    <m/>
    <n v="1"/>
    <n v="1"/>
    <s v="11"/>
    <n v="0.01"/>
    <n v="899798.94050000003"/>
    <n v="1451018.6905"/>
    <n v="181589.81134160832"/>
    <n v="551219.75"/>
    <m/>
    <n v="89979894.049999997"/>
    <s v="8147Z US Equity"/>
    <s v="JPY / USD"/>
    <n v="6.1146503872660648E-3"/>
    <n v="0.12514643162799999"/>
    <d v="2017-02-02T09:30:32"/>
    <m/>
    <m/>
    <m/>
    <m/>
    <m/>
    <m/>
    <m/>
    <m/>
    <m/>
    <m/>
    <m/>
    <m/>
    <m/>
    <m/>
    <m/>
    <m/>
    <m/>
    <m/>
    <m/>
    <m/>
    <m/>
    <m/>
    <n v="10491682640"/>
    <m/>
    <s v="JPY"/>
    <d v="1900-04-25T14:24:26"/>
    <m/>
    <m/>
    <m/>
    <m/>
    <n v="0"/>
    <n v="0"/>
    <n v="0"/>
    <n v="0"/>
    <n v="0"/>
    <n v="2.0143657955716157E-3"/>
  </r>
  <r>
    <n v="39"/>
    <s v="UBS SECURITIES L"/>
    <x v="7"/>
    <s v="1"/>
    <s v="Brokers"/>
    <m/>
    <s v="A+"/>
    <m/>
    <m/>
    <s v="A"/>
    <n v="0"/>
    <n v="0"/>
    <n v="8.0000000000000002E-3"/>
    <s v=""/>
    <s v=""/>
    <n v="8.0000000000000002E-3"/>
    <n v="39019.837013013697"/>
    <n v="51"/>
    <m/>
    <m/>
    <d v="2017-03-22T00:00:00"/>
    <n v="0.22191780821917809"/>
    <n v="2"/>
    <m/>
    <n v="2"/>
    <n v="1"/>
    <s v="21"/>
    <n v="0"/>
    <n v="0"/>
    <n v="0"/>
    <n v="0"/>
    <n v="-4500"/>
    <m/>
    <n v="-1491375"/>
    <s v="5766Z US Equity"/>
    <s v="10 YR US GOVT TREASURY NOTE Mar '17 CBT"/>
    <n v="-4.9918252643700257E-5"/>
    <n v="0.15517073428299999"/>
    <d v="2017-02-02T09:30:32"/>
    <m/>
    <m/>
    <m/>
    <m/>
    <m/>
    <m/>
    <m/>
    <m/>
    <m/>
    <m/>
    <m/>
    <m/>
    <m/>
    <m/>
    <m/>
    <s v="TYH7 Comdty"/>
    <m/>
    <m/>
    <m/>
    <m/>
    <m/>
    <m/>
    <n v="-12"/>
    <n v="124.28125"/>
    <s v="USD"/>
    <d v="1899-12-31T00:00:00"/>
    <n v="1000"/>
    <m/>
    <m/>
    <m/>
    <n v="0"/>
    <n v="0"/>
    <n v="0"/>
    <n v="0"/>
    <n v="0"/>
    <n v="0"/>
  </r>
  <r>
    <n v="40"/>
    <s v="UBS SECURITIES L"/>
    <x v="8"/>
    <s v="1"/>
    <s v="Brokers"/>
    <m/>
    <s v="A+"/>
    <m/>
    <m/>
    <s v="A"/>
    <n v="0"/>
    <n v="0"/>
    <n v="8.0000000000000002E-3"/>
    <s v=""/>
    <s v=""/>
    <n v="8.0000000000000002E-3"/>
    <n v="912.2659762684932"/>
    <n v="52"/>
    <m/>
    <m/>
    <d v="2017-01-20T00:00:00"/>
    <n v="5.4794520547945202E-2"/>
    <n v="3"/>
    <m/>
    <n v="3"/>
    <n v="1"/>
    <s v="31"/>
    <n v="0.06"/>
    <n v="8472.8429999999989"/>
    <n v="8472.8429999999989"/>
    <n v="424956.88726977457"/>
    <n v="-3720"/>
    <m/>
    <n v="141214.04999999999"/>
    <s v="5766Z US Equity"/>
    <s v="EWW 2017-01-20 42.500 P A OPQ"/>
    <n v="-4.1265755518792207E-5"/>
    <n v="0.15517073428299999"/>
    <d v="2017-02-02T09:30:32"/>
    <n v="41"/>
    <n v="3"/>
    <s v="ISHARES-MEX ETF"/>
    <s v="Equity (ETF)"/>
    <m/>
    <s v="Index"/>
    <m/>
    <m/>
    <m/>
    <m/>
    <s v="1"/>
    <n v="141214.04999999999"/>
    <m/>
    <n v="0.15529999999999999"/>
    <s v="EWW 2017-01-20 42.500 P A OPQ"/>
    <s v="EWW US Equity"/>
    <m/>
    <m/>
    <m/>
    <m/>
    <m/>
    <m/>
    <n v="-124"/>
    <n v="0.3"/>
    <s v="USD"/>
    <d v="1899-12-31T00:00:00"/>
    <n v="100"/>
    <n v="-0.25900000000000001"/>
    <n v="43.97"/>
    <m/>
    <n v="0"/>
    <n v="0"/>
    <n v="0"/>
    <n v="0"/>
    <n v="0"/>
    <n v="4.7140233914251236E-3"/>
  </r>
  <r>
    <n v="42"/>
    <s v="UBS SECURITIES L"/>
    <x v="8"/>
    <s v="1"/>
    <s v="Brokers"/>
    <m/>
    <s v="A+"/>
    <m/>
    <m/>
    <s v="A"/>
    <n v="0"/>
    <n v="0"/>
    <n v="8.0000000000000002E-3"/>
    <s v=""/>
    <s v=""/>
    <n v="8.0000000000000002E-3"/>
    <n v="277.75644731397267"/>
    <n v="52"/>
    <m/>
    <m/>
    <d v="2017-01-20T00:00:00"/>
    <n v="5.4794520547945202E-2"/>
    <n v="3"/>
    <m/>
    <n v="3"/>
    <n v="1"/>
    <s v="31"/>
    <n v="0.06"/>
    <n v="2579.7156"/>
    <n v="2579.7156"/>
    <n v="129386.07636389331"/>
    <n v="-1736"/>
    <m/>
    <n v="42995.26"/>
    <s v="5766Z US Equity"/>
    <s v="EWZ 2017-01-20 29.500 P A OPQ"/>
    <n v="-1.9257352575436364E-5"/>
    <n v="0.15517073428299999"/>
    <d v="2017-02-02T09:30:32"/>
    <n v="43"/>
    <n v="3"/>
    <s v="ISHARES MSCI BRA"/>
    <s v="Equity (ETF)"/>
    <m/>
    <s v="Index"/>
    <m/>
    <m/>
    <m/>
    <m/>
    <s v="1"/>
    <n v="42995.26"/>
    <m/>
    <n v="0.35699999999999998"/>
    <s v="EWZ 2017-01-20 29.500 P A OPQ"/>
    <s v="EWZ US Equity"/>
    <m/>
    <m/>
    <m/>
    <m/>
    <m/>
    <m/>
    <n v="-124"/>
    <n v="0.14000000000000001"/>
    <s v="USD"/>
    <d v="1899-12-31T00:00:00"/>
    <n v="100"/>
    <n v="-0.104"/>
    <n v="33.340000000000003"/>
    <m/>
    <n v="0"/>
    <n v="0"/>
    <n v="0"/>
    <n v="0"/>
    <n v="0"/>
    <n v="1.4352726330022045E-3"/>
  </r>
  <r>
    <n v="44"/>
    <s v="JPMORGAN CHASE"/>
    <x v="9"/>
    <s v="1"/>
    <s v="Banks"/>
    <m/>
    <s v="A+"/>
    <s v="Aa3"/>
    <s v="AA-"/>
    <s v="A"/>
    <s v="Aa"/>
    <s v="AA"/>
    <n v="8.0000000000000002E-3"/>
    <n v="7.0000000000000001E-3"/>
    <n v="7.0000000000000001E-3"/>
    <s v=""/>
    <n v="0"/>
    <n v="30"/>
    <m/>
    <m/>
    <m/>
    <s v=""/>
    <s v=""/>
    <m/>
    <s v=""/>
    <n v="3"/>
    <s v=""/>
    <s v=""/>
    <n v="0"/>
    <n v="27972068.579999998"/>
    <n v="3500604.5680406964"/>
    <n v="27972068.579999998"/>
    <m/>
    <m/>
    <s v="8147Z US Equity"/>
    <s v="CASH: JPMORGAN CHASE"/>
    <n v="0.31029261918741102"/>
    <n v="0.12514643162799999"/>
    <d v="2017-02-02T09:30: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3.8832014051810373E-2"/>
  </r>
  <r>
    <n v="45"/>
    <s v="UBS SECURITIES L"/>
    <x v="9"/>
    <s v="1"/>
    <s v="Brokers"/>
    <m/>
    <s v="A+"/>
    <m/>
    <m/>
    <s v="A"/>
    <n v="0"/>
    <n v="0"/>
    <n v="8.0000000000000002E-3"/>
    <s v=""/>
    <s v=""/>
    <s v=""/>
    <n v="0"/>
    <n v="30"/>
    <m/>
    <m/>
    <m/>
    <s v=""/>
    <s v=""/>
    <m/>
    <s v=""/>
    <n v="3"/>
    <s v=""/>
    <s v=""/>
    <n v="0"/>
    <n v="29202418.02"/>
    <n v="4531360.6470025107"/>
    <n v="29202418.02"/>
    <m/>
    <m/>
    <s v="5766Z US Equity"/>
    <s v="CASH: UBS SECURITIES L"/>
    <n v="0.32394081789540108"/>
    <n v="0.15517073428299999"/>
    <d v="2017-02-02T09:30: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5.0266134577064969E-2"/>
  </r>
  <r>
    <n v="46"/>
    <m/>
    <x v="10"/>
    <m/>
    <m/>
    <m/>
    <m/>
    <m/>
    <m/>
    <n v="0"/>
    <n v="0"/>
    <n v="0"/>
    <s v=""/>
    <s v=""/>
    <s v=""/>
    <s v=""/>
    <n v="0"/>
    <n v="99"/>
    <m/>
    <m/>
    <m/>
    <s v=""/>
    <s v=""/>
    <m/>
    <s v=""/>
    <n v="3"/>
    <s v=""/>
    <s v=""/>
    <n v="0"/>
    <n v="197994.83"/>
    <n v="2474935.375"/>
    <n v="197994.83"/>
    <m/>
    <m/>
    <m/>
    <s v="Other Assets"/>
    <n v="2.1963457657969958E-3"/>
    <n v="12.5"/>
    <d v="2017-02-02T09:30: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2.7454322072462452E-2"/>
  </r>
  <r>
    <n v="47"/>
    <m/>
    <x v="11"/>
    <m/>
    <m/>
    <m/>
    <m/>
    <m/>
    <m/>
    <n v="0"/>
    <n v="0"/>
    <n v="0"/>
    <s v=""/>
    <s v=""/>
    <s v=""/>
    <s v=""/>
    <n v="0"/>
    <n v="90"/>
    <m/>
    <m/>
    <m/>
    <s v=""/>
    <s v=""/>
    <m/>
    <s v=""/>
    <n v="3"/>
    <s v=""/>
    <s v=""/>
    <n v="0"/>
    <n v="0"/>
    <n v="0"/>
    <n v="-1581066.7"/>
    <m/>
    <m/>
    <m/>
    <s v="Other Liabilities"/>
    <n v="-1.7538685994920318E-2"/>
    <m/>
    <d v="2017-02-02T09:30: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ピボットテーブル3" cacheId="40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>
  <location ref="B5:F18" firstHeaderRow="0" firstDataRow="1" firstDataCol="1"/>
  <pivotFields count="75">
    <pivotField showAll="0"/>
    <pivotField showAll="0"/>
    <pivotField axis="axisRow" showAll="0">
      <items count="74">
        <item x="0"/>
        <item x="2"/>
        <item x="9"/>
        <item m="1" x="56"/>
        <item m="1" x="33"/>
        <item x="6"/>
        <item x="1"/>
        <item x="10"/>
        <item x="11"/>
        <item m="1" x="52"/>
        <item m="1" x="40"/>
        <item m="1" x="61"/>
        <item m="1" x="67"/>
        <item m="1" x="28"/>
        <item m="1" x="53"/>
        <item x="7"/>
        <item m="1" x="42"/>
        <item m="1" x="16"/>
        <item m="1" x="47"/>
        <item m="1" x="45"/>
        <item x="3"/>
        <item x="4"/>
        <item x="5"/>
        <item x="8"/>
        <item m="1" x="44"/>
        <item m="1" x="26"/>
        <item m="1" x="29"/>
        <item m="1" x="23"/>
        <item m="1" x="71"/>
        <item m="1" x="62"/>
        <item m="1" x="32"/>
        <item m="1" x="68"/>
        <item m="1" x="34"/>
        <item m="1" x="19"/>
        <item m="1" x="48"/>
        <item m="1" x="22"/>
        <item m="1" x="46"/>
        <item m="1" x="65"/>
        <item m="1" x="14"/>
        <item m="1" x="69"/>
        <item m="1" x="70"/>
        <item m="1" x="18"/>
        <item m="1" x="15"/>
        <item m="1" x="50"/>
        <item m="1" x="13"/>
        <item m="1" x="37"/>
        <item m="1" x="36"/>
        <item m="1" x="39"/>
        <item m="1" x="49"/>
        <item m="1" x="55"/>
        <item m="1" x="63"/>
        <item m="1" x="20"/>
        <item m="1" x="51"/>
        <item m="1" x="41"/>
        <item m="1" x="21"/>
        <item m="1" x="58"/>
        <item m="1" x="12"/>
        <item m="1" x="31"/>
        <item m="1" x="59"/>
        <item m="1" x="64"/>
        <item m="1" x="25"/>
        <item m="1" x="38"/>
        <item m="1" x="66"/>
        <item m="1" x="17"/>
        <item m="1" x="30"/>
        <item m="1" x="35"/>
        <item m="1" x="24"/>
        <item m="1" x="72"/>
        <item m="1" x="60"/>
        <item m="1" x="27"/>
        <item m="1" x="43"/>
        <item m="1" x="57"/>
        <item m="1" x="5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8" showAll="0"/>
    <pivotField numFmtId="38" showAll="0"/>
    <pivotField dataField="1" numFmtId="38" showAll="0"/>
    <pivotField dataField="1" numFmtId="38" showAll="0"/>
    <pivotField showAll="0"/>
    <pivotField showAll="0"/>
    <pivotField showAll="0"/>
    <pivotField showAll="0"/>
    <pivotField showAll="0"/>
    <pivotField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numFmtId="38" showAll="0" defaultSubtotal="0"/>
    <pivotField numFmtId="38" showAll="0" defaultSubtotal="0"/>
    <pivotField numFmtId="38" showAll="0" defaultSubtotal="0"/>
    <pivotField numFmtId="38" showAll="0" defaultSubtotal="0"/>
    <pivotField showAll="0" defaultSubtotal="0"/>
    <pivotField showAll="0" defaultSubtotal="0"/>
  </pivotFields>
  <rowFields count="1">
    <field x="2"/>
  </rowFields>
  <rowItems count="13">
    <i>
      <x/>
    </i>
    <i>
      <x v="1"/>
    </i>
    <i>
      <x v="2"/>
    </i>
    <i>
      <x v="5"/>
    </i>
    <i>
      <x v="6"/>
    </i>
    <i>
      <x v="7"/>
    </i>
    <i>
      <x v="8"/>
    </i>
    <i>
      <x v="15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合計 / ADDON" fld="28" showDataAs="percentOfTotal" baseField="0" baseItem="0" numFmtId="10"/>
    <dataField name="合計 / PE" fld="30" showDataAs="percentOfTotal" baseField="0" baseItem="0" numFmtId="10"/>
    <dataField name="合計 / MARKET_VALUE" fld="31" showDataAs="percentOfTotal" baseField="0" baseItem="0" numFmtId="10"/>
    <dataField name="合計 / CVA" fld="16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ピボットテーブル8" cacheId="1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>
  <location ref="A3:B241" firstHeaderRow="1" firstDataRow="1" firstDataCol="1" rowPageCount="1" colPageCount="1"/>
  <pivotFields count="7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38" showAll="0"/>
    <pivotField axis="axisPage" multipleItemSelectionAllowed="1" showAll="0">
      <items count="12">
        <item h="1" x="0"/>
        <item x="4"/>
        <item h="1" x="5"/>
        <item h="1" x="6"/>
        <item m="1" x="10"/>
        <item m="1" x="8"/>
        <item h="1" x="7"/>
        <item h="1" m="1" x="9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38" showAll="0"/>
    <pivotField numFmtId="38" showAll="0"/>
    <pivotField numFmtId="38" showAll="0"/>
    <pivotField numFmtId="38" showAll="0"/>
    <pivotField showAll="0"/>
    <pivotField showAll="0"/>
    <pivotField showAll="0"/>
    <pivotField axis="axisRow" showAll="0">
      <items count="524">
        <item m="1" x="474"/>
        <item m="1" x="496"/>
        <item m="1" x="456"/>
        <item m="1" x="493"/>
        <item m="1" x="483"/>
        <item m="1" x="466"/>
        <item m="1" x="500"/>
        <item m="1" x="507"/>
        <item m="1" x="494"/>
        <item m="1" x="464"/>
        <item m="1" x="470"/>
        <item m="1" x="505"/>
        <item m="1" x="469"/>
        <item m="1" x="489"/>
        <item m="1" x="491"/>
        <item m="1" x="521"/>
        <item m="1" x="502"/>
        <item m="1" x="454"/>
        <item m="1" x="510"/>
        <item m="1" x="515"/>
        <item m="1" x="471"/>
        <item m="1" x="487"/>
        <item m="1" x="455"/>
        <item m="1" x="522"/>
        <item m="1" x="468"/>
        <item m="1" x="499"/>
        <item m="1" x="472"/>
        <item m="1" x="495"/>
        <item m="1" x="503"/>
        <item m="1" x="465"/>
        <item m="1" x="519"/>
        <item m="1" x="497"/>
        <item m="1" x="452"/>
        <item m="1" x="520"/>
        <item m="1" x="517"/>
        <item m="1" x="485"/>
        <item m="1" x="461"/>
        <item m="1" x="504"/>
        <item m="1" x="463"/>
        <item m="1" x="460"/>
        <item m="1" x="488"/>
        <item m="1" x="509"/>
        <item m="1" x="492"/>
        <item m="1" x="473"/>
        <item m="1" x="451"/>
        <item m="1" x="490"/>
        <item m="1" x="458"/>
        <item m="1" x="511"/>
        <item m="1" x="478"/>
        <item m="1" x="482"/>
        <item m="1" x="484"/>
        <item m="1" x="459"/>
        <item m="1" x="481"/>
        <item m="1" x="508"/>
        <item m="1" x="479"/>
        <item m="1" x="475"/>
        <item m="1" x="516"/>
        <item m="1" x="467"/>
        <item m="1" x="457"/>
        <item x="450"/>
        <item m="1" x="476"/>
        <item m="1" x="477"/>
        <item m="1" x="506"/>
        <item m="1" x="480"/>
        <item m="1" x="453"/>
        <item m="1" x="486"/>
        <item m="1" x="518"/>
        <item m="1" x="501"/>
        <item m="1" x="512"/>
        <item m="1" x="462"/>
        <item m="1" x="498"/>
        <item m="1" x="513"/>
        <item m="1" x="5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t="default"/>
      </items>
    </pivotField>
    <pivotField showAll="0"/>
    <pivotField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8" showAll="0"/>
    <pivotField numFmtId="38" showAll="0"/>
    <pivotField numFmtId="38" showAll="0"/>
    <pivotField numFmtId="38" showAll="0"/>
    <pivotField showAll="0"/>
    <pivotField showAll="0" defaultSubtotal="0"/>
  </pivotFields>
  <rowFields count="1">
    <field x="35"/>
  </rowFields>
  <rowItems count="238"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97"/>
    </i>
    <i>
      <x v="198"/>
    </i>
    <i>
      <x v="199"/>
    </i>
    <i>
      <x v="200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 t="grand">
      <x/>
    </i>
  </rowItems>
  <colItems count="1">
    <i/>
  </colItems>
  <pageFields count="1">
    <pageField fld="17" hier="-1"/>
  </pageFields>
  <dataFields count="1">
    <dataField name="合計 / commodity_addon1" fld="69" baseField="0" baseItem="0" numFmtId="38"/>
  </dataFields>
  <formats count="1"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bis1 からのクエリ" connectionId="1" autoFormatId="20" applyNumberFormats="0" applyBorderFormats="0" applyFontFormats="0" applyPatternFormats="0" applyAlignmentFormats="0" applyWidthHeightFormats="0">
  <queryTableRefresh nextId="63">
    <queryTableFields count="48">
      <queryTableField id="1" name="SEC_TYPE" tableColumnId="1"/>
      <queryTableField id="2" name="DESCRIPTION" tableColumnId="2"/>
      <queryTableField id="3" name="BB_TICKER" tableColumnId="3"/>
      <queryTableField id="4" name="QUANTITY" tableColumnId="4"/>
      <queryTableField id="8" name="MATURITY" tableColumnId="8"/>
      <queryTableField id="16" name="CURRENCY" tableColumnId="13"/>
      <queryTableField id="18" name="REF" tableColumnId="15"/>
      <queryTableField id="20" dataBound="0" tableColumnId="16"/>
      <queryTableField id="21" dataBound="0" tableColumnId="17"/>
      <queryTableField id="23" dataBound="0" tableColumnId="19"/>
      <queryTableField id="22" dataBound="0" tableColumnId="18"/>
      <queryTableField id="24" dataBound="0" tableColumnId="20"/>
      <queryTableField id="25" name="MARKET_VALUE" tableColumnId="21"/>
      <queryTableField id="27" name="ASSET_TYPE_ID" tableColumnId="22"/>
      <queryTableField id="28" name="NO" tableColumnId="5"/>
      <queryTableField id="29" name="OBLIGOR_NAME" tableColumnId="6"/>
      <queryTableField id="30" name="AVC" tableColumnId="7"/>
      <queryTableField id="31" name="INDUSTRY" tableColumnId="9"/>
      <queryTableField id="32" name="SEC_CODE" tableColumnId="10"/>
      <queryTableField id="33" name="RTG_SP" tableColumnId="11"/>
      <queryTableField id="34" name="RTG_MOODY" tableColumnId="12"/>
      <queryTableField id="35" name="RTG_FITCH" tableColumnId="14"/>
      <queryTableField id="36" name="CAPITAL_TYPE" tableColumnId="23"/>
      <queryTableField id="37" name="HOLDING_TYPE" tableColumnId="24"/>
      <queryTableField id="38" name="ACC_INT" tableColumnId="25"/>
      <queryTableField id="39" name="NOTIONAL" tableColumnId="26"/>
      <queryTableField id="40" name="PER_NAV" tableColumnId="27"/>
      <queryTableField id="41" name="RISK_WEIGHT" tableColumnId="28"/>
      <queryTableField id="42" name="REF_NO" tableColumnId="29"/>
      <queryTableField id="43" name="UNDL_BB_TICKER" tableColumnId="30"/>
      <queryTableField id="44" name="REPO_DIFF" tableColumnId="31"/>
      <queryTableField id="45" name="REPO_DAYS" tableColumnId="32"/>
      <queryTableField id="46" name="REPO_MV" tableColumnId="33"/>
      <queryTableField id="47" name="REPO_COST" tableColumnId="34"/>
      <queryTableField id="48" name="REPO_ACC_INT" tableColumnId="35"/>
      <queryTableField id="49" name="REPO_AMOUNT" tableColumnId="36"/>
      <queryTableField id="50" name="PRICE" tableColumnId="37"/>
      <queryTableField id="51" name="COST" tableColumnId="38"/>
      <queryTableField id="53" name="FACTOR" tableColumnId="40"/>
      <queryTableField id="54" name="DELTA" tableColumnId="41"/>
      <queryTableField id="55" name="UNDL_PRICE" tableColumnId="42"/>
      <queryTableField id="56" name="START_DATE" tableColumnId="43"/>
      <queryTableField id="57" name="FIN_WEIGHT" tableColumnId="44"/>
      <queryTableField id="58" name="REMARK" tableColumnId="45"/>
      <queryTableField id="59" name="MTIME" tableColumnId="46"/>
      <queryTableField id="60" name="EST_RW" tableColumnId="47"/>
      <queryTableField id="61" name="ADJ_PER_NAV" tableColumnId="48"/>
      <queryTableField id="62" name="CCY_RATE" tableColumnId="39"/>
    </queryTableFields>
  </queryTableRefresh>
</queryTable>
</file>

<file path=xl/queryTables/queryTable2.xml><?xml version="1.0" encoding="utf-8"?>
<queryTable xmlns="http://schemas.openxmlformats.org/spreadsheetml/2006/main" name="bis1 からのクエリ" connectionId="5" autoFormatId="20" applyNumberFormats="0" applyBorderFormats="0" applyFontFormats="0" applyPatternFormats="0" applyAlignmentFormats="0" applyWidthHeightFormats="0">
  <queryTableRefresh nextId="81" unboundColumnsRight="6">
    <queryTableFields count="75">
      <queryTableField id="1" name="NO" tableColumnId="1"/>
      <queryTableField id="2" name="OBLIGOR_NAME" tableColumnId="2"/>
      <queryTableField id="3" name="SEC_TYPE" tableColumnId="3"/>
      <queryTableField id="4" name="AVC" tableColumnId="4"/>
      <queryTableField id="5" name="INDUSTRY" tableColumnId="5"/>
      <queryTableField id="6" name="SEC_CODE" tableColumnId="6"/>
      <queryTableField id="7" name="RTG_SP" tableColumnId="7"/>
      <queryTableField id="8" name="RTG_MOODY" tableColumnId="8"/>
      <queryTableField id="9" name="RTG_FITCH" tableColumnId="9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10" name="ASSET_TYPE_ID" tableColumnId="10"/>
      <queryTableField id="11" name="CAPITAL_TYPE" tableColumnId="11"/>
      <queryTableField id="12" name="HOLDING_TYPE" tableColumnId="12"/>
      <queryTableField id="13" name="MATURITY" tableColumnId="13"/>
      <queryTableField id="52" dataBound="0" tableColumnId="52"/>
      <queryTableField id="53" dataBound="0" tableColumnId="53"/>
      <queryTableField id="54" dataBound="0" tableColumnId="54"/>
      <queryTableField id="55" dataBound="0" tableColumnId="55"/>
      <queryTableField id="64" dataBound="0" tableColumnId="64"/>
      <queryTableField id="65" dataBound="0" tableColumnId="65"/>
      <queryTableField id="66" dataBound="0" tableColumnId="66"/>
      <queryTableField id="67" dataBound="0" tableColumnId="67"/>
      <queryTableField id="68" dataBound="0" tableColumnId="68"/>
      <queryTableField id="69" dataBound="0" tableColumnId="69"/>
      <queryTableField id="14" name="MARKET_VALUE" tableColumnId="14"/>
      <queryTableField id="15" name="ACC_INT" tableColumnId="15"/>
      <queryTableField id="16" name="NOTIONAL" tableColumnId="16"/>
      <queryTableField id="17" name="BB_TICKER" tableColumnId="17"/>
      <queryTableField id="18" name="DESCRIPTION" tableColumnId="18"/>
      <queryTableField id="19" name="PER_NAV" tableColumnId="19"/>
      <queryTableField id="20" name="RISK_WEIGHT" tableColumnId="20"/>
      <queryTableField id="21" name="MTIME" tableColumnId="21"/>
      <queryTableField id="22" name="UNDL_NO" tableColumnId="22"/>
      <queryTableField id="70" dataBound="0" tableColumnId="51"/>
      <queryTableField id="23" name="UNDL_OBLIGOR" tableColumnId="23"/>
      <queryTableField id="24" name="UNDL_SEC_TYPE" tableColumnId="24"/>
      <queryTableField id="25" name="UNDL_AVC" tableColumnId="25"/>
      <queryTableField id="26" name="UNDL_INDUSTRY" tableColumnId="26"/>
      <queryTableField id="27" name="UNDL_SEC_CODE" tableColumnId="27"/>
      <queryTableField id="28" name="UNDL_SP" tableColumnId="28"/>
      <queryTableField id="29" name="UNDL_MOODY" tableColumnId="29"/>
      <queryTableField id="30" name="UNDL_FITCH" tableColumnId="30"/>
      <queryTableField id="31" name="UNDL_SENIORITY" tableColumnId="31"/>
      <queryTableField id="32" name="UNDL_MV" tableColumnId="32"/>
      <queryTableField id="33" name="UNDL_MATURITY" tableColumnId="33"/>
      <queryTableField id="34" name="UNDL_FIN_WEIGHT" tableColumnId="34"/>
      <queryTableField id="35" name="UNDL_DESCRIPTION" tableColumnId="35"/>
      <queryTableField id="36" name="UNDL_BB_TICKER" tableColumnId="36"/>
      <queryTableField id="37" name="REPO_DIFF" tableColumnId="37"/>
      <queryTableField id="38" name="REPO_DAYS" tableColumnId="38"/>
      <queryTableField id="39" name="REPO_MV" tableColumnId="39"/>
      <queryTableField id="40" name="REPO_COST" tableColumnId="40"/>
      <queryTableField id="41" name="REPO_ACC_INT" tableColumnId="41"/>
      <queryTableField id="42" name="REPO_AMOUNT" tableColumnId="42"/>
      <queryTableField id="43" name="QUANTITY" tableColumnId="43"/>
      <queryTableField id="44" name="PRICE" tableColumnId="44"/>
      <queryTableField id="45" name="CURRENCY" tableColumnId="45"/>
      <queryTableField id="79" name="CCY_RATE" tableColumnId="46"/>
      <queryTableField id="47" name="FACTOR" tableColumnId="47"/>
      <queryTableField id="48" name="DELTA" tableColumnId="48"/>
      <queryTableField id="49" name="UNDL_PRICE" tableColumnId="49"/>
      <queryTableField id="50" name="START_DATE" tableColumnId="50"/>
      <queryTableField id="71" dataBound="0" tableColumnId="70"/>
      <queryTableField id="72" dataBound="0" tableColumnId="71"/>
      <queryTableField id="74" dataBound="0" tableColumnId="73"/>
      <queryTableField id="75" dataBound="0" tableColumnId="74"/>
      <queryTableField id="73" dataBound="0" tableColumnId="72"/>
      <queryTableField id="78" dataBound="0" tableColumnId="75"/>
    </queryTableFields>
  </queryTableRefresh>
</queryTable>
</file>

<file path=xl/queryTables/queryTable3.xml><?xml version="1.0" encoding="utf-8"?>
<queryTable xmlns="http://schemas.openxmlformats.org/spreadsheetml/2006/main" name="bis1 からのクエリ" connectionId="3" autoFormatId="20" applyNumberFormats="0" applyBorderFormats="0" applyFontFormats="0" applyPatternFormats="0" applyAlignmentFormats="0" applyWidthHeightFormats="0">
  <queryTableRefresh nextId="2">
    <queryTableFields count="1">
      <queryTableField id="1" name="REPORT_DATE" tableColumnId="1"/>
    </queryTableFields>
  </queryTableRefresh>
</queryTable>
</file>

<file path=xl/queryTables/queryTable4.xml><?xml version="1.0" encoding="utf-8"?>
<queryTable xmlns="http://schemas.openxmlformats.org/spreadsheetml/2006/main" name="bis1 からのクエリ_1" connectionId="4" autoFormatId="20" applyNumberFormats="0" applyBorderFormats="0" applyFontFormats="0" applyPatternFormats="0" applyAlignmentFormats="0" applyWidthHeightFormats="0">
  <queryTableRefresh nextId="6">
    <queryTableFields count="1">
      <queryTableField id="1" name="FUND_NAME" tableColumnId="1"/>
    </queryTableFields>
    <queryTableDeletedFields count="2">
      <deletedField name="REPORT_DATE"/>
      <deletedField name="MODIFIED"/>
    </queryTableDeletedFields>
  </queryTableRefresh>
</queryTable>
</file>

<file path=xl/queryTables/queryTable5.xml><?xml version="1.0" encoding="utf-8"?>
<queryTable xmlns="http://schemas.openxmlformats.org/spreadsheetml/2006/main" name="bis1 からのクエリ_2" connectionId="6" autoFormatId="20" applyNumberFormats="0" applyBorderFormats="0" applyFontFormats="0" applyPatternFormats="0" applyAlignmentFormats="0" applyWidthHeightFormats="0">
  <queryTableRefresh nextId="2">
    <queryTableFields count="1">
      <queryTableField id="1" name="VERSION" tableColumnId="1"/>
    </queryTableFields>
  </queryTableRefresh>
</queryTable>
</file>

<file path=xl/queryTables/queryTable6.xml><?xml version="1.0" encoding="utf-8"?>
<queryTable xmlns="http://schemas.openxmlformats.org/spreadsheetml/2006/main" name="bis1 からのクエリ_3" connectionId="2" autoFormatId="20" applyNumberFormats="0" applyBorderFormats="0" applyFontFormats="0" applyPatternFormats="0" applyAlignmentFormats="0" applyWidthHeightFormats="0">
  <queryTableRefresh nextId="3">
    <queryTableFields count="2">
      <queryTableField id="1" name="FUND_CCY" tableColumnId="1"/>
      <queryTableField id="2" name="FUND_NAV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7" name="テーブル_bis1_からのクエリ8" displayName="テーブル_bis1_からのクエリ8" ref="A7:AV38" tableType="queryTable" totalsRowShown="0">
  <autoFilter ref="A7:AV38"/>
  <tableColumns count="48">
    <tableColumn id="1" uniqueName="1" name="SEC_TYPE" queryTableFieldId="1"/>
    <tableColumn id="2" uniqueName="2" name="DESCRIPTION" queryTableFieldId="2"/>
    <tableColumn id="3" uniqueName="3" name="BB_TICKER" queryTableFieldId="3"/>
    <tableColumn id="4" uniqueName="4" name="QUANTITY" queryTableFieldId="4"/>
    <tableColumn id="8" uniqueName="8" name="MATURITY" queryTableFieldId="8" dataDxfId="4"/>
    <tableColumn id="13" uniqueName="13" name="CURRENCY" queryTableFieldId="16"/>
    <tableColumn id="15" uniqueName="15" name="REF" queryTableFieldId="18"/>
    <tableColumn id="16" uniqueName="16" name="Future判定" queryTableFieldId="20">
      <calculatedColumnFormula>IF(COUNTIF(テーブル_bis1_からのクエリ8[[#This Row],[SEC_TYPE]],"*Future"),1,0)</calculatedColumnFormula>
    </tableColumn>
    <tableColumn id="17" uniqueName="17" name="String_check" queryTableFieldId="21">
      <calculatedColumnFormula>LOWER(テーブル_bis1_からのクエリ8[[#This Row],[DESCRIPTION]])</calculatedColumnFormula>
    </tableColumn>
    <tableColumn id="19" uniqueName="19" name="Option" queryTableFieldId="23">
      <calculatedColumnFormula>IF(COUNTIF(テーブル_bis1_からのクエリ8[[#This Row],[SEC_TYPE]],"*ption"),1,0)</calculatedColumnFormula>
    </tableColumn>
    <tableColumn id="18" uniqueName="18" name="Call/Put" queryTableFieldId="22">
      <calculatedColumnFormula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calculatedColumnFormula>
    </tableColumn>
    <tableColumn id="20" uniqueName="20" name="CP_Flag" queryTableFieldId="24" dataDxfId="3">
      <calculatedColumnFormula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calculatedColumnFormula>
    </tableColumn>
    <tableColumn id="21" uniqueName="21" name="MARKET_VALUE" queryTableFieldId="25" dataDxfId="2" dataCellStyle="桁区切り"/>
    <tableColumn id="22" uniqueName="22" name="ASSET_TYPE_ID" queryTableFieldId="27"/>
    <tableColumn id="5" uniqueName="5" name="NO" queryTableFieldId="28"/>
    <tableColumn id="6" uniqueName="6" name="OBLIGOR_NAME" queryTableFieldId="29"/>
    <tableColumn id="7" uniqueName="7" name="AVC" queryTableFieldId="30"/>
    <tableColumn id="9" uniqueName="9" name="INDUSTRY" queryTableFieldId="31"/>
    <tableColumn id="10" uniqueName="10" name="SEC_CODE" queryTableFieldId="32"/>
    <tableColumn id="11" uniqueName="11" name="RTG_SP" queryTableFieldId="33"/>
    <tableColumn id="12" uniqueName="12" name="RTG_MOODY" queryTableFieldId="34"/>
    <tableColumn id="14" uniqueName="14" name="RTG_FITCH" queryTableFieldId="35"/>
    <tableColumn id="23" uniqueName="23" name="CAPITAL_TYPE" queryTableFieldId="36"/>
    <tableColumn id="24" uniqueName="24" name="HOLDING_TYPE" queryTableFieldId="37"/>
    <tableColumn id="25" uniqueName="25" name="ACC_INT" queryTableFieldId="38"/>
    <tableColumn id="26" uniqueName="26" name="NOTIONAL" queryTableFieldId="39"/>
    <tableColumn id="27" uniqueName="27" name="PER_NAV" queryTableFieldId="40"/>
    <tableColumn id="28" uniqueName="28" name="RISK_WEIGHT" queryTableFieldId="41"/>
    <tableColumn id="29" uniqueName="29" name="REF_NO" queryTableFieldId="42"/>
    <tableColumn id="30" uniqueName="30" name="UNDL_BB_TICKER" queryTableFieldId="43"/>
    <tableColumn id="31" uniqueName="31" name="REPO_DIFF" queryTableFieldId="44"/>
    <tableColumn id="32" uniqueName="32" name="REPO_DAYS" queryTableFieldId="45"/>
    <tableColumn id="33" uniqueName="33" name="REPO_MV" queryTableFieldId="46"/>
    <tableColumn id="34" uniqueName="34" name="REPO_COST" queryTableFieldId="47"/>
    <tableColumn id="35" uniqueName="35" name="REPO_ACC_INT" queryTableFieldId="48"/>
    <tableColumn id="36" uniqueName="36" name="REPO_AMOUNT" queryTableFieldId="49"/>
    <tableColumn id="37" uniqueName="37" name="PRICE" queryTableFieldId="50"/>
    <tableColumn id="38" uniqueName="38" name="COST" queryTableFieldId="51"/>
    <tableColumn id="40" uniqueName="40" name="FACTOR" queryTableFieldId="53"/>
    <tableColumn id="41" uniqueName="41" name="DELTA" queryTableFieldId="54"/>
    <tableColumn id="42" uniqueName="42" name="UNDL_PRICE" queryTableFieldId="55"/>
    <tableColumn id="43" uniqueName="43" name="START_DATE" queryTableFieldId="56" dataDxfId="1"/>
    <tableColumn id="44" uniqueName="44" name="FIN_WEIGHT" queryTableFieldId="57"/>
    <tableColumn id="45" uniqueName="45" name="REMARK" queryTableFieldId="58"/>
    <tableColumn id="46" uniqueName="46" name="MTIME" queryTableFieldId="59" dataDxfId="0"/>
    <tableColumn id="47" uniqueName="47" name="EST_RW" queryTableFieldId="60"/>
    <tableColumn id="48" uniqueName="48" name="ADJ_PER_NAV" queryTableFieldId="61"/>
    <tableColumn id="39" uniqueName="39" name="CCY_RATE" queryTableField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テーブル_bis1_からのクエリ2" displayName="テーブル_bis1_からのクエリ2" ref="A7:BW36" tableType="queryTable" totalsRowShown="0">
  <autoFilter ref="A7:BW36"/>
  <sortState ref="A8:BW36">
    <sortCondition ref="A7:A441"/>
  </sortState>
  <tableColumns count="75">
    <tableColumn id="1" uniqueName="1" name="NO" queryTableFieldId="1"/>
    <tableColumn id="2" uniqueName="2" name="OBLIGOR_NAME" queryTableFieldId="2"/>
    <tableColumn id="3" uniqueName="3" name="SEC_TYPE" queryTableFieldId="3"/>
    <tableColumn id="4" uniqueName="4" name="AVC" queryTableFieldId="4"/>
    <tableColumn id="5" uniqueName="5" name="INDUSTRY" queryTableFieldId="5"/>
    <tableColumn id="6" uniqueName="6" name="SEC_CODE" queryTableFieldId="6"/>
    <tableColumn id="7" uniqueName="7" name="RTG_SP" queryTableFieldId="7"/>
    <tableColumn id="8" uniqueName="8" name="RTG_MOODY" queryTableFieldId="8"/>
    <tableColumn id="9" uniqueName="9" name="RTG_FITCH" queryTableFieldId="9"/>
    <tableColumn id="56" uniqueName="56" name="SP" queryTableFieldId="56">
      <calculatedColumnFormula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calculatedColumnFormula>
    </tableColumn>
    <tableColumn id="57" uniqueName="57" name="MOODYS" queryTableFieldId="57">
      <calculatedColumnFormula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calculatedColumnFormula>
    </tableColumn>
    <tableColumn id="58" uniqueName="58" name="FITCH" queryTableFieldId="58">
      <calculatedColumnFormula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calculatedColumnFormula>
    </tableColumn>
    <tableColumn id="59" uniqueName="59" name="CVA掛け目_SP" queryTableFieldId="59">
      <calculatedColumnFormula>IF(テーブル_bis1_からのクエリ2[[#This Row],[SP]]&lt;&gt;0,VLOOKUP(テーブル_bis1_からのクエリ2[[#This Row],[SP]],SF!$L$1:$M$14,2,FALSE),"")</calculatedColumnFormula>
    </tableColumn>
    <tableColumn id="60" uniqueName="60" name="CVA掛け目_MOODYS" queryTableFieldId="60">
      <calculatedColumnFormula>IF(テーブル_bis1_からのクエリ2[[#This Row],[MOODYS]]&lt;&gt;0,VLOOKUP(テーブル_bis1_からのクエリ2[[#This Row],[MOODYS]],SF!$L$1:$M$14,2,FALSE),"")</calculatedColumnFormula>
    </tableColumn>
    <tableColumn id="61" uniqueName="61" name="CVA掛け目_FITCH" queryTableFieldId="61">
      <calculatedColumnFormula>IF(テーブル_bis1_からのクエリ2[[#This Row],[FITCH]]&lt;&gt;0,VLOOKUP(テーブル_bis1_からのクエリ2[[#This Row],[FITCH]],SF!$L$1:$M$14,2,FALSE),"")</calculatedColumnFormula>
    </tableColumn>
    <tableColumn id="62" uniqueName="62" name="CVA掛け目" queryTableFieldId="62">
      <calculatedColumnFormula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calculatedColumnFormula>
    </tableColumn>
    <tableColumn id="63" uniqueName="63" name="CVA" queryTableFieldId="63" dataDxfId="27" dataCellStyle="桁区切り">
      <calculatedColumnFormula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calculatedColumnFormula>
    </tableColumn>
    <tableColumn id="10" uniqueName="10" name="ASSET_TYPE_ID" queryTableFieldId="10"/>
    <tableColumn id="11" uniqueName="11" name="CAPITAL_TYPE" queryTableFieldId="11"/>
    <tableColumn id="12" uniqueName="12" name="HOLDING_TYPE" queryTableFieldId="12"/>
    <tableColumn id="13" uniqueName="13" name="MATURITY" queryTableFieldId="13" dataDxfId="26"/>
    <tableColumn id="52" uniqueName="52" name="length" queryTableFieldId="52" dataDxfId="25">
      <calculatedColumnFormula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calculatedColumnFormula>
    </tableColumn>
    <tableColumn id="53" uniqueName="53" name="Type" queryTableFieldId="53" dataDxfId="24">
      <calculatedColumnFormula>IF(AND(テーブル_bis1_からのクエリ2[[#This Row],[length]]&lt;&gt;"",テーブル_bis1_からのクエリ2[[#This Row],[ASSET_TYPE_ID]]&lt;&gt;31),VLOOKUP(テーブル_bis1_からのクエリ2[[#This Row],[SEC_TYPE]],SF!$I$1:$J$68,2,FALSE),"")</calculatedColumnFormula>
    </tableColumn>
    <tableColumn id="54" uniqueName="54" name="Type2" queryTableFieldId="54"/>
    <tableColumn id="55" uniqueName="55" name="Final_Type" queryTableFieldId="55" dataDxfId="23">
      <calculatedColumnFormula>IF(テーブル_bis1_からのクエリ2[[#This Row],[Type2]]&lt;&gt;"",テーブル_bis1_からのクエリ2[[#This Row],[Type2]],テーブル_bis1_からのクエリ2[[#This Row],[Type]])</calculatedColumnFormula>
    </tableColumn>
    <tableColumn id="64" uniqueName="64" name="duration" queryTableFieldId="64" dataDxfId="22">
      <calculatedColumnFormula>IF(テーブル_bis1_からのクエリ2[[#This Row],[length]]&lt;=1,1,IF(テーブル_bis1_からのクエリ2[[#This Row],[length]]&gt;=5,3,2))</calculatedColumnFormula>
    </tableColumn>
    <tableColumn id="65" uniqueName="65" name="combo" queryTableFieldId="65" dataDxfId="21">
      <calculatedColumnFormula>IF(テーブル_bis1_からのクエリ2[[#This Row],[Type]]&lt;&gt;"",CONCATENATE(テーブル_bis1_からのクエリ2[[#This Row],[Final_Type]],テーブル_bis1_からのクエリ2[[#This Row],[duration]]),"")</calculatedColumnFormula>
    </tableColumn>
    <tableColumn id="66" uniqueName="66" name="SCM_SF" queryTableFieldId="66" dataDxfId="20" dataCellStyle="パーセント">
      <calculatedColumnFormula>IF(AND(テーブル_bis1_からのクエリ2[[#This Row],[combo]]&lt;&gt;"",テーブル_bis1_からのクエリ2[[#This Row],[length]]&gt;0),VLOOKUP(テーブル_bis1_からのクエリ2[[#This Row],[combo]],SF!$B$1:$C$18,2,FALSE),"")</calculatedColumnFormula>
    </tableColumn>
    <tableColumn id="67" uniqueName="67" name="ADDON" queryTableFieldId="67" dataDxfId="19" dataCellStyle="桁区切り">
      <calculatedColumnFormula>IF(テーブル_bis1_からのクエリ2[[#This Row],[SCM_SF]]&lt;&gt;"",ABS(テーブル_bis1_からのクエリ2[[#This Row],[NOTIONAL]])*テーブル_bis1_からのクエリ2[[#This Row],[SCM_SF]],0)</calculatedColumnFormula>
    </tableColumn>
    <tableColumn id="68" uniqueName="68" name="PE(before CP)" queryTableFieldId="68" dataDxfId="18" dataCellStyle="桁区切り">
      <calculatedColumnFormula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calculatedColumnFormula>
    </tableColumn>
    <tableColumn id="69" uniqueName="69" name="PE" queryTableFieldId="69" dataDxfId="17" dataCellStyle="桁区切り">
      <calculatedColumnFormula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calculatedColumnFormula>
    </tableColumn>
    <tableColumn id="14" uniqueName="14" name="MARKET_VALUE" queryTableFieldId="14" dataDxfId="16" dataCellStyle="桁区切り"/>
    <tableColumn id="15" uniqueName="15" name="ACC_INT" queryTableFieldId="15"/>
    <tableColumn id="16" uniqueName="16" name="NOTIONAL" queryTableFieldId="16" dataDxfId="15" dataCellStyle="桁区切り"/>
    <tableColumn id="17" uniqueName="17" name="BB_TICKER" queryTableFieldId="17"/>
    <tableColumn id="18" uniqueName="18" name="DESCRIPTION" queryTableFieldId="18"/>
    <tableColumn id="19" uniqueName="19" name="PER_NAV" queryTableFieldId="19"/>
    <tableColumn id="20" uniqueName="20" name="RISK_WEIGHT" queryTableFieldId="20"/>
    <tableColumn id="21" uniqueName="21" name="MTIME" queryTableFieldId="21" dataDxfId="14"/>
    <tableColumn id="22" uniqueName="22" name="UNDL_NO" queryTableFieldId="22"/>
    <tableColumn id="51" uniqueName="51" name="undl_risk_weight" queryTableFieldId="70"/>
    <tableColumn id="23" uniqueName="23" name="UNDL_OBLIGOR" queryTableFieldId="23"/>
    <tableColumn id="24" uniqueName="24" name="UNDL_SEC_TYPE" queryTableFieldId="24"/>
    <tableColumn id="25" uniqueName="25" name="UNDL_AVC" queryTableFieldId="25"/>
    <tableColumn id="26" uniqueName="26" name="UNDL_INDUSTRY" queryTableFieldId="26"/>
    <tableColumn id="27" uniqueName="27" name="UNDL_SEC_CODE" queryTableFieldId="27"/>
    <tableColumn id="28" uniqueName="28" name="UNDL_SP" queryTableFieldId="28"/>
    <tableColumn id="29" uniqueName="29" name="UNDL_MOODY" queryTableFieldId="29"/>
    <tableColumn id="30" uniqueName="30" name="UNDL_FITCH" queryTableFieldId="30"/>
    <tableColumn id="31" uniqueName="31" name="UNDL_SENIORITY" queryTableFieldId="31"/>
    <tableColumn id="32" uniqueName="32" name="UNDL_MV" queryTableFieldId="32"/>
    <tableColumn id="33" uniqueName="33" name="UNDL_MATURITY" queryTableFieldId="33" dataDxfId="13"/>
    <tableColumn id="34" uniqueName="34" name="UNDL_FIN_WEIGHT" queryTableFieldId="34"/>
    <tableColumn id="35" uniqueName="35" name="UNDL_DESCRIPTION" queryTableFieldId="35"/>
    <tableColumn id="36" uniqueName="36" name="UNDL_BB_TICKER" queryTableFieldId="36"/>
    <tableColumn id="37" uniqueName="37" name="REPO_DIFF" queryTableFieldId="37"/>
    <tableColumn id="38" uniqueName="38" name="REPO_DAYS" queryTableFieldId="38"/>
    <tableColumn id="39" uniqueName="39" name="REPO_MV" queryTableFieldId="39"/>
    <tableColumn id="40" uniqueName="40" name="REPO_COST" queryTableFieldId="40"/>
    <tableColumn id="41" uniqueName="41" name="REPO_ACC_INT" queryTableFieldId="41"/>
    <tableColumn id="42" uniqueName="42" name="REPO_AMOUNT" queryTableFieldId="42"/>
    <tableColumn id="43" uniqueName="43" name="QUANTITY" queryTableFieldId="43"/>
    <tableColumn id="44" uniqueName="44" name="PRICE" queryTableFieldId="44"/>
    <tableColumn id="45" uniqueName="45" name="CURRENCY" queryTableFieldId="45"/>
    <tableColumn id="46" uniqueName="46" name="CCY_RATE" queryTableFieldId="79" dataDxfId="12"/>
    <tableColumn id="47" uniqueName="47" name="FACTOR" queryTableFieldId="47"/>
    <tableColumn id="48" uniqueName="48" name="DELTA" queryTableFieldId="48"/>
    <tableColumn id="49" uniqueName="49" name="UNDL_PRICE" queryTableFieldId="49"/>
    <tableColumn id="50" uniqueName="50" name="START_DATE" queryTableFieldId="50" dataDxfId="11"/>
    <tableColumn id="70" uniqueName="70" name="commodity_addon1" queryTableFieldId="71" dataDxfId="10" dataCellStyle="桁区切り">
      <calculatedColumnFormula>IF(AND(COUNTIF(テーブル_bis1_からのクエリ2[[#This Row],[SEC_TYPE]],"Commodity Future*"),NOT(COUNTIF(テーブル_bis1_からのクエリ2[[#This Row],[SEC_TYPE]],"*Gold*"))),テーブル_bis1_からのクエリ2[[#This Row],[NOTIONAL]]*1.875,0)</calculatedColumnFormula>
    </tableColumn>
    <tableColumn id="71" uniqueName="71" name="commodity_addon2" queryTableFieldId="72" dataDxfId="9" dataCellStyle="桁区切り">
      <calculatedColumnFormula>IF(AND(COUNTIF(テーブル_bis1_からのクエリ2[[#This Row],[SEC_TYPE]],"Commodity Future*"),NOT(COUNTIF(テーブル_bis1_からのクエリ2[[#This Row],[SEC_TYPE]],"*Gold*"))),ABS(テーブル_bis1_からのクエリ2[[#This Row],[NOTIONAL]])*0.375,0)</calculatedColumnFormula>
    </tableColumn>
    <tableColumn id="73" uniqueName="73" name="commodity_addon3" queryTableFieldId="74" dataDxfId="8" dataCellStyle="桁区切り">
      <calculatedColumnFormula>IF(COUNTIF(テーブル_bis1_からのクエリ2[[#This Row],[SEC_TYPE]],"Volatility Index Future*"),テーブル_bis1_からのクエリ2[[#This Row],[NOTIONAL]]*1.875,0)</calculatedColumnFormula>
    </tableColumn>
    <tableColumn id="74" uniqueName="74" name="commodity_addon4" queryTableFieldId="75" dataDxfId="7" dataCellStyle="桁区切り">
      <calculatedColumnFormula>IF(COUNTIF(テーブル_bis1_からのクエリ2[[#This Row],[SEC_TYPE]],"Volatility Index Future*"),ABS(テーブル_bis1_からのクエリ2[[#This Row],[NOTIONAL]])*0.375,0)</calculatedColumnFormula>
    </tableColumn>
    <tableColumn id="72" uniqueName="72" name="Currency_addon" queryTableFieldId="73">
      <calculatedColumnFormula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calculatedColumnFormula>
    </tableColumn>
    <tableColumn id="75" uniqueName="75" name="test" queryTableFieldId="78">
      <calculatedColumnFormula>テーブル_bis1_からのクエリ2[[#This Row],[PE]]/$B$4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テーブル_bis1_からのクエリ" displayName="テーブル_bis1_からのクエリ" ref="B1:B3" tableType="queryTable" totalsRowShown="0">
  <autoFilter ref="B1:B3"/>
  <tableColumns count="1">
    <tableColumn id="1" uniqueName="1" name="REPORT_DATE" queryTableFieldId="1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テーブル_bis1_からのクエリ_1" displayName="テーブル_bis1_からのクエリ_1" ref="A1:A102" tableType="queryTable" totalsRowShown="0">
  <autoFilter ref="A1:A102"/>
  <tableColumns count="1">
    <tableColumn id="1" uniqueName="1" name="FUND_NAME" queryTableField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テーブル_bis1_からのクエリ_2" displayName="テーブル_bis1_からのクエリ_2" ref="C1:C6" tableType="queryTable" totalsRowShown="0" dataDxfId="30">
  <autoFilter ref="C1:C6"/>
  <tableColumns count="1">
    <tableColumn id="1" uniqueName="1" name="VERSION" queryTableFieldId="1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テーブル_bis1_からのクエリ_3" displayName="テーブル_bis1_からのクエリ_3" ref="D1:E2" tableType="queryTable" totalsRowShown="0">
  <autoFilter ref="D1:E2"/>
  <tableColumns count="2">
    <tableColumn id="1" uniqueName="1" name="FUND_CCY" queryTableFieldId="1"/>
    <tableColumn id="2" uniqueName="2" name="FUND_NAV" queryTableFieldId="2" dataDxfId="6" dataCellStyle="桁区切り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38"/>
  <sheetViews>
    <sheetView tabSelected="1" workbookViewId="0">
      <selection activeCell="B2" sqref="B2"/>
    </sheetView>
  </sheetViews>
  <sheetFormatPr defaultRowHeight="18.75" x14ac:dyDescent="0.4"/>
  <cols>
    <col min="1" max="1" width="21.25" customWidth="1"/>
    <col min="2" max="2" width="50.625" customWidth="1"/>
    <col min="3" max="3" width="19.375" customWidth="1"/>
    <col min="4" max="4" width="13.875" customWidth="1"/>
    <col min="5" max="5" width="14" customWidth="1"/>
    <col min="6" max="6" width="14.75" style="9" customWidth="1"/>
    <col min="7" max="7" width="7.5" customWidth="1"/>
    <col min="8" max="8" width="13.625" customWidth="1"/>
    <col min="9" max="9" width="46.75" customWidth="1"/>
    <col min="10" max="10" width="9.75" customWidth="1"/>
    <col min="11" max="12" width="11.375" customWidth="1"/>
    <col min="13" max="13" width="20" customWidth="1"/>
    <col min="14" max="14" width="19.875" customWidth="1"/>
    <col min="15" max="15" width="6.625" customWidth="1"/>
    <col min="16" max="16" width="21.75" customWidth="1"/>
    <col min="17" max="17" width="7.625" customWidth="1"/>
    <col min="18" max="18" width="15.25" customWidth="1"/>
    <col min="19" max="19" width="14.375" customWidth="1"/>
    <col min="20" max="20" width="11.125" customWidth="1"/>
    <col min="21" max="21" width="16.25" customWidth="1"/>
    <col min="22" max="22" width="14.875" customWidth="1"/>
    <col min="23" max="23" width="18.5" customWidth="1"/>
    <col min="24" max="24" width="19.5" customWidth="1"/>
    <col min="25" max="25" width="12.125" customWidth="1"/>
    <col min="26" max="26" width="13.875" customWidth="1"/>
    <col min="27" max="27" width="14.25" customWidth="1"/>
    <col min="28" max="28" width="17.5" customWidth="1"/>
    <col min="29" max="29" width="11.375" customWidth="1"/>
    <col min="30" max="30" width="22.25" customWidth="1"/>
    <col min="31" max="31" width="14.75" customWidth="1"/>
    <col min="32" max="32" width="15.375" customWidth="1"/>
    <col min="33" max="33" width="12.875" customWidth="1"/>
    <col min="34" max="34" width="15.375" customWidth="1"/>
    <col min="35" max="35" width="18.875" customWidth="1"/>
    <col min="36" max="36" width="19.125" customWidth="1"/>
    <col min="37" max="37" width="9.5" customWidth="1"/>
    <col min="38" max="38" width="12.75" customWidth="1"/>
    <col min="39" max="39" width="11.5" customWidth="1"/>
    <col min="40" max="40" width="10.125" customWidth="1"/>
    <col min="41" max="41" width="16.5" customWidth="1"/>
    <col min="42" max="42" width="16.625" customWidth="1"/>
    <col min="43" max="43" width="16.25" customWidth="1"/>
    <col min="44" max="44" width="11.875" customWidth="1"/>
    <col min="45" max="45" width="15.875" customWidth="1"/>
    <col min="46" max="46" width="11.5" customWidth="1"/>
    <col min="47" max="47" width="17.5" customWidth="1"/>
    <col min="48" max="48" width="13.875" style="27" customWidth="1"/>
    <col min="49" max="49" width="17.5" customWidth="1"/>
    <col min="50" max="50" width="7.5" customWidth="1"/>
    <col min="51" max="51" width="13.625" bestFit="1" customWidth="1"/>
    <col min="52" max="52" width="33.75" customWidth="1"/>
    <col min="53" max="53" width="9.75" customWidth="1"/>
    <col min="54" max="55" width="11.375" customWidth="1"/>
    <col min="56" max="56" width="20" customWidth="1"/>
    <col min="57" max="57" width="19.875" customWidth="1"/>
    <col min="58" max="58" width="20" customWidth="1"/>
    <col min="59" max="59" width="21.625" customWidth="1"/>
    <col min="60" max="60" width="5.875" customWidth="1"/>
    <col min="61" max="61" width="26" customWidth="1"/>
    <col min="62" max="62" width="5.875" customWidth="1"/>
    <col min="63" max="63" width="7.5" customWidth="1"/>
    <col min="64" max="65" width="5.875" customWidth="1"/>
    <col min="66" max="66" width="14.75" customWidth="1"/>
    <col min="67" max="67" width="16.625" customWidth="1"/>
    <col min="68" max="68" width="5.875" customWidth="1"/>
    <col min="69" max="69" width="19.875" customWidth="1"/>
    <col min="70" max="70" width="33" customWidth="1"/>
    <col min="71" max="71" width="20.25" customWidth="1"/>
    <col min="72" max="72" width="14.375" customWidth="1"/>
    <col min="73" max="73" width="11.125" customWidth="1"/>
    <col min="74" max="74" width="16.25" customWidth="1"/>
    <col min="75" max="75" width="14.875" customWidth="1"/>
    <col min="76" max="76" width="13.875" customWidth="1"/>
    <col min="77" max="77" width="19.125" customWidth="1"/>
    <col min="78" max="78" width="34.125" customWidth="1"/>
    <col min="79" max="79" width="30.25" customWidth="1"/>
    <col min="80" max="80" width="15.625" customWidth="1"/>
    <col min="81" max="81" width="12.875" customWidth="1"/>
    <col min="82" max="82" width="14" customWidth="1"/>
    <col min="83" max="83" width="7.625" customWidth="1"/>
    <col min="84" max="84" width="18.5" customWidth="1"/>
    <col min="85" max="85" width="19.5" customWidth="1"/>
    <col min="86" max="86" width="12.5" customWidth="1"/>
    <col min="87" max="87" width="11.375" customWidth="1"/>
    <col min="88" max="88" width="22.25" customWidth="1"/>
    <col min="89" max="89" width="14.75" customWidth="1"/>
    <col min="90" max="91" width="15.375" customWidth="1"/>
    <col min="92" max="92" width="10.125" customWidth="1"/>
    <col min="93" max="93" width="14.75" customWidth="1"/>
    <col min="94" max="94" width="11.5" customWidth="1"/>
    <col min="95" max="95" width="20.375" customWidth="1"/>
    <col min="96" max="96" width="14" customWidth="1"/>
    <col min="97" max="97" width="20.75" customWidth="1"/>
    <col min="98" max="98" width="25.125" customWidth="1"/>
    <col min="99" max="99" width="53" customWidth="1"/>
    <col min="100" max="100" width="36.125" customWidth="1"/>
  </cols>
  <sheetData>
    <row r="1" spans="1:48" x14ac:dyDescent="0.2">
      <c r="A1" s="1" t="s">
        <v>3</v>
      </c>
      <c r="B1" s="2" t="s">
        <v>301</v>
      </c>
      <c r="C1" s="11">
        <f ca="1">IF(ROUNDUP(MONTH(TODAY())/3,0)-1=0,4,ROUNDUP(MONTH(TODAY())/3,0)-1)</f>
        <v>1</v>
      </c>
    </row>
    <row r="2" spans="1:48" x14ac:dyDescent="0.2">
      <c r="A2" s="3" t="s">
        <v>4</v>
      </c>
      <c r="B2" s="4" t="s">
        <v>351</v>
      </c>
    </row>
    <row r="3" spans="1:48" x14ac:dyDescent="0.2">
      <c r="A3" s="5" t="s">
        <v>5</v>
      </c>
      <c r="B3" s="6" t="str">
        <f>テーブル_bis1_からのクエリ_3[FUND_CCY]</f>
        <v>JPY</v>
      </c>
      <c r="F3" s="9" t="s">
        <v>333</v>
      </c>
      <c r="G3" s="64">
        <f>report_new!P5</f>
        <v>3.156836024327303E-2</v>
      </c>
    </row>
    <row r="4" spans="1:48" x14ac:dyDescent="0.2">
      <c r="A4" s="3" t="s">
        <v>6</v>
      </c>
      <c r="B4" s="7">
        <f>テーブル_bis1_からのクエリ_3[FUND_NAV]</f>
        <v>2601101093.02</v>
      </c>
      <c r="F4" s="9" t="s">
        <v>334</v>
      </c>
      <c r="G4" s="64">
        <f>report_new!AF3</f>
        <v>1.2463827973215984</v>
      </c>
    </row>
    <row r="5" spans="1:48" x14ac:dyDescent="0.2">
      <c r="A5" s="5" t="s">
        <v>7</v>
      </c>
      <c r="B5" s="8">
        <v>1</v>
      </c>
      <c r="F5" s="9" t="s">
        <v>360</v>
      </c>
      <c r="G5" s="64">
        <f>report_new!AG3</f>
        <v>0</v>
      </c>
    </row>
    <row r="7" spans="1:48" x14ac:dyDescent="0.4">
      <c r="A7" t="s">
        <v>68</v>
      </c>
      <c r="B7" t="s">
        <v>69</v>
      </c>
      <c r="C7" t="s">
        <v>70</v>
      </c>
      <c r="D7" t="s">
        <v>71</v>
      </c>
      <c r="E7" t="s">
        <v>72</v>
      </c>
      <c r="F7" t="s">
        <v>78</v>
      </c>
      <c r="G7" t="s">
        <v>79</v>
      </c>
      <c r="H7" t="s">
        <v>91</v>
      </c>
      <c r="I7" t="s">
        <v>93</v>
      </c>
      <c r="J7" t="s">
        <v>94</v>
      </c>
      <c r="K7" t="s">
        <v>92</v>
      </c>
      <c r="L7" t="s">
        <v>95</v>
      </c>
      <c r="M7" t="s">
        <v>97</v>
      </c>
      <c r="N7" t="s">
        <v>77</v>
      </c>
      <c r="O7" t="s">
        <v>101</v>
      </c>
      <c r="P7" t="s">
        <v>102</v>
      </c>
      <c r="Q7" t="s">
        <v>103</v>
      </c>
      <c r="R7" t="s">
        <v>104</v>
      </c>
      <c r="S7" t="s">
        <v>105</v>
      </c>
      <c r="T7" t="s">
        <v>106</v>
      </c>
      <c r="U7" t="s">
        <v>107</v>
      </c>
      <c r="V7" t="s">
        <v>108</v>
      </c>
      <c r="W7" t="s">
        <v>109</v>
      </c>
      <c r="X7" t="s">
        <v>110</v>
      </c>
      <c r="Y7" t="s">
        <v>111</v>
      </c>
      <c r="Z7" t="s">
        <v>112</v>
      </c>
      <c r="AA7" t="s">
        <v>113</v>
      </c>
      <c r="AB7" t="s">
        <v>114</v>
      </c>
      <c r="AC7" t="s">
        <v>115</v>
      </c>
      <c r="AD7" t="s">
        <v>116</v>
      </c>
      <c r="AE7" t="s">
        <v>117</v>
      </c>
      <c r="AF7" t="s">
        <v>118</v>
      </c>
      <c r="AG7" t="s">
        <v>119</v>
      </c>
      <c r="AH7" t="s">
        <v>120</v>
      </c>
      <c r="AI7" t="s">
        <v>121</v>
      </c>
      <c r="AJ7" t="s">
        <v>122</v>
      </c>
      <c r="AK7" t="s">
        <v>123</v>
      </c>
      <c r="AL7" t="s">
        <v>124</v>
      </c>
      <c r="AM7" t="s">
        <v>125</v>
      </c>
      <c r="AN7" t="s">
        <v>126</v>
      </c>
      <c r="AO7" t="s">
        <v>127</v>
      </c>
      <c r="AP7" t="s">
        <v>128</v>
      </c>
      <c r="AQ7" t="s">
        <v>129</v>
      </c>
      <c r="AR7" t="s">
        <v>130</v>
      </c>
      <c r="AS7" t="s">
        <v>131</v>
      </c>
      <c r="AT7" t="s">
        <v>132</v>
      </c>
      <c r="AU7" t="s">
        <v>133</v>
      </c>
      <c r="AV7" s="27" t="s">
        <v>633</v>
      </c>
    </row>
    <row r="8" spans="1:48" x14ac:dyDescent="0.4">
      <c r="A8" s="27" t="s">
        <v>151</v>
      </c>
      <c r="B8" s="27" t="s">
        <v>684</v>
      </c>
      <c r="C8" s="27" t="s">
        <v>641</v>
      </c>
      <c r="D8" s="27">
        <v>-730000</v>
      </c>
      <c r="E8" s="9"/>
      <c r="F8" s="27" t="s">
        <v>381</v>
      </c>
      <c r="G8" s="27"/>
      <c r="H8" s="27">
        <f>IF(COUNTIF(テーブル_bis1_からのクエリ8[[#This Row],[SEC_TYPE]],"*Future"),1,0)</f>
        <v>0</v>
      </c>
      <c r="I8" s="27" t="str">
        <f>LOWER(テーブル_bis1_からのクエリ8[[#This Row],[DESCRIPTION]])</f>
        <v>china hongqiao group ltd</v>
      </c>
      <c r="J8" s="27">
        <f>IF(COUNTIF(テーブル_bis1_からのクエリ8[[#This Row],[SEC_TYPE]],"*ption"),1,0)</f>
        <v>0</v>
      </c>
      <c r="K8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8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8" s="11">
        <v>247989.67</v>
      </c>
      <c r="N8" s="27">
        <v>52</v>
      </c>
      <c r="O8" s="27">
        <v>1</v>
      </c>
      <c r="P8" s="27" t="s">
        <v>639</v>
      </c>
      <c r="Q8" s="27" t="s">
        <v>369</v>
      </c>
      <c r="R8" s="27" t="s">
        <v>640</v>
      </c>
      <c r="S8" s="27"/>
      <c r="T8" s="27" t="s">
        <v>374</v>
      </c>
      <c r="U8" s="27"/>
      <c r="V8" s="27" t="s">
        <v>371</v>
      </c>
      <c r="W8" s="27"/>
      <c r="X8" s="27"/>
      <c r="Y8" s="27"/>
      <c r="Z8" s="27">
        <v>-74063147.689999998</v>
      </c>
      <c r="AA8" s="27">
        <v>9.5340265961009772E-5</v>
      </c>
      <c r="AB8" s="27">
        <v>0.44665820032600001</v>
      </c>
      <c r="AC8" s="27"/>
      <c r="AD8" s="27" t="s">
        <v>681</v>
      </c>
      <c r="AE8" s="27"/>
      <c r="AF8" s="27"/>
      <c r="AG8" s="27"/>
      <c r="AH8" s="27"/>
      <c r="AI8" s="27"/>
      <c r="AJ8" s="27"/>
      <c r="AK8" s="27">
        <v>7.05</v>
      </c>
      <c r="AL8" s="27"/>
      <c r="AM8" s="27"/>
      <c r="AN8" s="27"/>
      <c r="AO8" s="27"/>
      <c r="AP8" s="9"/>
      <c r="AQ8" s="27"/>
      <c r="AR8" s="27"/>
      <c r="AS8" s="13">
        <v>42884.636550925927</v>
      </c>
      <c r="AT8" s="27"/>
      <c r="AU8" s="27"/>
      <c r="AV8" s="27">
        <v>14.390974</v>
      </c>
    </row>
    <row r="9" spans="1:48" x14ac:dyDescent="0.4">
      <c r="A9" s="27" t="s">
        <v>73</v>
      </c>
      <c r="B9" s="27" t="s">
        <v>684</v>
      </c>
      <c r="C9" s="27" t="s">
        <v>681</v>
      </c>
      <c r="D9" s="27"/>
      <c r="E9" s="9"/>
      <c r="F9" s="27"/>
      <c r="G9" s="27" t="s">
        <v>79</v>
      </c>
      <c r="H9" s="27">
        <f>IF(COUNTIF(テーブル_bis1_からのクエリ8[[#This Row],[SEC_TYPE]],"*Future"),1,0)</f>
        <v>0</v>
      </c>
      <c r="I9" s="27" t="str">
        <f>LOWER(テーブル_bis1_からのクエリ8[[#This Row],[DESCRIPTION]])</f>
        <v>china hongqiao group ltd</v>
      </c>
      <c r="J9" s="27">
        <f>IF(COUNTIF(テーブル_bis1_からのクエリ8[[#This Row],[SEC_TYPE]],"*ption"),1,0)</f>
        <v>0</v>
      </c>
      <c r="K9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9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9" s="11">
        <v>-74063147.689999998</v>
      </c>
      <c r="N9" s="27">
        <v>10</v>
      </c>
      <c r="O9" s="27">
        <v>2</v>
      </c>
      <c r="P9" s="27" t="s">
        <v>682</v>
      </c>
      <c r="Q9" s="27"/>
      <c r="R9" s="27" t="s">
        <v>375</v>
      </c>
      <c r="S9" s="27"/>
      <c r="T9" s="27" t="s">
        <v>389</v>
      </c>
      <c r="U9" s="27"/>
      <c r="V9" s="27" t="s">
        <v>638</v>
      </c>
      <c r="W9" s="27"/>
      <c r="X9" s="27"/>
      <c r="Y9" s="27"/>
      <c r="Z9" s="27"/>
      <c r="AA9" s="27">
        <v>-2.8473767470532728E-2</v>
      </c>
      <c r="AB9" s="27">
        <v>3</v>
      </c>
      <c r="AC9" s="27">
        <v>1</v>
      </c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9"/>
      <c r="AQ9" s="27">
        <v>0</v>
      </c>
      <c r="AR9" s="27"/>
      <c r="AS9" s="13">
        <v>42884.636550925927</v>
      </c>
      <c r="AT9" s="27"/>
      <c r="AU9" s="27"/>
    </row>
    <row r="10" spans="1:48" x14ac:dyDescent="0.4">
      <c r="A10" s="27" t="s">
        <v>151</v>
      </c>
      <c r="B10" s="27" t="s">
        <v>685</v>
      </c>
      <c r="C10" s="27" t="s">
        <v>643</v>
      </c>
      <c r="D10" s="27">
        <v>-1300</v>
      </c>
      <c r="E10" s="9"/>
      <c r="F10" s="27" t="s">
        <v>340</v>
      </c>
      <c r="G10" s="27"/>
      <c r="H10" s="27">
        <f>IF(COUNTIF(テーブル_bis1_からのクエリ8[[#This Row],[SEC_TYPE]],"*Future"),1,0)</f>
        <v>0</v>
      </c>
      <c r="I10" s="27" t="str">
        <f>LOWER(テーブル_bis1_からのクエリ8[[#This Row],[DESCRIPTION]])</f>
        <v>baidu inc - spon adr</v>
      </c>
      <c r="J10" s="27">
        <f>IF(COUNTIF(テーブル_bis1_からのクエリ8[[#This Row],[SEC_TYPE]],"*ption"),1,0)</f>
        <v>0</v>
      </c>
      <c r="K10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0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0" s="11">
        <v>-109450.81</v>
      </c>
      <c r="N10" s="27">
        <v>52</v>
      </c>
      <c r="O10" s="27">
        <v>3</v>
      </c>
      <c r="P10" s="27" t="s">
        <v>642</v>
      </c>
      <c r="Q10" s="27" t="s">
        <v>369</v>
      </c>
      <c r="R10" s="27" t="s">
        <v>640</v>
      </c>
      <c r="S10" s="27"/>
      <c r="T10" s="27" t="s">
        <v>374</v>
      </c>
      <c r="U10" s="27" t="s">
        <v>372</v>
      </c>
      <c r="V10" s="27"/>
      <c r="W10" s="27"/>
      <c r="X10" s="27"/>
      <c r="Y10" s="27"/>
      <c r="Z10" s="27">
        <v>-25076299.559999999</v>
      </c>
      <c r="AA10" s="27">
        <v>-4.2078645191341826E-5</v>
      </c>
      <c r="AB10" s="27">
        <v>0.44665820032600001</v>
      </c>
      <c r="AC10" s="27"/>
      <c r="AD10" s="27" t="s">
        <v>636</v>
      </c>
      <c r="AE10" s="27"/>
      <c r="AF10" s="27"/>
      <c r="AG10" s="27"/>
      <c r="AH10" s="27"/>
      <c r="AI10" s="27"/>
      <c r="AJ10" s="27"/>
      <c r="AK10" s="27">
        <v>172.52</v>
      </c>
      <c r="AL10" s="27"/>
      <c r="AM10" s="27"/>
      <c r="AN10" s="27"/>
      <c r="AO10" s="27"/>
      <c r="AP10" s="9"/>
      <c r="AQ10" s="27"/>
      <c r="AR10" s="27"/>
      <c r="AS10" s="13">
        <v>42884.636550925927</v>
      </c>
      <c r="AT10" s="27"/>
      <c r="AU10" s="27"/>
      <c r="AV10" s="27">
        <v>111.81</v>
      </c>
    </row>
    <row r="11" spans="1:48" x14ac:dyDescent="0.4">
      <c r="A11" s="27" t="s">
        <v>73</v>
      </c>
      <c r="B11" s="27" t="s">
        <v>685</v>
      </c>
      <c r="C11" s="27" t="s">
        <v>636</v>
      </c>
      <c r="D11" s="27"/>
      <c r="E11" s="9"/>
      <c r="F11" s="27"/>
      <c r="G11" s="27" t="s">
        <v>79</v>
      </c>
      <c r="H11" s="27">
        <f>IF(COUNTIF(テーブル_bis1_からのクエリ8[[#This Row],[SEC_TYPE]],"*Future"),1,0)</f>
        <v>0</v>
      </c>
      <c r="I11" s="27" t="str">
        <f>LOWER(テーブル_bis1_からのクエリ8[[#This Row],[DESCRIPTION]])</f>
        <v>baidu inc - spon adr</v>
      </c>
      <c r="J11" s="27">
        <f>IF(COUNTIF(テーブル_bis1_からのクエリ8[[#This Row],[SEC_TYPE]],"*ption"),1,0)</f>
        <v>0</v>
      </c>
      <c r="K11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1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1" s="11">
        <v>-25076299.559999999</v>
      </c>
      <c r="N11" s="27">
        <v>10</v>
      </c>
      <c r="O11" s="27">
        <v>4</v>
      </c>
      <c r="P11" s="27" t="s">
        <v>635</v>
      </c>
      <c r="Q11" s="27"/>
      <c r="R11" s="27" t="s">
        <v>375</v>
      </c>
      <c r="S11" s="27"/>
      <c r="T11" s="27"/>
      <c r="U11" s="27" t="s">
        <v>379</v>
      </c>
      <c r="V11" s="27" t="s">
        <v>371</v>
      </c>
      <c r="W11" s="27"/>
      <c r="X11" s="27"/>
      <c r="Y11" s="27"/>
      <c r="Z11" s="27"/>
      <c r="AA11" s="27">
        <v>-9.6406478115332473E-3</v>
      </c>
      <c r="AB11" s="27">
        <v>2</v>
      </c>
      <c r="AC11" s="27">
        <v>3</v>
      </c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9"/>
      <c r="AQ11" s="27">
        <v>0</v>
      </c>
      <c r="AR11" s="27"/>
      <c r="AS11" s="13">
        <v>42884.636550925927</v>
      </c>
      <c r="AT11" s="27"/>
      <c r="AU11" s="27"/>
    </row>
    <row r="12" spans="1:48" x14ac:dyDescent="0.4">
      <c r="A12" s="27" t="s">
        <v>99</v>
      </c>
      <c r="B12" s="27" t="s">
        <v>686</v>
      </c>
      <c r="C12" s="27" t="s">
        <v>643</v>
      </c>
      <c r="D12" s="27">
        <v>-181971168.09999999</v>
      </c>
      <c r="E12" s="9">
        <v>42853</v>
      </c>
      <c r="F12" s="27" t="s">
        <v>381</v>
      </c>
      <c r="G12" s="27"/>
      <c r="H12" s="27">
        <f>IF(COUNTIF(テーブル_bis1_からのクエリ8[[#This Row],[SEC_TYPE]],"*Future"),1,0)</f>
        <v>0</v>
      </c>
      <c r="I12" s="27" t="str">
        <f>LOWER(テーブル_bis1_からのクエリ8[[#This Row],[DESCRIPTION]])</f>
        <v>jpy per hkd @  14.320950 morgan01 - 04/28/2017</v>
      </c>
      <c r="J12" s="27">
        <f>IF(COUNTIF(テーブル_bis1_からのクエリ8[[#This Row],[SEC_TYPE]],"*ption"),1,0)</f>
        <v>0</v>
      </c>
      <c r="K12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2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2" s="11">
        <v>-11224818</v>
      </c>
      <c r="N12" s="27">
        <v>50</v>
      </c>
      <c r="O12" s="27">
        <v>5</v>
      </c>
      <c r="P12" s="27" t="s">
        <v>642</v>
      </c>
      <c r="Q12" s="27" t="s">
        <v>369</v>
      </c>
      <c r="R12" s="27" t="s">
        <v>640</v>
      </c>
      <c r="S12" s="27"/>
      <c r="T12" s="27" t="s">
        <v>374</v>
      </c>
      <c r="U12" s="27" t="s">
        <v>372</v>
      </c>
      <c r="V12" s="27"/>
      <c r="W12" s="27"/>
      <c r="X12" s="27"/>
      <c r="Y12" s="27"/>
      <c r="Z12" s="27">
        <v>-2617224818</v>
      </c>
      <c r="AA12" s="27">
        <v>-4.3154101277038262E-3</v>
      </c>
      <c r="AB12" s="27">
        <v>0.15517073428299999</v>
      </c>
      <c r="AC12" s="27"/>
      <c r="AD12" s="27"/>
      <c r="AE12" s="27"/>
      <c r="AF12" s="27"/>
      <c r="AG12" s="27"/>
      <c r="AH12" s="27"/>
      <c r="AI12" s="27"/>
      <c r="AJ12" s="27"/>
      <c r="AK12" s="27">
        <v>1</v>
      </c>
      <c r="AL12" s="27">
        <v>-2606000000</v>
      </c>
      <c r="AM12" s="27"/>
      <c r="AN12" s="27"/>
      <c r="AO12" s="27"/>
      <c r="AP12" s="9"/>
      <c r="AQ12" s="27"/>
      <c r="AR12" s="27"/>
      <c r="AS12" s="13">
        <v>42884.636550925927</v>
      </c>
      <c r="AT12" s="27"/>
      <c r="AU12" s="27"/>
      <c r="AV12" s="27">
        <v>14.382635000000001</v>
      </c>
    </row>
    <row r="13" spans="1:48" x14ac:dyDescent="0.4">
      <c r="A13" s="27" t="s">
        <v>73</v>
      </c>
      <c r="B13" s="27" t="s">
        <v>689</v>
      </c>
      <c r="C13" s="27" t="s">
        <v>688</v>
      </c>
      <c r="D13" s="27">
        <v>1426000</v>
      </c>
      <c r="E13" s="9"/>
      <c r="F13" s="27" t="s">
        <v>381</v>
      </c>
      <c r="G13" s="27"/>
      <c r="H13" s="27">
        <f>IF(COUNTIF(テーブル_bis1_からのクエリ8[[#This Row],[SEC_TYPE]],"*Future"),1,0)</f>
        <v>0</v>
      </c>
      <c r="I13" s="27" t="str">
        <f>LOWER(テーブル_bis1_からのクエリ8[[#This Row],[DESCRIPTION]])</f>
        <v>cgn meiya power holdings co</v>
      </c>
      <c r="J13" s="27">
        <f>IF(COUNTIF(テーブル_bis1_からのクエリ8[[#This Row],[SEC_TYPE]],"*ption"),1,0)</f>
        <v>0</v>
      </c>
      <c r="K13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3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3" s="11">
        <v>25446695.829999998</v>
      </c>
      <c r="N13" s="27">
        <v>10</v>
      </c>
      <c r="O13" s="27">
        <v>6</v>
      </c>
      <c r="P13" s="27" t="s">
        <v>687</v>
      </c>
      <c r="Q13" s="27"/>
      <c r="R13" s="27" t="s">
        <v>375</v>
      </c>
      <c r="S13" s="27"/>
      <c r="T13" s="27"/>
      <c r="U13" s="27"/>
      <c r="V13" s="27" t="s">
        <v>374</v>
      </c>
      <c r="W13" s="27"/>
      <c r="X13" s="27"/>
      <c r="Y13" s="27"/>
      <c r="Z13" s="27"/>
      <c r="AA13" s="27">
        <v>9.7830476094472717E-3</v>
      </c>
      <c r="AB13" s="27">
        <v>2</v>
      </c>
      <c r="AC13" s="27"/>
      <c r="AD13" s="27"/>
      <c r="AE13" s="27"/>
      <c r="AF13" s="27"/>
      <c r="AG13" s="27"/>
      <c r="AH13" s="27"/>
      <c r="AI13" s="27"/>
      <c r="AJ13" s="27"/>
      <c r="AK13" s="27">
        <v>1.24</v>
      </c>
      <c r="AL13" s="27">
        <v>26698413.949999999</v>
      </c>
      <c r="AM13" s="27"/>
      <c r="AN13" s="27"/>
      <c r="AO13" s="27"/>
      <c r="AP13" s="9"/>
      <c r="AQ13" s="27"/>
      <c r="AR13" s="27"/>
      <c r="AS13" s="13">
        <v>42884.636550925927</v>
      </c>
      <c r="AT13" s="27"/>
      <c r="AU13" s="27"/>
      <c r="AV13" s="27">
        <v>14.390974</v>
      </c>
    </row>
    <row r="14" spans="1:48" x14ac:dyDescent="0.4">
      <c r="A14" s="27" t="s">
        <v>73</v>
      </c>
      <c r="B14" s="27" t="s">
        <v>692</v>
      </c>
      <c r="C14" s="27" t="s">
        <v>691</v>
      </c>
      <c r="D14" s="27">
        <v>736000</v>
      </c>
      <c r="E14" s="9"/>
      <c r="F14" s="27" t="s">
        <v>381</v>
      </c>
      <c r="G14" s="27"/>
      <c r="H14" s="27">
        <f>IF(COUNTIF(テーブル_bis1_からのクエリ8[[#This Row],[SEC_TYPE]],"*Future"),1,0)</f>
        <v>0</v>
      </c>
      <c r="I14" s="27" t="str">
        <f>LOWER(テーブル_bis1_からのクエリ8[[#This Row],[DESCRIPTION]])</f>
        <v>cgn power co ltd-h</v>
      </c>
      <c r="J14" s="27">
        <f>IF(COUNTIF(テーブル_bis1_からのクエリ8[[#This Row],[SEC_TYPE]],"*ption"),1,0)</f>
        <v>0</v>
      </c>
      <c r="K14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4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4" s="11">
        <v>25420216.440000001</v>
      </c>
      <c r="N14" s="27">
        <v>10</v>
      </c>
      <c r="O14" s="27">
        <v>7</v>
      </c>
      <c r="P14" s="27" t="s">
        <v>690</v>
      </c>
      <c r="Q14" s="27"/>
      <c r="R14" s="27" t="s">
        <v>375</v>
      </c>
      <c r="S14" s="27"/>
      <c r="T14" s="27"/>
      <c r="U14" s="27"/>
      <c r="V14" s="27"/>
      <c r="W14" s="27"/>
      <c r="X14" s="27"/>
      <c r="Y14" s="27"/>
      <c r="Z14" s="27"/>
      <c r="AA14" s="27">
        <v>9.7728675399101628E-3</v>
      </c>
      <c r="AB14" s="27">
        <v>3</v>
      </c>
      <c r="AC14" s="27"/>
      <c r="AD14" s="27"/>
      <c r="AE14" s="27"/>
      <c r="AF14" s="27"/>
      <c r="AG14" s="27"/>
      <c r="AH14" s="27"/>
      <c r="AI14" s="27"/>
      <c r="AJ14" s="27"/>
      <c r="AK14" s="27">
        <v>2.4</v>
      </c>
      <c r="AL14" s="27">
        <v>26429154.66</v>
      </c>
      <c r="AM14" s="27"/>
      <c r="AN14" s="27"/>
      <c r="AO14" s="27"/>
      <c r="AP14" s="9"/>
      <c r="AQ14" s="27"/>
      <c r="AR14" s="27"/>
      <c r="AS14" s="13">
        <v>42884.636550925927</v>
      </c>
      <c r="AT14" s="27"/>
      <c r="AU14" s="27"/>
      <c r="AV14" s="27">
        <v>14.390974</v>
      </c>
    </row>
    <row r="15" spans="1:48" x14ac:dyDescent="0.4">
      <c r="A15" s="27" t="s">
        <v>73</v>
      </c>
      <c r="B15" s="27" t="s">
        <v>655</v>
      </c>
      <c r="C15" s="27" t="s">
        <v>654</v>
      </c>
      <c r="D15" s="27">
        <v>351000</v>
      </c>
      <c r="E15" s="9"/>
      <c r="F15" s="27" t="s">
        <v>381</v>
      </c>
      <c r="G15" s="27"/>
      <c r="H15" s="27">
        <f>IF(COUNTIF(テーブル_bis1_からのクエリ8[[#This Row],[SEC_TYPE]],"*Future"),1,0)</f>
        <v>0</v>
      </c>
      <c r="I15" s="27" t="str">
        <f>LOWER(テーブル_bis1_からのクエリ8[[#This Row],[DESCRIPTION]])</f>
        <v>china communications const-h</v>
      </c>
      <c r="J15" s="27">
        <f>IF(COUNTIF(テーブル_bis1_からのクエリ8[[#This Row],[SEC_TYPE]],"*ption"),1,0)</f>
        <v>0</v>
      </c>
      <c r="K15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5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5" s="11">
        <v>55361501.270000003</v>
      </c>
      <c r="N15" s="27">
        <v>10</v>
      </c>
      <c r="O15" s="27">
        <v>8</v>
      </c>
      <c r="P15" s="27" t="s">
        <v>653</v>
      </c>
      <c r="Q15" s="27"/>
      <c r="R15" s="27" t="s">
        <v>375</v>
      </c>
      <c r="S15" s="27"/>
      <c r="T15" s="27"/>
      <c r="U15" s="27" t="s">
        <v>379</v>
      </c>
      <c r="V15" s="27" t="s">
        <v>385</v>
      </c>
      <c r="W15" s="27"/>
      <c r="X15" s="27"/>
      <c r="Y15" s="27"/>
      <c r="Z15" s="27"/>
      <c r="AA15" s="27">
        <v>2.1283871441429719E-2</v>
      </c>
      <c r="AB15" s="27">
        <v>2</v>
      </c>
      <c r="AC15" s="27"/>
      <c r="AD15" s="27"/>
      <c r="AE15" s="27"/>
      <c r="AF15" s="27"/>
      <c r="AG15" s="27"/>
      <c r="AH15" s="27"/>
      <c r="AI15" s="27"/>
      <c r="AJ15" s="27"/>
      <c r="AK15" s="27">
        <v>10.96</v>
      </c>
      <c r="AL15" s="27">
        <v>58696023.729999997</v>
      </c>
      <c r="AM15" s="27"/>
      <c r="AN15" s="27"/>
      <c r="AO15" s="27"/>
      <c r="AP15" s="9"/>
      <c r="AQ15" s="27"/>
      <c r="AR15" s="27"/>
      <c r="AS15" s="13">
        <v>42884.636550925927</v>
      </c>
      <c r="AT15" s="27"/>
      <c r="AU15" s="27"/>
      <c r="AV15" s="27">
        <v>14.390974</v>
      </c>
    </row>
    <row r="16" spans="1:48" x14ac:dyDescent="0.4">
      <c r="A16" s="27" t="s">
        <v>73</v>
      </c>
      <c r="B16" s="27" t="s">
        <v>693</v>
      </c>
      <c r="C16" s="27" t="s">
        <v>664</v>
      </c>
      <c r="D16" s="27">
        <v>477000</v>
      </c>
      <c r="E16" s="9"/>
      <c r="F16" s="27" t="s">
        <v>381</v>
      </c>
      <c r="G16" s="27"/>
      <c r="H16" s="27">
        <f>IF(COUNTIF(テーブル_bis1_からのクエリ8[[#This Row],[SEC_TYPE]],"*Future"),1,0)</f>
        <v>0</v>
      </c>
      <c r="I16" s="27" t="str">
        <f>LOWER(テーブル_bis1_からのクエリ8[[#This Row],[DESCRIPTION]])</f>
        <v>china railway group ltd-h</v>
      </c>
      <c r="J16" s="27">
        <f>IF(COUNTIF(テーブル_bis1_からのクエリ8[[#This Row],[SEC_TYPE]],"*ption"),1,0)</f>
        <v>0</v>
      </c>
      <c r="K16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6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6" s="11">
        <v>47708237.390000001</v>
      </c>
      <c r="N16" s="27">
        <v>10</v>
      </c>
      <c r="O16" s="27">
        <v>9</v>
      </c>
      <c r="P16" s="27" t="s">
        <v>663</v>
      </c>
      <c r="Q16" s="27"/>
      <c r="R16" s="27" t="s">
        <v>375</v>
      </c>
      <c r="S16" s="27"/>
      <c r="T16" s="27" t="s">
        <v>376</v>
      </c>
      <c r="U16" s="27" t="s">
        <v>379</v>
      </c>
      <c r="V16" s="27" t="s">
        <v>385</v>
      </c>
      <c r="W16" s="27"/>
      <c r="X16" s="27"/>
      <c r="Y16" s="27"/>
      <c r="Z16" s="27"/>
      <c r="AA16" s="27">
        <v>1.8341554473997206E-2</v>
      </c>
      <c r="AB16" s="27">
        <v>2</v>
      </c>
      <c r="AC16" s="27"/>
      <c r="AD16" s="27"/>
      <c r="AE16" s="27"/>
      <c r="AF16" s="27"/>
      <c r="AG16" s="27"/>
      <c r="AH16" s="27"/>
      <c r="AI16" s="27"/>
      <c r="AJ16" s="27"/>
      <c r="AK16" s="27">
        <v>6.95</v>
      </c>
      <c r="AL16" s="27">
        <v>52486740.109999999</v>
      </c>
      <c r="AM16" s="27"/>
      <c r="AN16" s="27"/>
      <c r="AO16" s="27"/>
      <c r="AP16" s="9"/>
      <c r="AQ16" s="27"/>
      <c r="AR16" s="27"/>
      <c r="AS16" s="13">
        <v>42884.636550925927</v>
      </c>
      <c r="AT16" s="27"/>
      <c r="AU16" s="27"/>
      <c r="AV16" s="27">
        <v>14.390974</v>
      </c>
    </row>
    <row r="17" spans="1:48" x14ac:dyDescent="0.4">
      <c r="A17" s="27" t="s">
        <v>73</v>
      </c>
      <c r="B17" s="27" t="s">
        <v>649</v>
      </c>
      <c r="C17" s="27" t="s">
        <v>648</v>
      </c>
      <c r="D17" s="27">
        <v>366000</v>
      </c>
      <c r="E17" s="9"/>
      <c r="F17" s="27" t="s">
        <v>381</v>
      </c>
      <c r="G17" s="27"/>
      <c r="H17" s="27">
        <f>IF(COUNTIF(テーブル_bis1_からのクエリ8[[#This Row],[SEC_TYPE]],"*Future"),1,0)</f>
        <v>0</v>
      </c>
      <c r="I17" s="27" t="str">
        <f>LOWER(テーブル_bis1_からのクエリ8[[#This Row],[DESCRIPTION]])</f>
        <v>china unicom hong kong ltd</v>
      </c>
      <c r="J17" s="27">
        <f>IF(COUNTIF(テーブル_bis1_からのクエリ8[[#This Row],[SEC_TYPE]],"*ption"),1,0)</f>
        <v>0</v>
      </c>
      <c r="K17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7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7" s="11">
        <v>54777803.359999999</v>
      </c>
      <c r="N17" s="27">
        <v>10</v>
      </c>
      <c r="O17" s="27">
        <v>10</v>
      </c>
      <c r="P17" s="27" t="s">
        <v>647</v>
      </c>
      <c r="Q17" s="27"/>
      <c r="R17" s="27" t="s">
        <v>375</v>
      </c>
      <c r="S17" s="27"/>
      <c r="T17" s="27"/>
      <c r="U17" s="27"/>
      <c r="V17" s="27"/>
      <c r="W17" s="27"/>
      <c r="X17" s="27"/>
      <c r="Y17" s="27"/>
      <c r="Z17" s="27"/>
      <c r="AA17" s="27">
        <v>2.1059467279835868E-2</v>
      </c>
      <c r="AB17" s="27">
        <v>3</v>
      </c>
      <c r="AC17" s="27"/>
      <c r="AD17" s="27"/>
      <c r="AE17" s="27"/>
      <c r="AF17" s="27"/>
      <c r="AG17" s="27"/>
      <c r="AH17" s="27"/>
      <c r="AI17" s="27"/>
      <c r="AJ17" s="27"/>
      <c r="AK17" s="27">
        <v>10.4</v>
      </c>
      <c r="AL17" s="27">
        <v>53627501.090000004</v>
      </c>
      <c r="AM17" s="27"/>
      <c r="AN17" s="27"/>
      <c r="AO17" s="27"/>
      <c r="AP17" s="9"/>
      <c r="AQ17" s="27"/>
      <c r="AR17" s="27"/>
      <c r="AS17" s="13">
        <v>42884.636550925927</v>
      </c>
      <c r="AT17" s="27"/>
      <c r="AU17" s="27"/>
      <c r="AV17" s="27">
        <v>14.390974</v>
      </c>
    </row>
    <row r="18" spans="1:48" x14ac:dyDescent="0.4">
      <c r="A18" s="27" t="s">
        <v>73</v>
      </c>
      <c r="B18" s="27" t="s">
        <v>694</v>
      </c>
      <c r="C18" s="27" t="s">
        <v>666</v>
      </c>
      <c r="D18" s="27">
        <v>780000</v>
      </c>
      <c r="E18" s="9"/>
      <c r="F18" s="27" t="s">
        <v>381</v>
      </c>
      <c r="G18" s="27"/>
      <c r="H18" s="27">
        <f>IF(COUNTIF(テーブル_bis1_からのクエリ8[[#This Row],[SEC_TYPE]],"*Future"),1,0)</f>
        <v>0</v>
      </c>
      <c r="I18" s="27" t="str">
        <f>LOWER(テーブル_bis1_からのクエリ8[[#This Row],[DESCRIPTION]])</f>
        <v>china yuhua education corp l</v>
      </c>
      <c r="J18" s="27">
        <f>IF(COUNTIF(テーブル_bis1_からのクエリ8[[#This Row],[SEC_TYPE]],"*ption"),1,0)</f>
        <v>0</v>
      </c>
      <c r="K18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8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8" s="11">
        <v>28623647.25</v>
      </c>
      <c r="N18" s="27">
        <v>10</v>
      </c>
      <c r="O18" s="27">
        <v>11</v>
      </c>
      <c r="P18" s="27" t="s">
        <v>665</v>
      </c>
      <c r="Q18" s="27"/>
      <c r="R18" s="27" t="s">
        <v>375</v>
      </c>
      <c r="S18" s="27"/>
      <c r="T18" s="27"/>
      <c r="U18" s="27"/>
      <c r="V18" s="27"/>
      <c r="W18" s="27"/>
      <c r="X18" s="27"/>
      <c r="Y18" s="27"/>
      <c r="Z18" s="27"/>
      <c r="AA18" s="27">
        <v>1.1004434747580921E-2</v>
      </c>
      <c r="AB18" s="27">
        <v>3</v>
      </c>
      <c r="AC18" s="27"/>
      <c r="AD18" s="27"/>
      <c r="AE18" s="27"/>
      <c r="AF18" s="27"/>
      <c r="AG18" s="27"/>
      <c r="AH18" s="27"/>
      <c r="AI18" s="27"/>
      <c r="AJ18" s="27"/>
      <c r="AK18" s="27">
        <v>2.5499999999999998</v>
      </c>
      <c r="AL18" s="27">
        <v>30078389.629999999</v>
      </c>
      <c r="AM18" s="27"/>
      <c r="AN18" s="27"/>
      <c r="AO18" s="27"/>
      <c r="AP18" s="9"/>
      <c r="AQ18" s="27"/>
      <c r="AR18" s="27"/>
      <c r="AS18" s="13">
        <v>42884.636550925927</v>
      </c>
      <c r="AT18" s="27"/>
      <c r="AU18" s="27"/>
      <c r="AV18" s="27">
        <v>14.390974</v>
      </c>
    </row>
    <row r="19" spans="1:48" x14ac:dyDescent="0.4">
      <c r="A19" s="27" t="s">
        <v>73</v>
      </c>
      <c r="B19" s="27" t="s">
        <v>652</v>
      </c>
      <c r="C19" s="27" t="s">
        <v>651</v>
      </c>
      <c r="D19" s="27">
        <v>296000</v>
      </c>
      <c r="E19" s="9"/>
      <c r="F19" s="27" t="s">
        <v>381</v>
      </c>
      <c r="G19" s="27"/>
      <c r="H19" s="27">
        <f>IF(COUNTIF(テーブル_bis1_からのクエリ8[[#This Row],[SEC_TYPE]],"*Future"),1,0)</f>
        <v>0</v>
      </c>
      <c r="I19" s="27" t="str">
        <f>LOWER(テーブル_bis1_からのクエリ8[[#This Row],[DESCRIPTION]])</f>
        <v>galaxy entertainment group l</v>
      </c>
      <c r="J19" s="27">
        <f>IF(COUNTIF(テーブル_bis1_からのクエリ8[[#This Row],[SEC_TYPE]],"*ption"),1,0)</f>
        <v>0</v>
      </c>
      <c r="K19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19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19" s="11">
        <v>181251439.09999999</v>
      </c>
      <c r="N19" s="27">
        <v>10</v>
      </c>
      <c r="O19" s="27">
        <v>12</v>
      </c>
      <c r="P19" s="27" t="s">
        <v>650</v>
      </c>
      <c r="Q19" s="27"/>
      <c r="R19" s="27" t="s">
        <v>375</v>
      </c>
      <c r="S19" s="27"/>
      <c r="T19" s="27"/>
      <c r="U19" s="27"/>
      <c r="V19" s="27"/>
      <c r="W19" s="27"/>
      <c r="X19" s="27"/>
      <c r="Y19" s="27"/>
      <c r="Z19" s="27"/>
      <c r="AA19" s="27">
        <v>6.968258157531225E-2</v>
      </c>
      <c r="AB19" s="27">
        <v>3</v>
      </c>
      <c r="AC19" s="27"/>
      <c r="AD19" s="27"/>
      <c r="AE19" s="27"/>
      <c r="AF19" s="27"/>
      <c r="AG19" s="27"/>
      <c r="AH19" s="27"/>
      <c r="AI19" s="27"/>
      <c r="AJ19" s="27"/>
      <c r="AK19" s="27">
        <v>42.55</v>
      </c>
      <c r="AL19" s="27">
        <v>173389706</v>
      </c>
      <c r="AM19" s="27"/>
      <c r="AN19" s="27"/>
      <c r="AO19" s="27"/>
      <c r="AP19" s="9"/>
      <c r="AQ19" s="27"/>
      <c r="AR19" s="27"/>
      <c r="AS19" s="13">
        <v>42884.636550925927</v>
      </c>
      <c r="AT19" s="27"/>
      <c r="AU19" s="27"/>
      <c r="AV19" s="27">
        <v>14.390974</v>
      </c>
    </row>
    <row r="20" spans="1:48" x14ac:dyDescent="0.4">
      <c r="A20" s="27" t="s">
        <v>73</v>
      </c>
      <c r="B20" s="27" t="s">
        <v>697</v>
      </c>
      <c r="C20" s="27" t="s">
        <v>696</v>
      </c>
      <c r="D20" s="27">
        <v>604000</v>
      </c>
      <c r="E20" s="9"/>
      <c r="F20" s="27" t="s">
        <v>381</v>
      </c>
      <c r="G20" s="27"/>
      <c r="H20" s="27">
        <f>IF(COUNTIF(テーブル_bis1_からのクエリ8[[#This Row],[SEC_TYPE]],"*Future"),1,0)</f>
        <v>0</v>
      </c>
      <c r="I20" s="27" t="str">
        <f>LOWER(テーブル_bis1_からのクエリ8[[#This Row],[DESCRIPTION]])</f>
        <v>greentown service group co l</v>
      </c>
      <c r="J20" s="27">
        <f>IF(COUNTIF(テーブル_bis1_からのクエリ8[[#This Row],[SEC_TYPE]],"*ption"),1,0)</f>
        <v>0</v>
      </c>
      <c r="K20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0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0" s="11">
        <v>25120308.539999999</v>
      </c>
      <c r="N20" s="27">
        <v>10</v>
      </c>
      <c r="O20" s="27">
        <v>13</v>
      </c>
      <c r="P20" s="27" t="s">
        <v>695</v>
      </c>
      <c r="Q20" s="27"/>
      <c r="R20" s="27" t="s">
        <v>375</v>
      </c>
      <c r="S20" s="27"/>
      <c r="T20" s="27"/>
      <c r="U20" s="27"/>
      <c r="V20" s="27"/>
      <c r="W20" s="27"/>
      <c r="X20" s="27"/>
      <c r="Y20" s="27"/>
      <c r="Z20" s="27"/>
      <c r="AA20" s="27">
        <v>9.6575671769966263E-3</v>
      </c>
      <c r="AB20" s="27">
        <v>3</v>
      </c>
      <c r="AC20" s="27"/>
      <c r="AD20" s="27"/>
      <c r="AE20" s="27"/>
      <c r="AF20" s="27"/>
      <c r="AG20" s="27"/>
      <c r="AH20" s="27"/>
      <c r="AI20" s="27"/>
      <c r="AJ20" s="27"/>
      <c r="AK20" s="27">
        <v>2.89</v>
      </c>
      <c r="AL20" s="27">
        <v>25628982.91</v>
      </c>
      <c r="AM20" s="27"/>
      <c r="AN20" s="27"/>
      <c r="AO20" s="27"/>
      <c r="AP20" s="9"/>
      <c r="AQ20" s="27"/>
      <c r="AR20" s="27"/>
      <c r="AS20" s="13">
        <v>42884.636550925927</v>
      </c>
      <c r="AT20" s="27"/>
      <c r="AU20" s="27"/>
      <c r="AV20" s="27">
        <v>14.390974</v>
      </c>
    </row>
    <row r="21" spans="1:48" x14ac:dyDescent="0.4">
      <c r="A21" s="27" t="s">
        <v>73</v>
      </c>
      <c r="B21" s="27" t="s">
        <v>698</v>
      </c>
      <c r="C21" s="27" t="s">
        <v>668</v>
      </c>
      <c r="D21" s="27">
        <v>72000</v>
      </c>
      <c r="E21" s="9"/>
      <c r="F21" s="27" t="s">
        <v>381</v>
      </c>
      <c r="G21" s="27"/>
      <c r="H21" s="27">
        <f>IF(COUNTIF(テーブル_bis1_からのクエリ8[[#This Row],[SEC_TYPE]],"*Future"),1,0)</f>
        <v>0</v>
      </c>
      <c r="I21" s="27" t="str">
        <f>LOWER(テーブル_bis1_からのクエリ8[[#This Row],[DESCRIPTION]])</f>
        <v>guangzhou baiyunshan pharm-h</v>
      </c>
      <c r="J21" s="27">
        <f>IF(COUNTIF(テーブル_bis1_からのクエリ8[[#This Row],[SEC_TYPE]],"*ption"),1,0)</f>
        <v>0</v>
      </c>
      <c r="K21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1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1" s="11">
        <v>23727837.899999999</v>
      </c>
      <c r="N21" s="27">
        <v>10</v>
      </c>
      <c r="O21" s="27">
        <v>14</v>
      </c>
      <c r="P21" s="27" t="s">
        <v>667</v>
      </c>
      <c r="Q21" s="27"/>
      <c r="R21" s="27" t="s">
        <v>375</v>
      </c>
      <c r="S21" s="27"/>
      <c r="T21" s="27"/>
      <c r="U21" s="27"/>
      <c r="V21" s="27"/>
      <c r="W21" s="27"/>
      <c r="X21" s="27"/>
      <c r="Y21" s="27"/>
      <c r="Z21" s="27"/>
      <c r="AA21" s="27">
        <v>9.1222282608212166E-3</v>
      </c>
      <c r="AB21" s="27">
        <v>3</v>
      </c>
      <c r="AC21" s="27"/>
      <c r="AD21" s="27"/>
      <c r="AE21" s="27"/>
      <c r="AF21" s="27"/>
      <c r="AG21" s="27"/>
      <c r="AH21" s="27"/>
      <c r="AI21" s="27"/>
      <c r="AJ21" s="27"/>
      <c r="AK21" s="27">
        <v>22.9</v>
      </c>
      <c r="AL21" s="27">
        <v>24489776.66</v>
      </c>
      <c r="AM21" s="27"/>
      <c r="AN21" s="27"/>
      <c r="AO21" s="27"/>
      <c r="AP21" s="9"/>
      <c r="AQ21" s="27"/>
      <c r="AR21" s="27"/>
      <c r="AS21" s="13">
        <v>42884.636550925927</v>
      </c>
      <c r="AT21" s="27"/>
      <c r="AU21" s="27"/>
      <c r="AV21" s="27">
        <v>14.390974</v>
      </c>
    </row>
    <row r="22" spans="1:48" x14ac:dyDescent="0.4">
      <c r="A22" s="27" t="s">
        <v>73</v>
      </c>
      <c r="B22" s="27" t="s">
        <v>699</v>
      </c>
      <c r="C22" s="27" t="s">
        <v>670</v>
      </c>
      <c r="D22" s="27">
        <v>444000</v>
      </c>
      <c r="E22" s="9"/>
      <c r="F22" s="27" t="s">
        <v>381</v>
      </c>
      <c r="G22" s="27"/>
      <c r="H22" s="27">
        <f>IF(COUNTIF(テーブル_bis1_からのクエリ8[[#This Row],[SEC_TYPE]],"*Future"),1,0)</f>
        <v>0</v>
      </c>
      <c r="I22" s="27" t="str">
        <f>LOWER(テーブル_bis1_からのクエリ8[[#This Row],[DESCRIPTION]])</f>
        <v>harbin electric co ltd-h</v>
      </c>
      <c r="J22" s="27">
        <f>IF(COUNTIF(テーブル_bis1_からのクエリ8[[#This Row],[SEC_TYPE]],"*ption"),1,0)</f>
        <v>0</v>
      </c>
      <c r="K22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2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2" s="11">
        <v>28625374.170000002</v>
      </c>
      <c r="N22" s="27">
        <v>10</v>
      </c>
      <c r="O22" s="27">
        <v>15</v>
      </c>
      <c r="P22" s="27" t="s">
        <v>669</v>
      </c>
      <c r="Q22" s="27"/>
      <c r="R22" s="27" t="s">
        <v>375</v>
      </c>
      <c r="S22" s="27"/>
      <c r="T22" s="27"/>
      <c r="U22" s="27"/>
      <c r="V22" s="27"/>
      <c r="W22" s="27"/>
      <c r="X22" s="27"/>
      <c r="Y22" s="27"/>
      <c r="Z22" s="27"/>
      <c r="AA22" s="27">
        <v>1.1005098666413079E-2</v>
      </c>
      <c r="AB22" s="27">
        <v>3</v>
      </c>
      <c r="AC22" s="27"/>
      <c r="AD22" s="27"/>
      <c r="AE22" s="27"/>
      <c r="AF22" s="27"/>
      <c r="AG22" s="27"/>
      <c r="AH22" s="27"/>
      <c r="AI22" s="27"/>
      <c r="AJ22" s="27"/>
      <c r="AK22" s="27">
        <v>4.4800000000000004</v>
      </c>
      <c r="AL22" s="27">
        <v>26264466.530000001</v>
      </c>
      <c r="AM22" s="27"/>
      <c r="AN22" s="27"/>
      <c r="AO22" s="27"/>
      <c r="AP22" s="9"/>
      <c r="AQ22" s="27"/>
      <c r="AR22" s="27"/>
      <c r="AS22" s="13">
        <v>42884.636550925927</v>
      </c>
      <c r="AT22" s="27"/>
      <c r="AU22" s="27"/>
      <c r="AV22" s="27">
        <v>14.390974</v>
      </c>
    </row>
    <row r="23" spans="1:48" x14ac:dyDescent="0.4">
      <c r="A23" s="27" t="s">
        <v>73</v>
      </c>
      <c r="B23" s="27" t="s">
        <v>700</v>
      </c>
      <c r="C23" s="27" t="s">
        <v>672</v>
      </c>
      <c r="D23" s="27">
        <v>511000</v>
      </c>
      <c r="E23" s="9"/>
      <c r="F23" s="27" t="s">
        <v>381</v>
      </c>
      <c r="G23" s="27"/>
      <c r="H23" s="27">
        <f>IF(COUNTIF(テーブル_bis1_からのクエリ8[[#This Row],[SEC_TYPE]],"*Future"),1,0)</f>
        <v>0</v>
      </c>
      <c r="I23" s="27" t="str">
        <f>LOWER(テーブル_bis1_からのクエリ8[[#This Row],[DESCRIPTION]])</f>
        <v>kingsoft corp ltd</v>
      </c>
      <c r="J23" s="27">
        <f>IF(COUNTIF(テーブル_bis1_からのクエリ8[[#This Row],[SEC_TYPE]],"*ption"),1,0)</f>
        <v>0</v>
      </c>
      <c r="K23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3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3" s="11">
        <v>157371056.90000001</v>
      </c>
      <c r="N23" s="27">
        <v>10</v>
      </c>
      <c r="O23" s="27">
        <v>16</v>
      </c>
      <c r="P23" s="27" t="s">
        <v>671</v>
      </c>
      <c r="Q23" s="27"/>
      <c r="R23" s="27" t="s">
        <v>375</v>
      </c>
      <c r="S23" s="27"/>
      <c r="T23" s="27"/>
      <c r="U23" s="27"/>
      <c r="V23" s="27"/>
      <c r="W23" s="27"/>
      <c r="X23" s="27"/>
      <c r="Y23" s="27"/>
      <c r="Z23" s="27"/>
      <c r="AA23" s="27">
        <v>6.0501707266319607E-2</v>
      </c>
      <c r="AB23" s="27">
        <v>3</v>
      </c>
      <c r="AC23" s="27"/>
      <c r="AD23" s="27"/>
      <c r="AE23" s="27"/>
      <c r="AF23" s="27"/>
      <c r="AG23" s="27"/>
      <c r="AH23" s="27"/>
      <c r="AI23" s="27"/>
      <c r="AJ23" s="27"/>
      <c r="AK23" s="27">
        <v>21.4</v>
      </c>
      <c r="AL23" s="27">
        <v>141741601.40000001</v>
      </c>
      <c r="AM23" s="27"/>
      <c r="AN23" s="27"/>
      <c r="AO23" s="27"/>
      <c r="AP23" s="9"/>
      <c r="AQ23" s="27"/>
      <c r="AR23" s="27"/>
      <c r="AS23" s="13">
        <v>42884.636550925927</v>
      </c>
      <c r="AT23" s="27"/>
      <c r="AU23" s="27"/>
      <c r="AV23" s="27">
        <v>14.390974</v>
      </c>
    </row>
    <row r="24" spans="1:48" x14ac:dyDescent="0.4">
      <c r="A24" s="27" t="s">
        <v>73</v>
      </c>
      <c r="B24" s="27" t="s">
        <v>703</v>
      </c>
      <c r="C24" s="27" t="s">
        <v>702</v>
      </c>
      <c r="D24" s="27">
        <v>117500</v>
      </c>
      <c r="E24" s="9"/>
      <c r="F24" s="27" t="s">
        <v>381</v>
      </c>
      <c r="G24" s="27"/>
      <c r="H24" s="27">
        <f>IF(COUNTIF(テーブル_bis1_からのクエリ8[[#This Row],[SEC_TYPE]],"*Future"),1,0)</f>
        <v>0</v>
      </c>
      <c r="I24" s="27" t="str">
        <f>LOWER(テーブル_bis1_からのクエリ8[[#This Row],[DESCRIPTION]])</f>
        <v>lifestyle china group ltd</v>
      </c>
      <c r="J24" s="27">
        <f>IF(COUNTIF(テーブル_bis1_からのクエリ8[[#This Row],[SEC_TYPE]],"*ption"),1,0)</f>
        <v>0</v>
      </c>
      <c r="K24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4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4" s="11">
        <v>3939888.9</v>
      </c>
      <c r="N24" s="27">
        <v>10</v>
      </c>
      <c r="O24" s="27">
        <v>17</v>
      </c>
      <c r="P24" s="27" t="s">
        <v>701</v>
      </c>
      <c r="Q24" s="27"/>
      <c r="R24" s="27" t="s">
        <v>375</v>
      </c>
      <c r="S24" s="27"/>
      <c r="T24" s="27"/>
      <c r="U24" s="27"/>
      <c r="V24" s="27"/>
      <c r="W24" s="27"/>
      <c r="X24" s="27"/>
      <c r="Y24" s="27"/>
      <c r="Z24" s="27"/>
      <c r="AA24" s="27">
        <v>1.514700413056843E-3</v>
      </c>
      <c r="AB24" s="27">
        <v>3</v>
      </c>
      <c r="AC24" s="27"/>
      <c r="AD24" s="27"/>
      <c r="AE24" s="27"/>
      <c r="AF24" s="27"/>
      <c r="AG24" s="27"/>
      <c r="AH24" s="27"/>
      <c r="AI24" s="27"/>
      <c r="AJ24" s="27"/>
      <c r="AK24" s="27">
        <v>2.33</v>
      </c>
      <c r="AL24" s="27">
        <v>3733295.34</v>
      </c>
      <c r="AM24" s="27"/>
      <c r="AN24" s="27"/>
      <c r="AO24" s="27"/>
      <c r="AP24" s="9"/>
      <c r="AQ24" s="27"/>
      <c r="AR24" s="27"/>
      <c r="AS24" s="13">
        <v>42884.636550925927</v>
      </c>
      <c r="AT24" s="27"/>
      <c r="AU24" s="27"/>
      <c r="AV24" s="27">
        <v>14.390974</v>
      </c>
    </row>
    <row r="25" spans="1:48" x14ac:dyDescent="0.4">
      <c r="A25" s="27" t="s">
        <v>73</v>
      </c>
      <c r="B25" s="27" t="s">
        <v>704</v>
      </c>
      <c r="C25" s="27" t="s">
        <v>674</v>
      </c>
      <c r="D25" s="27">
        <v>268000</v>
      </c>
      <c r="E25" s="9"/>
      <c r="F25" s="27" t="s">
        <v>381</v>
      </c>
      <c r="G25" s="27"/>
      <c r="H25" s="27">
        <f>IF(COUNTIF(テーブル_bis1_からのクエリ8[[#This Row],[SEC_TYPE]],"*Future"),1,0)</f>
        <v>0</v>
      </c>
      <c r="I25" s="27" t="str">
        <f>LOWER(テーブル_bis1_からのクエリ8[[#This Row],[DESCRIPTION]])</f>
        <v>melco international develop.</v>
      </c>
      <c r="J25" s="27">
        <f>IF(COUNTIF(テーブル_bis1_からのクエリ8[[#This Row],[SEC_TYPE]],"*ption"),1,0)</f>
        <v>0</v>
      </c>
      <c r="K25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5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5" s="11">
        <v>52915035.689999998</v>
      </c>
      <c r="N25" s="27">
        <v>10</v>
      </c>
      <c r="O25" s="27">
        <v>18</v>
      </c>
      <c r="P25" s="27" t="s">
        <v>673</v>
      </c>
      <c r="Q25" s="27"/>
      <c r="R25" s="27" t="s">
        <v>375</v>
      </c>
      <c r="S25" s="27"/>
      <c r="T25" s="27"/>
      <c r="U25" s="27"/>
      <c r="V25" s="27"/>
      <c r="W25" s="27"/>
      <c r="X25" s="27"/>
      <c r="Y25" s="27"/>
      <c r="Z25" s="27"/>
      <c r="AA25" s="27">
        <v>2.0343321461821065E-2</v>
      </c>
      <c r="AB25" s="27">
        <v>3</v>
      </c>
      <c r="AC25" s="27"/>
      <c r="AD25" s="27"/>
      <c r="AE25" s="27"/>
      <c r="AF25" s="27"/>
      <c r="AG25" s="27"/>
      <c r="AH25" s="27"/>
      <c r="AI25" s="27"/>
      <c r="AJ25" s="27"/>
      <c r="AK25" s="27">
        <v>13.72</v>
      </c>
      <c r="AL25" s="27">
        <v>52112218.439999998</v>
      </c>
      <c r="AM25" s="27"/>
      <c r="AN25" s="27"/>
      <c r="AO25" s="27"/>
      <c r="AP25" s="9"/>
      <c r="AQ25" s="27"/>
      <c r="AR25" s="27"/>
      <c r="AS25" s="13">
        <v>42884.636550925927</v>
      </c>
      <c r="AT25" s="27"/>
      <c r="AU25" s="27"/>
      <c r="AV25" s="27">
        <v>14.390974</v>
      </c>
    </row>
    <row r="26" spans="1:48" x14ac:dyDescent="0.4">
      <c r="A26" s="27" t="s">
        <v>73</v>
      </c>
      <c r="B26" s="27" t="s">
        <v>705</v>
      </c>
      <c r="C26" s="27" t="s">
        <v>676</v>
      </c>
      <c r="D26" s="27">
        <v>2568000</v>
      </c>
      <c r="E26" s="9"/>
      <c r="F26" s="27" t="s">
        <v>381</v>
      </c>
      <c r="G26" s="27"/>
      <c r="H26" s="27">
        <f>IF(COUNTIF(テーブル_bis1_からのクエリ8[[#This Row],[SEC_TYPE]],"*Future"),1,0)</f>
        <v>0</v>
      </c>
      <c r="I26" s="27" t="str">
        <f>LOWER(テーブル_bis1_からのクエリ8[[#This Row],[DESCRIPTION]])</f>
        <v>minsheng education group co</v>
      </c>
      <c r="J26" s="27">
        <f>IF(COUNTIF(テーブル_bis1_からのクエリ8[[#This Row],[SEC_TYPE]],"*ption"),1,0)</f>
        <v>0</v>
      </c>
      <c r="K26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6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6" s="11">
        <v>53216670.5</v>
      </c>
      <c r="N26" s="27">
        <v>10</v>
      </c>
      <c r="O26" s="27">
        <v>19</v>
      </c>
      <c r="P26" s="27" t="s">
        <v>675</v>
      </c>
      <c r="Q26" s="27"/>
      <c r="R26" s="27" t="s">
        <v>375</v>
      </c>
      <c r="S26" s="27"/>
      <c r="T26" s="27"/>
      <c r="U26" s="27"/>
      <c r="V26" s="27"/>
      <c r="W26" s="27"/>
      <c r="X26" s="27"/>
      <c r="Y26" s="27"/>
      <c r="Z26" s="27"/>
      <c r="AA26" s="27">
        <v>2.0459285739722232E-2</v>
      </c>
      <c r="AB26" s="27">
        <v>3</v>
      </c>
      <c r="AC26" s="27"/>
      <c r="AD26" s="27"/>
      <c r="AE26" s="27"/>
      <c r="AF26" s="27"/>
      <c r="AG26" s="27"/>
      <c r="AH26" s="27"/>
      <c r="AI26" s="27"/>
      <c r="AJ26" s="27"/>
      <c r="AK26" s="27">
        <v>1.44</v>
      </c>
      <c r="AL26" s="27">
        <v>56900170.399999999</v>
      </c>
      <c r="AM26" s="27"/>
      <c r="AN26" s="27"/>
      <c r="AO26" s="27"/>
      <c r="AP26" s="9"/>
      <c r="AQ26" s="27"/>
      <c r="AR26" s="27"/>
      <c r="AS26" s="13">
        <v>42884.636550925927</v>
      </c>
      <c r="AT26" s="27"/>
      <c r="AU26" s="27"/>
      <c r="AV26" s="27">
        <v>14.390974</v>
      </c>
    </row>
    <row r="27" spans="1:48" x14ac:dyDescent="0.4">
      <c r="A27" s="27" t="s">
        <v>73</v>
      </c>
      <c r="B27" s="27" t="s">
        <v>656</v>
      </c>
      <c r="C27" s="27" t="s">
        <v>657</v>
      </c>
      <c r="D27" s="27">
        <v>50400</v>
      </c>
      <c r="E27" s="9"/>
      <c r="F27" s="27" t="s">
        <v>381</v>
      </c>
      <c r="G27" s="27"/>
      <c r="H27" s="27">
        <f>IF(COUNTIF(テーブル_bis1_からのクエリ8[[#This Row],[SEC_TYPE]],"*Future"),1,0)</f>
        <v>0</v>
      </c>
      <c r="I27" s="27" t="str">
        <f>LOWER(テーブル_bis1_からのクエリ8[[#This Row],[DESCRIPTION]])</f>
        <v>sands china ltd</v>
      </c>
      <c r="J27" s="27">
        <f>IF(COUNTIF(テーブル_bis1_からのクエリ8[[#This Row],[SEC_TYPE]],"*ption"),1,0)</f>
        <v>0</v>
      </c>
      <c r="K27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7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7" s="11">
        <v>26110983.190000001</v>
      </c>
      <c r="N27" s="27">
        <v>10</v>
      </c>
      <c r="O27" s="27">
        <v>20</v>
      </c>
      <c r="P27" s="27" t="s">
        <v>656</v>
      </c>
      <c r="Q27" s="27"/>
      <c r="R27" s="27" t="s">
        <v>375</v>
      </c>
      <c r="S27" s="27"/>
      <c r="T27" s="27"/>
      <c r="U27" s="27"/>
      <c r="V27" s="27" t="s">
        <v>150</v>
      </c>
      <c r="W27" s="27"/>
      <c r="X27" s="27"/>
      <c r="Y27" s="27"/>
      <c r="Z27" s="27"/>
      <c r="AA27" s="27">
        <v>1.0038434592207228E-2</v>
      </c>
      <c r="AB27" s="27">
        <v>2</v>
      </c>
      <c r="AC27" s="27"/>
      <c r="AD27" s="27"/>
      <c r="AE27" s="27"/>
      <c r="AF27" s="27"/>
      <c r="AG27" s="27"/>
      <c r="AH27" s="27"/>
      <c r="AI27" s="27"/>
      <c r="AJ27" s="27"/>
      <c r="AK27" s="27">
        <v>36</v>
      </c>
      <c r="AL27" s="27">
        <v>26256733.25</v>
      </c>
      <c r="AM27" s="27"/>
      <c r="AN27" s="27"/>
      <c r="AO27" s="27"/>
      <c r="AP27" s="9"/>
      <c r="AQ27" s="27"/>
      <c r="AR27" s="27"/>
      <c r="AS27" s="13">
        <v>42884.636550925927</v>
      </c>
      <c r="AT27" s="27"/>
      <c r="AU27" s="27"/>
      <c r="AV27" s="27">
        <v>14.390974</v>
      </c>
    </row>
    <row r="28" spans="1:48" x14ac:dyDescent="0.4">
      <c r="A28" s="27" t="s">
        <v>73</v>
      </c>
      <c r="B28" s="27" t="s">
        <v>706</v>
      </c>
      <c r="C28" s="27" t="s">
        <v>678</v>
      </c>
      <c r="D28" s="27">
        <v>108500</v>
      </c>
      <c r="E28" s="9"/>
      <c r="F28" s="27" t="s">
        <v>381</v>
      </c>
      <c r="G28" s="27"/>
      <c r="H28" s="27">
        <f>IF(COUNTIF(テーブル_bis1_からのクエリ8[[#This Row],[SEC_TYPE]],"*Future"),1,0)</f>
        <v>0</v>
      </c>
      <c r="I28" s="27" t="str">
        <f>LOWER(テーブル_bis1_からのクエリ8[[#This Row],[DESCRIPTION]])</f>
        <v>shenzhen intl holdings</v>
      </c>
      <c r="J28" s="27">
        <f>IF(COUNTIF(テーブル_bis1_からのクエリ8[[#This Row],[SEC_TYPE]],"*ption"),1,0)</f>
        <v>0</v>
      </c>
      <c r="K28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8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8" s="11">
        <v>19892499.420000002</v>
      </c>
      <c r="N28" s="27">
        <v>10</v>
      </c>
      <c r="O28" s="27">
        <v>21</v>
      </c>
      <c r="P28" s="27" t="s">
        <v>677</v>
      </c>
      <c r="Q28" s="27"/>
      <c r="R28" s="27" t="s">
        <v>375</v>
      </c>
      <c r="S28" s="27"/>
      <c r="T28" s="27" t="s">
        <v>378</v>
      </c>
      <c r="U28" s="27" t="s">
        <v>637</v>
      </c>
      <c r="V28" s="27" t="s">
        <v>378</v>
      </c>
      <c r="W28" s="27"/>
      <c r="X28" s="27"/>
      <c r="Y28" s="27"/>
      <c r="Z28" s="27"/>
      <c r="AA28" s="27">
        <v>7.6477225254262919E-3</v>
      </c>
      <c r="AB28" s="27">
        <v>2</v>
      </c>
      <c r="AC28" s="27"/>
      <c r="AD28" s="27"/>
      <c r="AE28" s="27"/>
      <c r="AF28" s="27"/>
      <c r="AG28" s="27"/>
      <c r="AH28" s="27"/>
      <c r="AI28" s="27"/>
      <c r="AJ28" s="27"/>
      <c r="AK28" s="27">
        <v>12.74</v>
      </c>
      <c r="AL28" s="27">
        <v>19281438.91</v>
      </c>
      <c r="AM28" s="27"/>
      <c r="AN28" s="27"/>
      <c r="AO28" s="27"/>
      <c r="AP28" s="9"/>
      <c r="AQ28" s="27"/>
      <c r="AR28" s="27"/>
      <c r="AS28" s="13">
        <v>42884.636550925927</v>
      </c>
      <c r="AT28" s="27"/>
      <c r="AU28" s="27"/>
      <c r="AV28" s="27">
        <v>14.390974</v>
      </c>
    </row>
    <row r="29" spans="1:48" x14ac:dyDescent="0.4">
      <c r="A29" s="27" t="s">
        <v>73</v>
      </c>
      <c r="B29" s="27" t="s">
        <v>393</v>
      </c>
      <c r="C29" s="27" t="s">
        <v>392</v>
      </c>
      <c r="D29" s="27">
        <v>23500</v>
      </c>
      <c r="E29" s="9"/>
      <c r="F29" s="27" t="s">
        <v>381</v>
      </c>
      <c r="G29" s="27"/>
      <c r="H29" s="27">
        <f>IF(COUNTIF(テーブル_bis1_からのクエリ8[[#This Row],[SEC_TYPE]],"*Future"),1,0)</f>
        <v>0</v>
      </c>
      <c r="I29" s="27" t="str">
        <f>LOWER(テーブル_bis1_からのクエリ8[[#This Row],[DESCRIPTION]])</f>
        <v>tencent holdings ltd</v>
      </c>
      <c r="J29" s="27">
        <f>IF(COUNTIF(テーブル_bis1_からのクエリ8[[#This Row],[SEC_TYPE]],"*ption"),1,0)</f>
        <v>0</v>
      </c>
      <c r="K29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29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29" s="11">
        <v>75348261.569999993</v>
      </c>
      <c r="N29" s="27">
        <v>10</v>
      </c>
      <c r="O29" s="27">
        <v>22</v>
      </c>
      <c r="P29" s="27" t="s">
        <v>391</v>
      </c>
      <c r="Q29" s="27"/>
      <c r="R29" s="27" t="s">
        <v>375</v>
      </c>
      <c r="S29" s="27"/>
      <c r="T29" s="27" t="s">
        <v>371</v>
      </c>
      <c r="U29" s="27" t="s">
        <v>370</v>
      </c>
      <c r="V29" s="27" t="s">
        <v>374</v>
      </c>
      <c r="W29" s="27"/>
      <c r="X29" s="27"/>
      <c r="Y29" s="27"/>
      <c r="Z29" s="27"/>
      <c r="AA29" s="27">
        <v>2.896783280442097E-2</v>
      </c>
      <c r="AB29" s="27">
        <v>2</v>
      </c>
      <c r="AC29" s="27"/>
      <c r="AD29" s="27"/>
      <c r="AE29" s="27"/>
      <c r="AF29" s="27"/>
      <c r="AG29" s="27"/>
      <c r="AH29" s="27"/>
      <c r="AI29" s="27"/>
      <c r="AJ29" s="27"/>
      <c r="AK29" s="27">
        <v>222.8</v>
      </c>
      <c r="AL29" s="27">
        <v>74963612.870000005</v>
      </c>
      <c r="AM29" s="27"/>
      <c r="AN29" s="27"/>
      <c r="AO29" s="27"/>
      <c r="AP29" s="9"/>
      <c r="AQ29" s="27"/>
      <c r="AR29" s="27"/>
      <c r="AS29" s="13">
        <v>42884.636550925927</v>
      </c>
      <c r="AT29" s="27"/>
      <c r="AU29" s="27"/>
      <c r="AV29" s="27">
        <v>14.390974</v>
      </c>
    </row>
    <row r="30" spans="1:48" x14ac:dyDescent="0.4">
      <c r="A30" s="27" t="s">
        <v>73</v>
      </c>
      <c r="B30" s="27" t="s">
        <v>707</v>
      </c>
      <c r="C30" s="27" t="s">
        <v>680</v>
      </c>
      <c r="D30" s="27">
        <v>4000</v>
      </c>
      <c r="E30" s="9"/>
      <c r="F30" s="27" t="s">
        <v>340</v>
      </c>
      <c r="G30" s="27"/>
      <c r="H30" s="27">
        <f>IF(COUNTIF(テーブル_bis1_からのクエリ8[[#This Row],[SEC_TYPE]],"*Future"),1,0)</f>
        <v>0</v>
      </c>
      <c r="I30" s="27" t="str">
        <f>LOWER(テーブル_bis1_からのクエリ8[[#This Row],[DESCRIPTION]])</f>
        <v>new oriental educatio-sp adr</v>
      </c>
      <c r="J30" s="27">
        <f>IF(COUNTIF(テーブル_bis1_からのクエリ8[[#This Row],[SEC_TYPE]],"*ption"),1,0)</f>
        <v>0</v>
      </c>
      <c r="K30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30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30" s="11">
        <v>27004351.199999999</v>
      </c>
      <c r="N30" s="27">
        <v>10</v>
      </c>
      <c r="O30" s="27">
        <v>23</v>
      </c>
      <c r="P30" s="27" t="s">
        <v>679</v>
      </c>
      <c r="Q30" s="27"/>
      <c r="R30" s="27" t="s">
        <v>375</v>
      </c>
      <c r="S30" s="27"/>
      <c r="T30" s="27"/>
      <c r="U30" s="27"/>
      <c r="V30" s="27"/>
      <c r="W30" s="27"/>
      <c r="X30" s="27"/>
      <c r="Y30" s="27"/>
      <c r="Z30" s="27"/>
      <c r="AA30" s="27">
        <v>1.0381892219593312E-2</v>
      </c>
      <c r="AB30" s="27">
        <v>3</v>
      </c>
      <c r="AC30" s="27"/>
      <c r="AD30" s="27"/>
      <c r="AE30" s="27"/>
      <c r="AF30" s="27"/>
      <c r="AG30" s="27"/>
      <c r="AH30" s="27"/>
      <c r="AI30" s="27"/>
      <c r="AJ30" s="27"/>
      <c r="AK30" s="27">
        <v>60.38</v>
      </c>
      <c r="AL30" s="27">
        <v>24902467.27</v>
      </c>
      <c r="AM30" s="27"/>
      <c r="AN30" s="27"/>
      <c r="AO30" s="27"/>
      <c r="AP30" s="9"/>
      <c r="AQ30" s="27"/>
      <c r="AR30" s="27"/>
      <c r="AS30" s="13">
        <v>42884.636550925927</v>
      </c>
      <c r="AT30" s="27"/>
      <c r="AU30" s="27"/>
      <c r="AV30" s="27">
        <v>111.81</v>
      </c>
    </row>
    <row r="31" spans="1:48" x14ac:dyDescent="0.4">
      <c r="A31" s="27" t="s">
        <v>73</v>
      </c>
      <c r="B31" s="27" t="s">
        <v>710</v>
      </c>
      <c r="C31" s="27" t="s">
        <v>709</v>
      </c>
      <c r="D31" s="27">
        <v>440000</v>
      </c>
      <c r="E31" s="9"/>
      <c r="F31" s="27" t="s">
        <v>340</v>
      </c>
      <c r="G31" s="27"/>
      <c r="H31" s="27">
        <f>IF(COUNTIF(テーブル_bis1_からのクエリ8[[#This Row],[SEC_TYPE]],"*Future"),1,0)</f>
        <v>0</v>
      </c>
      <c r="I31" s="27" t="str">
        <f>LOWER(テーブル_bis1_からのクエリ8[[#This Row],[DESCRIPTION]])</f>
        <v>shanghai zhenhua heavy ind-b</v>
      </c>
      <c r="J31" s="27">
        <f>IF(COUNTIF(テーブル_bis1_からのクエリ8[[#This Row],[SEC_TYPE]],"*ption"),1,0)</f>
        <v>0</v>
      </c>
      <c r="K31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31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31" s="11">
        <v>25582128</v>
      </c>
      <c r="N31" s="27">
        <v>10</v>
      </c>
      <c r="O31" s="27">
        <v>24</v>
      </c>
      <c r="P31" s="27" t="s">
        <v>708</v>
      </c>
      <c r="Q31" s="27"/>
      <c r="R31" s="27" t="s">
        <v>375</v>
      </c>
      <c r="S31" s="27"/>
      <c r="T31" s="27"/>
      <c r="U31" s="27"/>
      <c r="V31" s="27"/>
      <c r="W31" s="27"/>
      <c r="X31" s="27"/>
      <c r="Y31" s="27"/>
      <c r="Z31" s="27"/>
      <c r="AA31" s="27">
        <v>9.8351148552622975E-3</v>
      </c>
      <c r="AB31" s="27">
        <v>3</v>
      </c>
      <c r="AC31" s="27"/>
      <c r="AD31" s="27"/>
      <c r="AE31" s="27"/>
      <c r="AF31" s="27"/>
      <c r="AG31" s="27"/>
      <c r="AH31" s="27"/>
      <c r="AI31" s="27"/>
      <c r="AJ31" s="27"/>
      <c r="AK31" s="27">
        <v>0.52</v>
      </c>
      <c r="AL31" s="27">
        <v>26343005.449999999</v>
      </c>
      <c r="AM31" s="27"/>
      <c r="AN31" s="27"/>
      <c r="AO31" s="27"/>
      <c r="AP31" s="9"/>
      <c r="AQ31" s="27"/>
      <c r="AR31" s="27"/>
      <c r="AS31" s="13">
        <v>42884.636550925927</v>
      </c>
      <c r="AT31" s="27"/>
      <c r="AU31" s="27"/>
      <c r="AV31" s="27">
        <v>111.81</v>
      </c>
    </row>
    <row r="32" spans="1:48" x14ac:dyDescent="0.4">
      <c r="A32" s="27" t="s">
        <v>73</v>
      </c>
      <c r="B32" s="27" t="s">
        <v>711</v>
      </c>
      <c r="C32" s="27" t="s">
        <v>662</v>
      </c>
      <c r="D32" s="27">
        <v>419600</v>
      </c>
      <c r="E32" s="9"/>
      <c r="F32" s="27" t="s">
        <v>386</v>
      </c>
      <c r="G32" s="27"/>
      <c r="H32" s="27">
        <f>IF(COUNTIF(テーブル_bis1_からのクエリ8[[#This Row],[SEC_TYPE]],"*Future"),1,0)</f>
        <v>0</v>
      </c>
      <c r="I32" s="27" t="str">
        <f>LOWER(テーブル_bis1_からのクエリ8[[#This Row],[DESCRIPTION]])</f>
        <v>xiangtan electric manufact-a</v>
      </c>
      <c r="J32" s="27">
        <f>IF(COUNTIF(テーブル_bis1_からのクエリ8[[#This Row],[SEC_TYPE]],"*ption"),1,0)</f>
        <v>0</v>
      </c>
      <c r="K32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32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32" s="11">
        <v>115641956.8</v>
      </c>
      <c r="N32" s="27">
        <v>10</v>
      </c>
      <c r="O32" s="27">
        <v>25</v>
      </c>
      <c r="P32" s="27" t="s">
        <v>661</v>
      </c>
      <c r="Q32" s="27"/>
      <c r="R32" s="27" t="s">
        <v>375</v>
      </c>
      <c r="S32" s="27"/>
      <c r="T32" s="27"/>
      <c r="U32" s="27"/>
      <c r="V32" s="27"/>
      <c r="W32" s="27"/>
      <c r="X32" s="27"/>
      <c r="Y32" s="27"/>
      <c r="Z32" s="27"/>
      <c r="AA32" s="27">
        <v>4.4458847489750687E-2</v>
      </c>
      <c r="AB32" s="27">
        <v>3</v>
      </c>
      <c r="AC32" s="27"/>
      <c r="AD32" s="27"/>
      <c r="AE32" s="27"/>
      <c r="AF32" s="27"/>
      <c r="AG32" s="27"/>
      <c r="AH32" s="27"/>
      <c r="AI32" s="27"/>
      <c r="AJ32" s="27"/>
      <c r="AK32" s="27">
        <v>16.98</v>
      </c>
      <c r="AL32" s="27">
        <v>120195639.09999999</v>
      </c>
      <c r="AM32" s="27"/>
      <c r="AN32" s="27"/>
      <c r="AO32" s="27"/>
      <c r="AP32" s="9"/>
      <c r="AQ32" s="27"/>
      <c r="AR32" s="27"/>
      <c r="AS32" s="13">
        <v>42884.636550925927</v>
      </c>
      <c r="AT32" s="27"/>
      <c r="AU32" s="27"/>
      <c r="AV32" s="27">
        <v>16.2308874569</v>
      </c>
    </row>
    <row r="33" spans="1:48" x14ac:dyDescent="0.4">
      <c r="A33" s="27" t="s">
        <v>74</v>
      </c>
      <c r="B33" s="27" t="s">
        <v>645</v>
      </c>
      <c r="C33" s="27" t="s">
        <v>643</v>
      </c>
      <c r="D33" s="27"/>
      <c r="E33" s="9"/>
      <c r="F33" s="27" t="s">
        <v>381</v>
      </c>
      <c r="G33" s="27"/>
      <c r="H33" s="27">
        <f>IF(COUNTIF(テーブル_bis1_からのクエリ8[[#This Row],[SEC_TYPE]],"*Future"),1,0)</f>
        <v>0</v>
      </c>
      <c r="I33" s="27" t="str">
        <f>LOWER(テーブル_bis1_からのクエリ8[[#This Row],[DESCRIPTION]])</f>
        <v>cash: morgan stanley &amp;</v>
      </c>
      <c r="J33" s="27">
        <f>IF(COUNTIF(テーブル_bis1_からのクエリ8[[#This Row],[SEC_TYPE]],"*ption"),1,0)</f>
        <v>0</v>
      </c>
      <c r="K33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33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33" s="11">
        <v>1367930453.52</v>
      </c>
      <c r="N33" s="27">
        <v>30</v>
      </c>
      <c r="O33" s="27">
        <v>26</v>
      </c>
      <c r="P33" s="27" t="s">
        <v>642</v>
      </c>
      <c r="Q33" s="27" t="s">
        <v>369</v>
      </c>
      <c r="R33" s="27" t="s">
        <v>640</v>
      </c>
      <c r="S33" s="27"/>
      <c r="T33" s="27" t="s">
        <v>374</v>
      </c>
      <c r="U33" s="27" t="s">
        <v>372</v>
      </c>
      <c r="V33" s="27"/>
      <c r="W33" s="27"/>
      <c r="X33" s="27"/>
      <c r="Y33" s="27"/>
      <c r="Z33" s="27"/>
      <c r="AA33" s="27">
        <v>0.52590437841528437</v>
      </c>
      <c r="AB33" s="27">
        <v>0.15517073428299999</v>
      </c>
      <c r="AC33" s="27"/>
      <c r="AD33" s="27"/>
      <c r="AE33" s="27"/>
      <c r="AF33" s="27"/>
      <c r="AG33" s="27"/>
      <c r="AH33" s="27"/>
      <c r="AI33" s="27"/>
      <c r="AJ33" s="27"/>
      <c r="AK33" s="27">
        <v>1</v>
      </c>
      <c r="AL33" s="27">
        <v>5273632.71</v>
      </c>
      <c r="AM33" s="27"/>
      <c r="AN33" s="27"/>
      <c r="AO33" s="27"/>
      <c r="AP33" s="9"/>
      <c r="AQ33" s="27"/>
      <c r="AR33" s="27"/>
      <c r="AS33" s="13">
        <v>42884.636550925927</v>
      </c>
      <c r="AT33" s="27"/>
      <c r="AU33" s="27"/>
      <c r="AV33" s="27">
        <v>14.390974</v>
      </c>
    </row>
    <row r="34" spans="1:48" x14ac:dyDescent="0.4">
      <c r="A34" s="27" t="s">
        <v>74</v>
      </c>
      <c r="B34" s="27" t="s">
        <v>390</v>
      </c>
      <c r="C34" s="27" t="s">
        <v>394</v>
      </c>
      <c r="D34" s="27"/>
      <c r="E34" s="9"/>
      <c r="F34" s="27" t="s">
        <v>646</v>
      </c>
      <c r="G34" s="27"/>
      <c r="H34" s="27">
        <f>IF(COUNTIF(テーブル_bis1_からのクエリ8[[#This Row],[SEC_TYPE]],"*Future"),1,0)</f>
        <v>0</v>
      </c>
      <c r="I34" s="27" t="str">
        <f>LOWER(テーブル_bis1_からのクエリ8[[#This Row],[DESCRIPTION]])</f>
        <v>cash: bnp paribas secu</v>
      </c>
      <c r="J34" s="27">
        <f>IF(COUNTIF(テーブル_bis1_からのクエリ8[[#This Row],[SEC_TYPE]],"*ption"),1,0)</f>
        <v>0</v>
      </c>
      <c r="K34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34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34" s="11">
        <v>771102.9</v>
      </c>
      <c r="N34" s="27">
        <v>30</v>
      </c>
      <c r="O34" s="27">
        <v>27</v>
      </c>
      <c r="P34" s="27" t="s">
        <v>387</v>
      </c>
      <c r="Q34" s="27" t="s">
        <v>369</v>
      </c>
      <c r="R34" s="27" t="s">
        <v>373</v>
      </c>
      <c r="S34" s="27"/>
      <c r="T34" s="27" t="s">
        <v>371</v>
      </c>
      <c r="U34" s="27" t="s">
        <v>372</v>
      </c>
      <c r="V34" s="27" t="s">
        <v>374</v>
      </c>
      <c r="W34" s="27"/>
      <c r="X34" s="27"/>
      <c r="Y34" s="27"/>
      <c r="Z34" s="27"/>
      <c r="AA34" s="27">
        <v>2.9645249162719528E-4</v>
      </c>
      <c r="AB34" s="27">
        <v>0.15517073428299999</v>
      </c>
      <c r="AC34" s="27"/>
      <c r="AD34" s="27"/>
      <c r="AE34" s="27"/>
      <c r="AF34" s="27"/>
      <c r="AG34" s="27"/>
      <c r="AH34" s="27"/>
      <c r="AI34" s="27"/>
      <c r="AJ34" s="27"/>
      <c r="AK34" s="27">
        <v>1</v>
      </c>
      <c r="AL34" s="27">
        <v>313355</v>
      </c>
      <c r="AM34" s="27"/>
      <c r="AN34" s="27"/>
      <c r="AO34" s="27"/>
      <c r="AP34" s="9"/>
      <c r="AQ34" s="27"/>
      <c r="AR34" s="27"/>
      <c r="AS34" s="13">
        <v>42884.636550925927</v>
      </c>
      <c r="AT34" s="27"/>
      <c r="AU34" s="27"/>
      <c r="AV34" s="27">
        <v>1</v>
      </c>
    </row>
    <row r="35" spans="1:48" x14ac:dyDescent="0.4">
      <c r="A35" s="27" t="s">
        <v>74</v>
      </c>
      <c r="B35" s="27" t="s">
        <v>644</v>
      </c>
      <c r="C35" s="27" t="s">
        <v>641</v>
      </c>
      <c r="D35" s="27"/>
      <c r="E35" s="9"/>
      <c r="F35" s="27" t="s">
        <v>381</v>
      </c>
      <c r="G35" s="27"/>
      <c r="H35" s="27">
        <f>IF(COUNTIF(テーブル_bis1_からのクエリ8[[#This Row],[SEC_TYPE]],"*Future"),1,0)</f>
        <v>0</v>
      </c>
      <c r="I35" s="27" t="str">
        <f>LOWER(テーブル_bis1_からのクエリ8[[#This Row],[DESCRIPTION]])</f>
        <v>cash: merrill lynch in</v>
      </c>
      <c r="J35" s="27">
        <f>IF(COUNTIF(テーブル_bis1_からのクエリ8[[#This Row],[SEC_TYPE]],"*ption"),1,0)</f>
        <v>0</v>
      </c>
      <c r="K35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35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35" s="11">
        <v>205402345.97</v>
      </c>
      <c r="N35" s="27">
        <v>30</v>
      </c>
      <c r="O35" s="27">
        <v>28</v>
      </c>
      <c r="P35" s="27" t="s">
        <v>639</v>
      </c>
      <c r="Q35" s="27" t="s">
        <v>369</v>
      </c>
      <c r="R35" s="27" t="s">
        <v>640</v>
      </c>
      <c r="S35" s="27"/>
      <c r="T35" s="27" t="s">
        <v>374</v>
      </c>
      <c r="U35" s="27"/>
      <c r="V35" s="27" t="s">
        <v>371</v>
      </c>
      <c r="W35" s="27"/>
      <c r="X35" s="27"/>
      <c r="Y35" s="27"/>
      <c r="Z35" s="27"/>
      <c r="AA35" s="27">
        <v>7.8967459788930494E-2</v>
      </c>
      <c r="AB35" s="27">
        <v>0.15517073428299999</v>
      </c>
      <c r="AC35" s="27"/>
      <c r="AD35" s="27"/>
      <c r="AE35" s="27"/>
      <c r="AF35" s="27"/>
      <c r="AG35" s="27"/>
      <c r="AH35" s="27"/>
      <c r="AI35" s="27"/>
      <c r="AJ35" s="27"/>
      <c r="AK35" s="27">
        <v>1</v>
      </c>
      <c r="AL35" s="27">
        <v>8613646.4199999999</v>
      </c>
      <c r="AM35" s="27"/>
      <c r="AN35" s="27"/>
      <c r="AO35" s="27"/>
      <c r="AP35" s="9"/>
      <c r="AQ35" s="27"/>
      <c r="AR35" s="27"/>
      <c r="AS35" s="13">
        <v>42884.636550925927</v>
      </c>
      <c r="AT35" s="27"/>
      <c r="AU35" s="27"/>
      <c r="AV35" s="27">
        <v>14.390974</v>
      </c>
    </row>
    <row r="36" spans="1:48" x14ac:dyDescent="0.4">
      <c r="A36" s="27" t="s">
        <v>74</v>
      </c>
      <c r="B36" s="27" t="s">
        <v>660</v>
      </c>
      <c r="C36" s="27" t="s">
        <v>659</v>
      </c>
      <c r="D36" s="27"/>
      <c r="E36" s="9"/>
      <c r="F36" s="27" t="s">
        <v>340</v>
      </c>
      <c r="G36" s="27"/>
      <c r="H36" s="27">
        <f>IF(COUNTIF(テーブル_bis1_からのクエリ8[[#This Row],[SEC_TYPE]],"*Future"),1,0)</f>
        <v>0</v>
      </c>
      <c r="I36" s="27" t="str">
        <f>LOWER(テーブル_bis1_からのクエリ8[[#This Row],[DESCRIPTION]])</f>
        <v>cash: china internat-h</v>
      </c>
      <c r="J36" s="27">
        <f>IF(COUNTIF(テーブル_bis1_からのクエリ8[[#This Row],[SEC_TYPE]],"*ption"),1,0)</f>
        <v>0</v>
      </c>
      <c r="K36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36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36" s="11">
        <v>8052091.0700000003</v>
      </c>
      <c r="N36" s="27">
        <v>30</v>
      </c>
      <c r="O36" s="27">
        <v>29</v>
      </c>
      <c r="P36" s="27" t="s">
        <v>658</v>
      </c>
      <c r="Q36" s="27"/>
      <c r="R36" s="27" t="s">
        <v>640</v>
      </c>
      <c r="S36" s="27"/>
      <c r="T36" s="27" t="s">
        <v>376</v>
      </c>
      <c r="U36" s="27" t="s">
        <v>377</v>
      </c>
      <c r="V36" s="27" t="s">
        <v>376</v>
      </c>
      <c r="W36" s="27"/>
      <c r="X36" s="27"/>
      <c r="Y36" s="27"/>
      <c r="Z36" s="27"/>
      <c r="AA36" s="27">
        <v>3.0956471056075509E-3</v>
      </c>
      <c r="AB36" s="27">
        <v>0.17756521739299999</v>
      </c>
      <c r="AC36" s="27"/>
      <c r="AD36" s="27"/>
      <c r="AE36" s="27"/>
      <c r="AF36" s="27"/>
      <c r="AG36" s="27"/>
      <c r="AH36" s="27"/>
      <c r="AI36" s="27"/>
      <c r="AJ36" s="27"/>
      <c r="AK36" s="27">
        <v>1</v>
      </c>
      <c r="AL36" s="27">
        <v>7962791.4500000002</v>
      </c>
      <c r="AM36" s="27"/>
      <c r="AN36" s="27"/>
      <c r="AO36" s="27"/>
      <c r="AP36" s="9"/>
      <c r="AQ36" s="27"/>
      <c r="AR36" s="27"/>
      <c r="AS36" s="13">
        <v>42884.636550925927</v>
      </c>
      <c r="AT36" s="27"/>
      <c r="AU36" s="27"/>
      <c r="AV36" s="27">
        <v>111.81</v>
      </c>
    </row>
    <row r="37" spans="1:48" x14ac:dyDescent="0.4">
      <c r="A37" s="27" t="s">
        <v>350</v>
      </c>
      <c r="B37" s="27" t="s">
        <v>350</v>
      </c>
      <c r="C37" s="27"/>
      <c r="D37" s="27"/>
      <c r="E37" s="9"/>
      <c r="F37" s="27"/>
      <c r="G37" s="27"/>
      <c r="H37" s="27">
        <f>IF(COUNTIF(テーブル_bis1_からのクエリ8[[#This Row],[SEC_TYPE]],"*Future"),1,0)</f>
        <v>0</v>
      </c>
      <c r="I37" s="27" t="str">
        <f>LOWER(テーブル_bis1_からのクエリ8[[#This Row],[DESCRIPTION]])</f>
        <v>other assets</v>
      </c>
      <c r="J37" s="27">
        <f>IF(COUNTIF(テーブル_bis1_からのクエリ8[[#This Row],[SEC_TYPE]],"*ption"),1,0)</f>
        <v>0</v>
      </c>
      <c r="K37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37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37" s="11">
        <v>6263475.75</v>
      </c>
      <c r="N37" s="27">
        <v>99</v>
      </c>
      <c r="O37" s="27">
        <v>30</v>
      </c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>
        <v>2.4080093491206109E-3</v>
      </c>
      <c r="AB37" s="27">
        <v>12.5</v>
      </c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9"/>
      <c r="AQ37" s="27"/>
      <c r="AR37" s="27"/>
      <c r="AS37" s="13">
        <v>42884.636550925927</v>
      </c>
      <c r="AT37" s="27"/>
      <c r="AU37" s="27"/>
    </row>
    <row r="38" spans="1:48" x14ac:dyDescent="0.4">
      <c r="A38" s="27" t="s">
        <v>349</v>
      </c>
      <c r="B38" s="27" t="s">
        <v>349</v>
      </c>
      <c r="C38" s="27"/>
      <c r="D38" s="27"/>
      <c r="E38" s="9"/>
      <c r="F38" s="27"/>
      <c r="G38" s="27"/>
      <c r="H38" s="27">
        <f>IF(COUNTIF(テーブル_bis1_からのクエリ8[[#This Row],[SEC_TYPE]],"*Future"),1,0)</f>
        <v>0</v>
      </c>
      <c r="I38" s="27" t="str">
        <f>LOWER(テーブル_bis1_からのクエリ8[[#This Row],[DESCRIPTION]])</f>
        <v>other liabilities</v>
      </c>
      <c r="J38" s="27">
        <f>IF(COUNTIF(テーブル_bis1_からのクエリ8[[#This Row],[SEC_TYPE]],"*ption"),1,0)</f>
        <v>0</v>
      </c>
      <c r="K38" s="27" t="str">
        <f>IF(テーブル_bis1_からのクエリ8[[#This Row],[Option]]=1,IF(OR(COUNTIF(テーブル_bis1_からのクエリ8[[#This Row],[String_check]],"*call*"),COUNTIF(テーブル_bis1_からのクエリ8[[#This Row],[String_check]],"*up*"),COUNTIF(テーブル_bis1_からのクエリ8[[#This Row],[String_check]],"*rtr*"),COUNTIF(テーブル_bis1_からのクエリ8[[#This Row],[String_check]],"*receive fixed*"),COUNTIF(テーブル_bis1_からのクエリ8[[#This Row],[String_check]],"*rec fixed*"),COUNTIF(テーブル_bis1_からのクエリ8[[#This Row],[String_check]],"*receiver*")),"C",IF(OR(COUNTIF(テーブル_bis1_からのクエリ8[[#This Row],[String_check]],"*put*"),COUNTIF(テーブル_bis1_からのクエリ8[[#This Row],[String_check]],"*down*"),COUNTIF(テーブル_bis1_からのクエリ8[[#This Row],[String_check]],"*rtp*"),COUNTIF(テーブル_bis1_からのクエリ8[[#This Row],[String_check]],"*pay fixed*"),COUNTIF(テーブル_bis1_からのクエリ8[[#This Row],[String_check]],"*payer*")),"P","")),"")</f>
        <v/>
      </c>
      <c r="L38" s="12" t="str">
        <f>IF(AND(テーブル_bis1_からのクエリ8[[#This Row],[Option]]=1,テーブル_bis1_からのクエリ8[[#This Row],[Call/Put]]&lt;&gt;""),"",IF(AND(テーブル_bis1_からのクエリ8[[#This Row],[Option]]=1,テーブル_bis1_からのクエリ8[[#This Row],[Call/Put]]=""),1,""))</f>
        <v/>
      </c>
      <c r="M38" s="11">
        <v>-29317990.34</v>
      </c>
      <c r="N38" s="27">
        <v>90</v>
      </c>
      <c r="O38" s="27">
        <v>31</v>
      </c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>
        <v>-1.1271376732982124E-2</v>
      </c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9"/>
      <c r="AQ38" s="27"/>
      <c r="AR38" s="27"/>
      <c r="AS38" s="13">
        <v>42884.636550925927</v>
      </c>
      <c r="AT38" s="27"/>
      <c r="AU38" s="27"/>
    </row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Data">
                <anchor moveWithCells="1" sizeWithCells="1">
                  <from>
                    <xdr:col>3</xdr:col>
                    <xdr:colOff>47625</xdr:colOff>
                    <xdr:row>0</xdr:row>
                    <xdr:rowOff>123825</xdr:rowOff>
                  </from>
                  <to>
                    <xdr:col>4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aveReport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466725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SCM_CVA">
                <anchor moveWithCells="1" sizeWithCells="1">
                  <from>
                    <xdr:col>4</xdr:col>
                    <xdr:colOff>790575</xdr:colOff>
                    <xdr:row>0</xdr:row>
                    <xdr:rowOff>123825</xdr:rowOff>
                  </from>
                  <to>
                    <xdr:col>5</xdr:col>
                    <xdr:colOff>1095375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>
          <x14:formula1>
            <xm:f>Sheet1!$C:$C</xm:f>
          </x14:formula1>
          <xm:sqref>B5</xm:sqref>
        </x14:dataValidation>
        <x14:dataValidation type="list" allowBlank="1" showInputMessage="1">
          <x14:formula1>
            <xm:f>Sheet1!$B:$B</xm:f>
          </x14:formula1>
          <xm:sqref>B2</xm:sqref>
        </x14:dataValidation>
        <x14:dataValidation type="list" allowBlank="1" showInputMessage="1">
          <x14:formula1>
            <xm:f>Sheet1!$A:$A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X10028"/>
  <sheetViews>
    <sheetView zoomScale="68" zoomScaleNormal="68" workbookViewId="0">
      <pane ySplit="7" topLeftCell="A8" activePane="bottomLeft" state="frozen"/>
      <selection pane="bottomLeft" activeCell="A39" sqref="A39:XFD43"/>
    </sheetView>
  </sheetViews>
  <sheetFormatPr defaultRowHeight="18.75" outlineLevelCol="1" x14ac:dyDescent="0.4"/>
  <cols>
    <col min="1" max="1" width="8" customWidth="1"/>
    <col min="2" max="2" width="21.25" customWidth="1"/>
    <col min="3" max="3" width="14.625" customWidth="1"/>
    <col min="4" max="4" width="9" customWidth="1" outlineLevel="1"/>
    <col min="5" max="5" width="15.375" customWidth="1" outlineLevel="1"/>
    <col min="6" max="6" width="15" customWidth="1" outlineLevel="1"/>
    <col min="7" max="7" width="12.625" customWidth="1" outlineLevel="1"/>
    <col min="8" max="8" width="18" customWidth="1" outlineLevel="1"/>
    <col min="9" max="9" width="15.875" customWidth="1" outlineLevel="1"/>
    <col min="10" max="10" width="7.625" style="27" customWidth="1" outlineLevel="1"/>
    <col min="11" max="11" width="13.875" style="27" customWidth="1" outlineLevel="1"/>
    <col min="12" max="12" width="10.75" style="27" customWidth="1" outlineLevel="1"/>
    <col min="13" max="13" width="18.5" style="27" customWidth="1" outlineLevel="1"/>
    <col min="14" max="14" width="25.625" style="27" customWidth="1" outlineLevel="1"/>
    <col min="15" max="15" width="22" style="27" customWidth="1" outlineLevel="1"/>
    <col min="16" max="16" width="14.5" style="27" customWidth="1" outlineLevel="1"/>
    <col min="17" max="17" width="12.125" style="11" customWidth="1" outlineLevel="1"/>
    <col min="18" max="18" width="20.875" customWidth="1" outlineLevel="1"/>
    <col min="19" max="19" width="19.75" customWidth="1" outlineLevel="1"/>
    <col min="20" max="20" width="20.75" customWidth="1" outlineLevel="1"/>
    <col min="21" max="21" width="15.625" customWidth="1" outlineLevel="1" collapsed="1"/>
    <col min="22" max="22" width="14.625" style="12" customWidth="1" outlineLevel="1"/>
    <col min="23" max="23" width="9.5" style="12" customWidth="1"/>
    <col min="24" max="24" width="10.625" style="12" customWidth="1"/>
    <col min="25" max="25" width="14.875" style="12" customWidth="1"/>
    <col min="26" max="26" width="12.625" style="12" customWidth="1"/>
    <col min="27" max="27" width="11.125" style="12" customWidth="1"/>
    <col min="28" max="28" width="12.75" style="65" customWidth="1"/>
    <col min="29" max="29" width="12.25" style="11" customWidth="1"/>
    <col min="30" max="30" width="18.5" style="11" customWidth="1"/>
    <col min="31" max="31" width="13.375" style="11" customWidth="1"/>
    <col min="32" max="32" width="21.25" customWidth="1"/>
    <col min="33" max="33" width="13.125" customWidth="1"/>
    <col min="34" max="34" width="16.125" style="11" customWidth="1"/>
    <col min="35" max="35" width="21.25" customWidth="1"/>
    <col min="36" max="36" width="54.5" customWidth="1"/>
    <col min="37" max="37" width="15.75" customWidth="1"/>
    <col min="38" max="38" width="18.5" customWidth="1"/>
    <col min="39" max="39" width="18" customWidth="1"/>
    <col min="40" max="40" width="14.5" customWidth="1"/>
    <col min="41" max="41" width="20.875" style="27" customWidth="1"/>
    <col min="42" max="42" width="20.875" customWidth="1"/>
    <col min="43" max="43" width="22" customWidth="1"/>
    <col min="44" max="44" width="15.625" customWidth="1"/>
    <col min="45" max="45" width="22.75" customWidth="1"/>
    <col min="46" max="46" width="22.375" customWidth="1"/>
    <col min="47" max="47" width="14.125" customWidth="1"/>
    <col min="48" max="48" width="19.75" customWidth="1"/>
    <col min="49" max="49" width="17.625" customWidth="1"/>
    <col min="50" max="50" width="22.875" customWidth="1"/>
    <col min="51" max="51" width="15.625" customWidth="1"/>
    <col min="52" max="52" width="22.875" customWidth="1"/>
    <col min="53" max="53" width="24.375" customWidth="1"/>
    <col min="54" max="54" width="31.25" customWidth="1"/>
    <col min="55" max="55" width="22.875" customWidth="1"/>
    <col min="56" max="56" width="15.625" customWidth="1"/>
    <col min="57" max="57" width="16.875" customWidth="1"/>
    <col min="58" max="58" width="14.25" customWidth="1"/>
    <col min="59" max="59" width="16.875" customWidth="1"/>
    <col min="60" max="60" width="20" customWidth="1"/>
    <col min="61" max="61" width="20.75" customWidth="1"/>
    <col min="62" max="62" width="15.625" customWidth="1"/>
    <col min="63" max="63" width="10.625" customWidth="1"/>
    <col min="64" max="64" width="15.75" customWidth="1"/>
    <col min="65" max="65" width="14.875" style="27" customWidth="1"/>
    <col min="66" max="66" width="12.75" customWidth="1"/>
    <col min="67" max="67" width="11.375" customWidth="1"/>
    <col min="68" max="68" width="17.375" customWidth="1"/>
    <col min="69" max="69" width="18" customWidth="1"/>
    <col min="70" max="70" width="23.625" bestFit="1" customWidth="1"/>
    <col min="71" max="71" width="23.625" customWidth="1"/>
    <col min="72" max="72" width="23.625" bestFit="1" customWidth="1"/>
    <col min="73" max="73" width="23.625" style="11" bestFit="1" customWidth="1"/>
    <col min="74" max="74" width="20.375" style="11" customWidth="1"/>
    <col min="75" max="76" width="14.875" style="11" customWidth="1"/>
    <col min="77" max="77" width="14.875" customWidth="1"/>
    <col min="78" max="78" width="18" bestFit="1" customWidth="1"/>
  </cols>
  <sheetData>
    <row r="1" spans="1:76" x14ac:dyDescent="0.2">
      <c r="A1" s="14" t="s">
        <v>134</v>
      </c>
      <c r="B1" s="15" t="str">
        <f>report!B1</f>
        <v>McpChinaGrowth</v>
      </c>
      <c r="BS1" s="11"/>
      <c r="BT1" s="11"/>
      <c r="BW1"/>
      <c r="BX1"/>
    </row>
    <row r="2" spans="1:76" x14ac:dyDescent="0.2">
      <c r="A2" s="16" t="s">
        <v>135</v>
      </c>
      <c r="B2" s="17" t="str">
        <f>report!B2</f>
        <v>2017-03-31</v>
      </c>
      <c r="AG2" t="s">
        <v>382</v>
      </c>
      <c r="AH2" s="11" t="s">
        <v>383</v>
      </c>
      <c r="AI2" t="s">
        <v>384</v>
      </c>
      <c r="AK2" s="11" t="s">
        <v>357</v>
      </c>
      <c r="AL2" s="11">
        <f>IF(SUM($BR:$BR)&gt;0,SUM($BR:$BR),0)</f>
        <v>0</v>
      </c>
      <c r="BS2" s="11"/>
      <c r="BT2" s="11"/>
      <c r="BW2"/>
      <c r="BX2"/>
    </row>
    <row r="3" spans="1:76" x14ac:dyDescent="0.2">
      <c r="A3" s="18" t="s">
        <v>5</v>
      </c>
      <c r="B3" s="6" t="str">
        <f>report!B3</f>
        <v>JPY</v>
      </c>
      <c r="AF3" s="63">
        <f>AF4/$B$4</f>
        <v>1.2463827973215984</v>
      </c>
      <c r="AG3" s="63">
        <f>AG4/$B$4</f>
        <v>0</v>
      </c>
      <c r="AH3" s="73">
        <f t="shared" ref="AH3:AI3" si="0">AH4/$B$4</f>
        <v>0</v>
      </c>
      <c r="AI3" s="72">
        <f t="shared" si="0"/>
        <v>0</v>
      </c>
      <c r="AK3" s="11" t="s">
        <v>358</v>
      </c>
      <c r="AL3" s="11">
        <f>SUM($BS:$BS)</f>
        <v>0</v>
      </c>
      <c r="BS3" s="11"/>
      <c r="BT3" s="11"/>
      <c r="BW3"/>
      <c r="BX3"/>
    </row>
    <row r="4" spans="1:76" x14ac:dyDescent="0.2">
      <c r="A4" s="16" t="s">
        <v>6</v>
      </c>
      <c r="B4" s="7">
        <f>report!B4</f>
        <v>2601101093.02</v>
      </c>
      <c r="P4" s="11">
        <f>SUM(Q:Q)</f>
        <v>82112496.333626598</v>
      </c>
      <c r="V4" s="12">
        <f>SUM(W:W)</f>
        <v>7</v>
      </c>
      <c r="AF4" s="11">
        <f>SUM(AE:AE)</f>
        <v>3241967656.4345345</v>
      </c>
      <c r="AG4" s="71">
        <f>AF4*0+AM4</f>
        <v>0</v>
      </c>
      <c r="AH4" s="11">
        <f>SUM(AL2:AL5)</f>
        <v>0</v>
      </c>
      <c r="AI4" s="71">
        <f>AL6</f>
        <v>0</v>
      </c>
      <c r="AK4" s="11" t="s">
        <v>364</v>
      </c>
      <c r="AL4" s="11">
        <f>IF(SUM($BT:$BT)&gt;0,SUM($BT:$BT),0)</f>
        <v>0</v>
      </c>
      <c r="AM4" s="71">
        <f>SUM(AL2:AL6)</f>
        <v>0</v>
      </c>
      <c r="BS4" s="11"/>
      <c r="BT4" s="11"/>
      <c r="BW4"/>
      <c r="BX4"/>
    </row>
    <row r="5" spans="1:76" x14ac:dyDescent="0.2">
      <c r="A5" s="18" t="s">
        <v>7</v>
      </c>
      <c r="B5" s="19">
        <f>report!B5</f>
        <v>1</v>
      </c>
      <c r="P5" s="65">
        <f>P4/B4</f>
        <v>3.156836024327303E-2</v>
      </c>
      <c r="AK5" s="11" t="s">
        <v>365</v>
      </c>
      <c r="AL5" s="11">
        <f>SUM($BU:$BU)</f>
        <v>0</v>
      </c>
      <c r="BS5" s="11"/>
      <c r="BT5" s="11"/>
      <c r="BW5"/>
      <c r="BX5"/>
    </row>
    <row r="6" spans="1:76" x14ac:dyDescent="0.4">
      <c r="AK6" s="11" t="s">
        <v>359</v>
      </c>
      <c r="AL6" s="11">
        <f>SUM($BV:$BV)</f>
        <v>0</v>
      </c>
      <c r="BS6" s="11"/>
      <c r="BT6" s="11"/>
      <c r="BW6"/>
      <c r="BX6"/>
    </row>
    <row r="7" spans="1:76" x14ac:dyDescent="0.4">
      <c r="A7" t="s">
        <v>101</v>
      </c>
      <c r="B7" t="s">
        <v>102</v>
      </c>
      <c r="C7" t="s">
        <v>68</v>
      </c>
      <c r="D7" t="s">
        <v>103</v>
      </c>
      <c r="E7" t="s">
        <v>104</v>
      </c>
      <c r="F7" t="s">
        <v>105</v>
      </c>
      <c r="G7" t="s">
        <v>106</v>
      </c>
      <c r="H7" t="s">
        <v>107</v>
      </c>
      <c r="I7" t="s">
        <v>108</v>
      </c>
      <c r="J7" s="27" t="s">
        <v>266</v>
      </c>
      <c r="K7" s="27" t="s">
        <v>267</v>
      </c>
      <c r="L7" s="27" t="s">
        <v>268</v>
      </c>
      <c r="M7" s="27" t="s">
        <v>281</v>
      </c>
      <c r="N7" s="27" t="s">
        <v>282</v>
      </c>
      <c r="O7" s="27" t="s">
        <v>283</v>
      </c>
      <c r="P7" s="27" t="s">
        <v>285</v>
      </c>
      <c r="Q7" s="11" t="s">
        <v>287</v>
      </c>
      <c r="R7" t="s">
        <v>77</v>
      </c>
      <c r="S7" t="s">
        <v>109</v>
      </c>
      <c r="T7" t="s">
        <v>110</v>
      </c>
      <c r="U7" t="s">
        <v>72</v>
      </c>
      <c r="V7" s="12" t="s">
        <v>156</v>
      </c>
      <c r="W7" s="12" t="s">
        <v>222</v>
      </c>
      <c r="X7" s="12" t="s">
        <v>265</v>
      </c>
      <c r="Y7" s="12" t="s">
        <v>289</v>
      </c>
      <c r="Z7" s="12" t="s">
        <v>290</v>
      </c>
      <c r="AA7" s="12" t="s">
        <v>291</v>
      </c>
      <c r="AB7" s="65" t="s">
        <v>292</v>
      </c>
      <c r="AC7" s="11" t="s">
        <v>293</v>
      </c>
      <c r="AD7" s="11" t="s">
        <v>295</v>
      </c>
      <c r="AE7" s="11" t="s">
        <v>294</v>
      </c>
      <c r="AF7" s="11" t="s">
        <v>97</v>
      </c>
      <c r="AG7" t="s">
        <v>111</v>
      </c>
      <c r="AH7" s="11" t="s">
        <v>112</v>
      </c>
      <c r="AI7" t="s">
        <v>70</v>
      </c>
      <c r="AJ7" t="s">
        <v>69</v>
      </c>
      <c r="AK7" t="s">
        <v>113</v>
      </c>
      <c r="AL7" t="s">
        <v>114</v>
      </c>
      <c r="AM7" t="s">
        <v>131</v>
      </c>
      <c r="AN7" t="s">
        <v>136</v>
      </c>
      <c r="AO7" s="27" t="s">
        <v>296</v>
      </c>
      <c r="AP7" t="s">
        <v>137</v>
      </c>
      <c r="AQ7" t="s">
        <v>138</v>
      </c>
      <c r="AR7" t="s">
        <v>139</v>
      </c>
      <c r="AS7" t="s">
        <v>140</v>
      </c>
      <c r="AT7" t="s">
        <v>141</v>
      </c>
      <c r="AU7" t="s">
        <v>142</v>
      </c>
      <c r="AV7" t="s">
        <v>143</v>
      </c>
      <c r="AW7" t="s">
        <v>144</v>
      </c>
      <c r="AX7" t="s">
        <v>145</v>
      </c>
      <c r="AY7" t="s">
        <v>146</v>
      </c>
      <c r="AZ7" t="s">
        <v>147</v>
      </c>
      <c r="BA7" t="s">
        <v>148</v>
      </c>
      <c r="BB7" t="s">
        <v>149</v>
      </c>
      <c r="BC7" t="s">
        <v>116</v>
      </c>
      <c r="BD7" t="s">
        <v>117</v>
      </c>
      <c r="BE7" t="s">
        <v>118</v>
      </c>
      <c r="BF7" t="s">
        <v>119</v>
      </c>
      <c r="BG7" t="s">
        <v>120</v>
      </c>
      <c r="BH7" t="s">
        <v>121</v>
      </c>
      <c r="BI7" t="s">
        <v>122</v>
      </c>
      <c r="BJ7" t="s">
        <v>71</v>
      </c>
      <c r="BK7" t="s">
        <v>123</v>
      </c>
      <c r="BL7" t="s">
        <v>78</v>
      </c>
      <c r="BM7" s="27" t="s">
        <v>633</v>
      </c>
      <c r="BN7" t="s">
        <v>125</v>
      </c>
      <c r="BO7" t="s">
        <v>126</v>
      </c>
      <c r="BP7" t="s">
        <v>127</v>
      </c>
      <c r="BQ7" t="s">
        <v>128</v>
      </c>
      <c r="BR7" s="11" t="s">
        <v>354</v>
      </c>
      <c r="BS7" s="11" t="s">
        <v>355</v>
      </c>
      <c r="BT7" s="11" t="s">
        <v>362</v>
      </c>
      <c r="BU7" s="11" t="s">
        <v>363</v>
      </c>
      <c r="BV7" t="s">
        <v>356</v>
      </c>
      <c r="BW7" t="s">
        <v>368</v>
      </c>
      <c r="BX7"/>
    </row>
    <row r="8" spans="1:76" x14ac:dyDescent="0.4">
      <c r="A8" s="27">
        <v>1</v>
      </c>
      <c r="B8" s="27" t="s">
        <v>639</v>
      </c>
      <c r="C8" s="27" t="s">
        <v>151</v>
      </c>
      <c r="D8" s="27" t="s">
        <v>369</v>
      </c>
      <c r="E8" s="27" t="s">
        <v>640</v>
      </c>
      <c r="F8" s="27"/>
      <c r="G8" s="27" t="s">
        <v>374</v>
      </c>
      <c r="H8" s="27"/>
      <c r="I8" s="27" t="s">
        <v>371</v>
      </c>
      <c r="J8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A</v>
      </c>
      <c r="K8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8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A</v>
      </c>
      <c r="M8" s="27">
        <f>IF(テーブル_bis1_からのクエリ2[[#This Row],[SP]]&lt;&gt;0,VLOOKUP(テーブル_bis1_からのクエリ2[[#This Row],[SP]],SF!$L$1:$M$14,2,FALSE),"")</f>
        <v>8.0000000000000002E-3</v>
      </c>
      <c r="N8" s="27" t="str">
        <f>IF(テーブル_bis1_からのクエリ2[[#This Row],[MOODYS]]&lt;&gt;0,VLOOKUP(テーブル_bis1_からのクエリ2[[#This Row],[MOODYS]],SF!$L$1:$M$14,2,FALSE),"")</f>
        <v/>
      </c>
      <c r="O8" s="27">
        <f>IF(テーブル_bis1_からのクエリ2[[#This Row],[FITCH]]&lt;&gt;0,VLOOKUP(テーブル_bis1_からのクエリ2[[#This Row],[FITCH]],SF!$L$1:$M$14,2,FALSE),"")</f>
        <v>8.0000000000000002E-3</v>
      </c>
      <c r="P8" s="27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>8.0000000000000002E-3</v>
      </c>
      <c r="Q8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43659484.931778103</v>
      </c>
      <c r="R8" s="27">
        <v>52</v>
      </c>
      <c r="S8" s="27"/>
      <c r="T8" s="27"/>
      <c r="U8" s="9"/>
      <c r="V8" s="12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>5</v>
      </c>
      <c r="W8" s="12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>3</v>
      </c>
      <c r="X8"/>
      <c r="Y8" s="12">
        <f>IF(テーブル_bis1_からのクエリ2[[#This Row],[Type2]]&lt;&gt;"",テーブル_bis1_からのクエリ2[[#This Row],[Type2]],テーブル_bis1_からのクエリ2[[#This Row],[Type]])</f>
        <v>3</v>
      </c>
      <c r="Z8" s="12">
        <f>IF(テーブル_bis1_からのクエリ2[[#This Row],[length]]&lt;=1,1,IF(テーブル_bis1_からのクエリ2[[#This Row],[length]]&gt;=5,3,2))</f>
        <v>3</v>
      </c>
      <c r="AA8" s="12" t="str">
        <f>IF(テーブル_bis1_からのクエリ2[[#This Row],[Type]]&lt;&gt;"",CONCATENATE(テーブル_bis1_からのクエリ2[[#This Row],[Final_Type]],テーブル_bis1_からのクエリ2[[#This Row],[duration]]),"")</f>
        <v>33</v>
      </c>
      <c r="AB8" s="65">
        <f>IF(AND(テーブル_bis1_からのクエリ2[[#This Row],[combo]]&lt;&gt;"",テーブル_bis1_からのクエリ2[[#This Row],[length]]&gt;0),VLOOKUP(テーブル_bis1_からのクエリ2[[#This Row],[combo]],SF!$B$1:$C$18,2,FALSE),"")</f>
        <v>0.1</v>
      </c>
      <c r="AC8" s="11">
        <f>IF(テーブル_bis1_からのクエリ2[[#This Row],[SCM_SF]]&lt;&gt;"",ABS(テーブル_bis1_からのクエリ2[[#This Row],[NOTIONAL]])*テーブル_bis1_からのクエリ2[[#This Row],[SCM_SF]],0)</f>
        <v>7406314.7690000003</v>
      </c>
      <c r="AD8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7654304.4390000002</v>
      </c>
      <c r="AE8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3418857.8454710534</v>
      </c>
      <c r="AF8" s="11">
        <v>247989.67</v>
      </c>
      <c r="AG8" s="27"/>
      <c r="AH8" s="11">
        <v>-74063147.689999998</v>
      </c>
      <c r="AI8" s="27" t="s">
        <v>641</v>
      </c>
      <c r="AJ8" s="27" t="s">
        <v>684</v>
      </c>
      <c r="AK8" s="27">
        <v>9.5340265961009772E-5</v>
      </c>
      <c r="AL8" s="27">
        <v>0.44665820032600001</v>
      </c>
      <c r="AM8" s="13">
        <v>42884.636550925927</v>
      </c>
      <c r="AN8" s="27">
        <v>2</v>
      </c>
      <c r="AO8"/>
      <c r="AP8" s="27" t="s">
        <v>682</v>
      </c>
      <c r="AQ8" s="27" t="s">
        <v>73</v>
      </c>
      <c r="AR8" s="27"/>
      <c r="AS8" s="27" t="s">
        <v>375</v>
      </c>
      <c r="AT8" s="27"/>
      <c r="AU8" s="27" t="s">
        <v>389</v>
      </c>
      <c r="AV8" s="27"/>
      <c r="AW8" s="27" t="s">
        <v>638</v>
      </c>
      <c r="AX8" s="27" t="s">
        <v>369</v>
      </c>
      <c r="AY8" s="27">
        <v>-74063147.689999998</v>
      </c>
      <c r="AZ8" s="9"/>
      <c r="BA8" s="27">
        <v>0</v>
      </c>
      <c r="BB8" s="27" t="s">
        <v>684</v>
      </c>
      <c r="BC8" s="27" t="s">
        <v>681</v>
      </c>
      <c r="BD8" s="27"/>
      <c r="BE8" s="27"/>
      <c r="BF8" s="27"/>
      <c r="BG8" s="27"/>
      <c r="BH8" s="27"/>
      <c r="BI8" s="27"/>
      <c r="BJ8" s="27">
        <v>-730000</v>
      </c>
      <c r="BK8" s="27">
        <v>7.05</v>
      </c>
      <c r="BL8" s="27" t="s">
        <v>381</v>
      </c>
      <c r="BM8" s="9">
        <v>14.390974</v>
      </c>
      <c r="BN8" s="27"/>
      <c r="BO8" s="27"/>
      <c r="BP8" s="27"/>
      <c r="BQ8" s="9"/>
      <c r="BR8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8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8" s="11">
        <f>IF(COUNTIF(テーブル_bis1_からのクエリ2[[#This Row],[SEC_TYPE]],"Volatility Index Future*"),テーブル_bis1_からのクエリ2[[#This Row],[NOTIONAL]]*1.875,0)</f>
        <v>0</v>
      </c>
      <c r="BU8" s="11">
        <f>IF(COUNTIF(テーブル_bis1_からのクエリ2[[#This Row],[SEC_TYPE]],"Volatility Index Future*"),ABS(テーブル_bis1_からのクエリ2[[#This Row],[NOTIONAL]])*0.375,0)</f>
        <v>0</v>
      </c>
      <c r="BV8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8" s="27">
        <f>テーブル_bis1_からのクエリ2[[#This Row],[PE]]/$B$4</f>
        <v>1.3143886851016619E-3</v>
      </c>
      <c r="BX8"/>
    </row>
    <row r="9" spans="1:76" x14ac:dyDescent="0.4">
      <c r="A9" s="27">
        <v>3</v>
      </c>
      <c r="B9" s="27" t="s">
        <v>642</v>
      </c>
      <c r="C9" s="27" t="s">
        <v>151</v>
      </c>
      <c r="D9" s="27" t="s">
        <v>369</v>
      </c>
      <c r="E9" s="27" t="s">
        <v>640</v>
      </c>
      <c r="F9" s="27"/>
      <c r="G9" s="27" t="s">
        <v>374</v>
      </c>
      <c r="H9" s="27" t="s">
        <v>372</v>
      </c>
      <c r="I9" s="27"/>
      <c r="J9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A</v>
      </c>
      <c r="K9" s="27" t="str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A</v>
      </c>
      <c r="L9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9" s="27">
        <f>IF(テーブル_bis1_からのクエリ2[[#This Row],[SP]]&lt;&gt;0,VLOOKUP(テーブル_bis1_からのクエリ2[[#This Row],[SP]],SF!$L$1:$M$14,2,FALSE),"")</f>
        <v>8.0000000000000002E-3</v>
      </c>
      <c r="N9" s="27">
        <f>IF(テーブル_bis1_からのクエリ2[[#This Row],[MOODYS]]&lt;&gt;0,VLOOKUP(テーブル_bis1_からのクエリ2[[#This Row],[MOODYS]],SF!$L$1:$M$14,2,FALSE),"")</f>
        <v>8.0000000000000002E-3</v>
      </c>
      <c r="O9" s="27" t="str">
        <f>IF(テーブル_bis1_からのクエリ2[[#This Row],[FITCH]]&lt;&gt;0,VLOOKUP(テーブル_bis1_からのクエリ2[[#This Row],[FITCH]],SF!$L$1:$M$14,2,FALSE),"")</f>
        <v/>
      </c>
      <c r="P9" s="27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>8.0000000000000002E-3</v>
      </c>
      <c r="Q9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14782227.827624403</v>
      </c>
      <c r="R9" s="27">
        <v>52</v>
      </c>
      <c r="S9" s="27"/>
      <c r="T9" s="27"/>
      <c r="U9" s="9"/>
      <c r="V9" s="12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>5</v>
      </c>
      <c r="W9" s="12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>3</v>
      </c>
      <c r="X9"/>
      <c r="Y9" s="12">
        <f>IF(テーブル_bis1_からのクエリ2[[#This Row],[Type2]]&lt;&gt;"",テーブル_bis1_からのクエリ2[[#This Row],[Type2]],テーブル_bis1_からのクエリ2[[#This Row],[Type]])</f>
        <v>3</v>
      </c>
      <c r="Z9" s="12">
        <f>IF(テーブル_bis1_からのクエリ2[[#This Row],[length]]&lt;=1,1,IF(テーブル_bis1_からのクエリ2[[#This Row],[length]]&gt;=5,3,2))</f>
        <v>3</v>
      </c>
      <c r="AA9" s="12" t="str">
        <f>IF(テーブル_bis1_からのクエリ2[[#This Row],[Type]]&lt;&gt;"",CONCATENATE(テーブル_bis1_からのクエリ2[[#This Row],[Final_Type]],テーブル_bis1_からのクエリ2[[#This Row],[duration]]),"")</f>
        <v>33</v>
      </c>
      <c r="AB9" s="65">
        <f>IF(AND(テーブル_bis1_からのクエリ2[[#This Row],[combo]]&lt;&gt;"",テーブル_bis1_からのクエリ2[[#This Row],[length]]&gt;0),VLOOKUP(テーブル_bis1_からのクエリ2[[#This Row],[combo]],SF!$B$1:$C$18,2,FALSE),"")</f>
        <v>0.1</v>
      </c>
      <c r="AC9" s="11">
        <f>IF(テーブル_bis1_からのクエリ2[[#This Row],[SCM_SF]]&lt;&gt;"",ABS(テーブル_bis1_からのクエリ2[[#This Row],[NOTIONAL]])*テーブル_bis1_からのクエリ2[[#This Row],[SCM_SF]],0)</f>
        <v>2507629.9559999998</v>
      </c>
      <c r="AD9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2507629.9559999998</v>
      </c>
      <c r="AE9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1120053.4832305266</v>
      </c>
      <c r="AF9" s="11">
        <v>-109450.81</v>
      </c>
      <c r="AG9" s="27"/>
      <c r="AH9" s="11">
        <v>-25076299.559999999</v>
      </c>
      <c r="AI9" s="27" t="s">
        <v>643</v>
      </c>
      <c r="AJ9" s="27" t="s">
        <v>685</v>
      </c>
      <c r="AK9" s="27">
        <v>-4.2078645191341826E-5</v>
      </c>
      <c r="AL9" s="27">
        <v>0.44665820032600001</v>
      </c>
      <c r="AM9" s="13">
        <v>42884.636550925927</v>
      </c>
      <c r="AN9" s="27">
        <v>4</v>
      </c>
      <c r="AO9"/>
      <c r="AP9" s="27" t="s">
        <v>635</v>
      </c>
      <c r="AQ9" s="27" t="s">
        <v>73</v>
      </c>
      <c r="AR9" s="27"/>
      <c r="AS9" s="27" t="s">
        <v>375</v>
      </c>
      <c r="AT9" s="27"/>
      <c r="AU9" s="27"/>
      <c r="AV9" s="27" t="s">
        <v>379</v>
      </c>
      <c r="AW9" s="27" t="s">
        <v>371</v>
      </c>
      <c r="AX9" s="27" t="s">
        <v>369</v>
      </c>
      <c r="AY9" s="27">
        <v>-25076299.559999999</v>
      </c>
      <c r="AZ9" s="9"/>
      <c r="BA9" s="27">
        <v>0</v>
      </c>
      <c r="BB9" s="27" t="s">
        <v>685</v>
      </c>
      <c r="BC9" s="27" t="s">
        <v>636</v>
      </c>
      <c r="BD9" s="27"/>
      <c r="BE9" s="27"/>
      <c r="BF9" s="27"/>
      <c r="BG9" s="27"/>
      <c r="BH9" s="27"/>
      <c r="BI9" s="27"/>
      <c r="BJ9" s="27">
        <v>-1300</v>
      </c>
      <c r="BK9" s="27">
        <v>172.52</v>
      </c>
      <c r="BL9" s="27" t="s">
        <v>340</v>
      </c>
      <c r="BM9" s="9">
        <v>111.81</v>
      </c>
      <c r="BN9" s="27"/>
      <c r="BO9" s="27"/>
      <c r="BP9" s="27"/>
      <c r="BQ9" s="9"/>
      <c r="BR9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9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9" s="11">
        <f>IF(COUNTIF(テーブル_bis1_からのクエリ2[[#This Row],[SEC_TYPE]],"Volatility Index Future*"),テーブル_bis1_からのクエリ2[[#This Row],[NOTIONAL]]*1.875,0)</f>
        <v>0</v>
      </c>
      <c r="BU9" s="11">
        <f>IF(COUNTIF(テーブル_bis1_からのクエリ2[[#This Row],[SEC_TYPE]],"Volatility Index Future*"),ABS(テーブル_bis1_からのクエリ2[[#This Row],[NOTIONAL]])*0.375,0)</f>
        <v>0</v>
      </c>
      <c r="BV9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9" s="27">
        <f>テーブル_bis1_からのクエリ2[[#This Row],[PE]]/$B$4</f>
        <v>4.3060744014762305E-4</v>
      </c>
      <c r="BX9"/>
    </row>
    <row r="10" spans="1:76" x14ac:dyDescent="0.4">
      <c r="A10" s="27">
        <v>5</v>
      </c>
      <c r="B10" s="27" t="s">
        <v>642</v>
      </c>
      <c r="C10" s="27" t="s">
        <v>99</v>
      </c>
      <c r="D10" s="27" t="s">
        <v>369</v>
      </c>
      <c r="E10" s="27" t="s">
        <v>640</v>
      </c>
      <c r="F10" s="27"/>
      <c r="G10" s="27" t="s">
        <v>374</v>
      </c>
      <c r="H10" s="27" t="s">
        <v>372</v>
      </c>
      <c r="I10" s="27"/>
      <c r="J10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A</v>
      </c>
      <c r="K10" s="27" t="str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A</v>
      </c>
      <c r="L10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10" s="27">
        <f>IF(テーブル_bis1_からのクエリ2[[#This Row],[SP]]&lt;&gt;0,VLOOKUP(テーブル_bis1_からのクエリ2[[#This Row],[SP]],SF!$L$1:$M$14,2,FALSE),"")</f>
        <v>8.0000000000000002E-3</v>
      </c>
      <c r="N10" s="27">
        <f>IF(テーブル_bis1_からのクエリ2[[#This Row],[MOODYS]]&lt;&gt;0,VLOOKUP(テーブル_bis1_からのクエリ2[[#This Row],[MOODYS]],SF!$L$1:$M$14,2,FALSE),"")</f>
        <v>8.0000000000000002E-3</v>
      </c>
      <c r="O10" s="27" t="str">
        <f>IF(テーブル_bis1_からのクエリ2[[#This Row],[FITCH]]&lt;&gt;0,VLOOKUP(テーブル_bis1_からのクエリ2[[#This Row],[FITCH]],SF!$L$1:$M$14,2,FALSE),"")</f>
        <v/>
      </c>
      <c r="P10" s="27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>8.0000000000000002E-3</v>
      </c>
      <c r="Q10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23670783.574224092</v>
      </c>
      <c r="R10" s="27">
        <v>50</v>
      </c>
      <c r="S10" s="27"/>
      <c r="T10" s="27"/>
      <c r="U10" s="9">
        <v>42853</v>
      </c>
      <c r="V10" s="12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>7.6712328767123292E-2</v>
      </c>
      <c r="W10" s="12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>1</v>
      </c>
      <c r="X10"/>
      <c r="Y10" s="12">
        <f>IF(テーブル_bis1_からのクエリ2[[#This Row],[Type2]]&lt;&gt;"",テーブル_bis1_からのクエリ2[[#This Row],[Type2]],テーブル_bis1_からのクエリ2[[#This Row],[Type]])</f>
        <v>1</v>
      </c>
      <c r="Z10" s="12">
        <f>IF(テーブル_bis1_からのクエリ2[[#This Row],[length]]&lt;=1,1,IF(テーブル_bis1_からのクエリ2[[#This Row],[length]]&gt;=5,3,2))</f>
        <v>1</v>
      </c>
      <c r="AA10" s="12" t="str">
        <f>IF(テーブル_bis1_からのクエリ2[[#This Row],[Type]]&lt;&gt;"",CONCATENATE(テーブル_bis1_からのクエリ2[[#This Row],[Final_Type]],テーブル_bis1_からのクエリ2[[#This Row],[duration]]),"")</f>
        <v>11</v>
      </c>
      <c r="AB10" s="65">
        <f>IF(AND(テーブル_bis1_からのクエリ2[[#This Row],[combo]]&lt;&gt;"",テーブル_bis1_からのクエリ2[[#This Row],[length]]&gt;0),VLOOKUP(テーブル_bis1_からのクエリ2[[#This Row],[combo]],SF!$B$1:$C$18,2,FALSE),"")</f>
        <v>0.01</v>
      </c>
      <c r="AC10" s="11">
        <f>IF(テーブル_bis1_からのクエリ2[[#This Row],[SCM_SF]]&lt;&gt;"",ABS(テーブル_bis1_からのクエリ2[[#This Row],[NOTIONAL]])*テーブル_bis1_からのクエリ2[[#This Row],[SCM_SF]],0)</f>
        <v>26172248.18</v>
      </c>
      <c r="AD10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26172248.18</v>
      </c>
      <c r="AE10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4061166.9679275099</v>
      </c>
      <c r="AF10" s="11">
        <v>-11224818</v>
      </c>
      <c r="AG10" s="27"/>
      <c r="AH10" s="11">
        <v>-2617224818</v>
      </c>
      <c r="AI10" s="27" t="s">
        <v>643</v>
      </c>
      <c r="AJ10" s="27" t="s">
        <v>686</v>
      </c>
      <c r="AK10" s="27">
        <v>-4.3154101277038262E-3</v>
      </c>
      <c r="AL10" s="27">
        <v>0.15517073428299999</v>
      </c>
      <c r="AM10" s="13">
        <v>42884.636550925927</v>
      </c>
      <c r="AN10" s="27"/>
      <c r="AO10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9"/>
      <c r="BA10" s="27"/>
      <c r="BB10" s="27"/>
      <c r="BC10" s="27"/>
      <c r="BD10" s="27"/>
      <c r="BE10" s="27"/>
      <c r="BF10" s="27"/>
      <c r="BG10" s="27"/>
      <c r="BH10" s="27"/>
      <c r="BI10" s="27"/>
      <c r="BJ10" s="27">
        <v>-181971168.09999999</v>
      </c>
      <c r="BK10" s="27">
        <v>1</v>
      </c>
      <c r="BL10" s="27" t="s">
        <v>381</v>
      </c>
      <c r="BM10" s="9">
        <v>14.382635000000001</v>
      </c>
      <c r="BN10" s="27"/>
      <c r="BO10" s="27"/>
      <c r="BP10" s="27"/>
      <c r="BQ10" s="9"/>
      <c r="BR10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0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0" s="11">
        <f>IF(COUNTIF(テーブル_bis1_からのクエリ2[[#This Row],[SEC_TYPE]],"Volatility Index Future*"),テーブル_bis1_からのクエリ2[[#This Row],[NOTIONAL]]*1.875,0)</f>
        <v>0</v>
      </c>
      <c r="BU10" s="11">
        <f>IF(COUNTIF(テーブル_bis1_からのクエリ2[[#This Row],[SEC_TYPE]],"Volatility Index Future*"),ABS(テーブル_bis1_からのクエリ2[[#This Row],[NOTIONAL]])*0.375,0)</f>
        <v>0</v>
      </c>
      <c r="BV10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0" s="27">
        <f>テーブル_bis1_からのクエリ2[[#This Row],[PE]]/$B$4</f>
        <v>1.5613260779542809E-3</v>
      </c>
      <c r="BX10"/>
    </row>
    <row r="11" spans="1:76" x14ac:dyDescent="0.4">
      <c r="A11" s="27">
        <v>6</v>
      </c>
      <c r="B11" s="27" t="s">
        <v>687</v>
      </c>
      <c r="C11" s="27" t="s">
        <v>73</v>
      </c>
      <c r="D11" s="27"/>
      <c r="E11" s="27" t="s">
        <v>375</v>
      </c>
      <c r="F11" s="27"/>
      <c r="G11" s="27"/>
      <c r="H11" s="27"/>
      <c r="I11" s="27" t="s">
        <v>374</v>
      </c>
      <c r="J11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11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11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A</v>
      </c>
      <c r="M11" s="27" t="str">
        <f>IF(テーブル_bis1_からのクエリ2[[#This Row],[SP]]&lt;&gt;0,VLOOKUP(テーブル_bis1_からのクエリ2[[#This Row],[SP]],SF!$L$1:$M$14,2,FALSE),"")</f>
        <v/>
      </c>
      <c r="N11" s="27" t="str">
        <f>IF(テーブル_bis1_からのクエリ2[[#This Row],[MOODYS]]&lt;&gt;0,VLOOKUP(テーブル_bis1_からのクエリ2[[#This Row],[MOODYS]],SF!$L$1:$M$14,2,FALSE),"")</f>
        <v/>
      </c>
      <c r="O11" s="27">
        <f>IF(テーブル_bis1_からのクエリ2[[#This Row],[FITCH]]&lt;&gt;0,VLOOKUP(テーブル_bis1_からのクエリ2[[#This Row],[FITCH]],SF!$L$1:$M$14,2,FALSE),"")</f>
        <v>8.0000000000000002E-3</v>
      </c>
      <c r="P11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11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11" s="27">
        <v>10</v>
      </c>
      <c r="S11" s="27"/>
      <c r="T11" s="27"/>
      <c r="U11" s="9"/>
      <c r="V11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11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11"/>
      <c r="Y11" s="12" t="str">
        <f>IF(テーブル_bis1_からのクエリ2[[#This Row],[Type2]]&lt;&gt;"",テーブル_bis1_からのクエリ2[[#This Row],[Type2]],テーブル_bis1_からのクエリ2[[#This Row],[Type]])</f>
        <v/>
      </c>
      <c r="Z11" s="12">
        <f>IF(テーブル_bis1_からのクエリ2[[#This Row],[length]]&lt;=1,1,IF(テーブル_bis1_からのクエリ2[[#This Row],[length]]&gt;=5,3,2))</f>
        <v>3</v>
      </c>
      <c r="AA11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11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11" s="11">
        <f>IF(テーブル_bis1_からのクエリ2[[#This Row],[SCM_SF]]&lt;&gt;"",ABS(テーブル_bis1_からのクエリ2[[#This Row],[NOTIONAL]])*テーブル_bis1_からのクエリ2[[#This Row],[SCM_SF]],0)</f>
        <v>0</v>
      </c>
      <c r="AD11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25446695.829999998</v>
      </c>
      <c r="AE11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50893391.659999996</v>
      </c>
      <c r="AF11" s="11">
        <v>25446695.829999998</v>
      </c>
      <c r="AG11" s="27"/>
      <c r="AI11" s="27" t="s">
        <v>688</v>
      </c>
      <c r="AJ11" s="27" t="s">
        <v>689</v>
      </c>
      <c r="AK11" s="27">
        <v>9.7830476094472717E-3</v>
      </c>
      <c r="AL11" s="27">
        <v>2</v>
      </c>
      <c r="AM11" s="13">
        <v>42884.636550925927</v>
      </c>
      <c r="AN11" s="27"/>
      <c r="AO11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9"/>
      <c r="BA11" s="27"/>
      <c r="BB11" s="27"/>
      <c r="BC11" s="27"/>
      <c r="BD11" s="27"/>
      <c r="BE11" s="27"/>
      <c r="BF11" s="27"/>
      <c r="BG11" s="27"/>
      <c r="BH11" s="27"/>
      <c r="BI11" s="27"/>
      <c r="BJ11" s="27">
        <v>1426000</v>
      </c>
      <c r="BK11" s="27">
        <v>1.24</v>
      </c>
      <c r="BL11" s="27" t="s">
        <v>381</v>
      </c>
      <c r="BM11" s="9">
        <v>14.390974</v>
      </c>
      <c r="BN11" s="27"/>
      <c r="BO11" s="27"/>
      <c r="BP11" s="27"/>
      <c r="BQ11" s="9"/>
      <c r="BR11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1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1" s="11">
        <f>IF(COUNTIF(テーブル_bis1_からのクエリ2[[#This Row],[SEC_TYPE]],"Volatility Index Future*"),テーブル_bis1_からのクエリ2[[#This Row],[NOTIONAL]]*1.875,0)</f>
        <v>0</v>
      </c>
      <c r="BU11" s="11">
        <f>IF(COUNTIF(テーブル_bis1_からのクエリ2[[#This Row],[SEC_TYPE]],"Volatility Index Future*"),ABS(テーブル_bis1_からのクエリ2[[#This Row],[NOTIONAL]])*0.375,0)</f>
        <v>0</v>
      </c>
      <c r="BV11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1" s="27">
        <f>テーブル_bis1_からのクエリ2[[#This Row],[PE]]/$B$4</f>
        <v>1.9566095218894543E-2</v>
      </c>
      <c r="BX11"/>
    </row>
    <row r="12" spans="1:76" x14ac:dyDescent="0.4">
      <c r="A12" s="27">
        <v>7</v>
      </c>
      <c r="B12" s="27" t="s">
        <v>690</v>
      </c>
      <c r="C12" s="27" t="s">
        <v>73</v>
      </c>
      <c r="D12" s="27"/>
      <c r="E12" s="27" t="s">
        <v>375</v>
      </c>
      <c r="F12" s="27"/>
      <c r="G12" s="27"/>
      <c r="H12" s="27"/>
      <c r="I12" s="27"/>
      <c r="J12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12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12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12" s="27" t="str">
        <f>IF(テーブル_bis1_からのクエリ2[[#This Row],[SP]]&lt;&gt;0,VLOOKUP(テーブル_bis1_からのクエリ2[[#This Row],[SP]],SF!$L$1:$M$14,2,FALSE),"")</f>
        <v/>
      </c>
      <c r="N12" s="27" t="str">
        <f>IF(テーブル_bis1_からのクエリ2[[#This Row],[MOODYS]]&lt;&gt;0,VLOOKUP(テーブル_bis1_からのクエリ2[[#This Row],[MOODYS]],SF!$L$1:$M$14,2,FALSE),"")</f>
        <v/>
      </c>
      <c r="O12" s="27" t="str">
        <f>IF(テーブル_bis1_からのクエリ2[[#This Row],[FITCH]]&lt;&gt;0,VLOOKUP(テーブル_bis1_からのクエリ2[[#This Row],[FITCH]],SF!$L$1:$M$14,2,FALSE),"")</f>
        <v/>
      </c>
      <c r="P12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12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12" s="27">
        <v>10</v>
      </c>
      <c r="S12" s="27"/>
      <c r="T12" s="27"/>
      <c r="U12" s="9"/>
      <c r="V12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12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12"/>
      <c r="Y12" s="12" t="str">
        <f>IF(テーブル_bis1_からのクエリ2[[#This Row],[Type2]]&lt;&gt;"",テーブル_bis1_からのクエリ2[[#This Row],[Type2]],テーブル_bis1_からのクエリ2[[#This Row],[Type]])</f>
        <v/>
      </c>
      <c r="Z12" s="12">
        <f>IF(テーブル_bis1_からのクエリ2[[#This Row],[length]]&lt;=1,1,IF(テーブル_bis1_からのクエリ2[[#This Row],[length]]&gt;=5,3,2))</f>
        <v>3</v>
      </c>
      <c r="AA12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12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12" s="11">
        <f>IF(テーブル_bis1_からのクエリ2[[#This Row],[SCM_SF]]&lt;&gt;"",ABS(テーブル_bis1_からのクエリ2[[#This Row],[NOTIONAL]])*テーブル_bis1_からのクエリ2[[#This Row],[SCM_SF]],0)</f>
        <v>0</v>
      </c>
      <c r="AD12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25420216.440000001</v>
      </c>
      <c r="AE12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76260649.320000008</v>
      </c>
      <c r="AF12" s="11">
        <v>25420216.440000001</v>
      </c>
      <c r="AG12" s="27"/>
      <c r="AI12" s="27" t="s">
        <v>691</v>
      </c>
      <c r="AJ12" s="27" t="s">
        <v>692</v>
      </c>
      <c r="AK12" s="27">
        <v>9.7728675399101628E-3</v>
      </c>
      <c r="AL12" s="27">
        <v>3</v>
      </c>
      <c r="AM12" s="13">
        <v>42884.636550925927</v>
      </c>
      <c r="AN12" s="27"/>
      <c r="AO12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9"/>
      <c r="BA12" s="27"/>
      <c r="BB12" s="27"/>
      <c r="BC12" s="27"/>
      <c r="BD12" s="27"/>
      <c r="BE12" s="27"/>
      <c r="BF12" s="27"/>
      <c r="BG12" s="27"/>
      <c r="BH12" s="27"/>
      <c r="BI12" s="27"/>
      <c r="BJ12" s="27">
        <v>736000</v>
      </c>
      <c r="BK12" s="27">
        <v>2.4</v>
      </c>
      <c r="BL12" s="27" t="s">
        <v>381</v>
      </c>
      <c r="BM12" s="9">
        <v>14.390974</v>
      </c>
      <c r="BN12" s="27"/>
      <c r="BO12" s="27"/>
      <c r="BP12" s="27"/>
      <c r="BQ12" s="9"/>
      <c r="BR12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2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2" s="11">
        <f>IF(COUNTIF(テーブル_bis1_からのクエリ2[[#This Row],[SEC_TYPE]],"Volatility Index Future*"),テーブル_bis1_からのクエリ2[[#This Row],[NOTIONAL]]*1.875,0)</f>
        <v>0</v>
      </c>
      <c r="BU12" s="11">
        <f>IF(COUNTIF(テーブル_bis1_からのクエリ2[[#This Row],[SEC_TYPE]],"Volatility Index Future*"),ABS(テーブル_bis1_からのクエリ2[[#This Row],[NOTIONAL]])*0.375,0)</f>
        <v>0</v>
      </c>
      <c r="BV12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2" s="27">
        <f>テーブル_bis1_からのクエリ2[[#This Row],[PE]]/$B$4</f>
        <v>2.9318602619730488E-2</v>
      </c>
      <c r="BX12"/>
    </row>
    <row r="13" spans="1:76" x14ac:dyDescent="0.4">
      <c r="A13" s="27">
        <v>8</v>
      </c>
      <c r="B13" s="27" t="s">
        <v>653</v>
      </c>
      <c r="C13" s="27" t="s">
        <v>73</v>
      </c>
      <c r="D13" s="27"/>
      <c r="E13" s="27" t="s">
        <v>375</v>
      </c>
      <c r="F13" s="27"/>
      <c r="G13" s="27"/>
      <c r="H13" s="27" t="s">
        <v>379</v>
      </c>
      <c r="I13" s="27" t="s">
        <v>385</v>
      </c>
      <c r="J13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13" s="27" t="str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A</v>
      </c>
      <c r="L13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A</v>
      </c>
      <c r="M13" s="27" t="str">
        <f>IF(テーブル_bis1_からのクエリ2[[#This Row],[SP]]&lt;&gt;0,VLOOKUP(テーブル_bis1_からのクエリ2[[#This Row],[SP]],SF!$L$1:$M$14,2,FALSE),"")</f>
        <v/>
      </c>
      <c r="N13" s="27">
        <f>IF(テーブル_bis1_からのクエリ2[[#This Row],[MOODYS]]&lt;&gt;0,VLOOKUP(テーブル_bis1_からのクエリ2[[#This Row],[MOODYS]],SF!$L$1:$M$14,2,FALSE),"")</f>
        <v>8.0000000000000002E-3</v>
      </c>
      <c r="O13" s="27">
        <f>IF(テーブル_bis1_からのクエリ2[[#This Row],[FITCH]]&lt;&gt;0,VLOOKUP(テーブル_bis1_からのクエリ2[[#This Row],[FITCH]],SF!$L$1:$M$14,2,FALSE),"")</f>
        <v>8.0000000000000002E-3</v>
      </c>
      <c r="P13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13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13" s="27">
        <v>10</v>
      </c>
      <c r="S13" s="27"/>
      <c r="T13" s="27"/>
      <c r="U13" s="9"/>
      <c r="V13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13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13" s="27"/>
      <c r="Y13" s="12" t="str">
        <f>IF(テーブル_bis1_からのクエリ2[[#This Row],[Type2]]&lt;&gt;"",テーブル_bis1_からのクエリ2[[#This Row],[Type2]],テーブル_bis1_からのクエリ2[[#This Row],[Type]])</f>
        <v/>
      </c>
      <c r="Z13" s="12">
        <f>IF(テーブル_bis1_からのクエリ2[[#This Row],[length]]&lt;=1,1,IF(テーブル_bis1_からのクエリ2[[#This Row],[length]]&gt;=5,3,2))</f>
        <v>3</v>
      </c>
      <c r="AA13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13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13" s="11">
        <f>IF(テーブル_bis1_からのクエリ2[[#This Row],[SCM_SF]]&lt;&gt;"",ABS(テーブル_bis1_からのクエリ2[[#This Row],[NOTIONAL]])*テーブル_bis1_からのクエリ2[[#This Row],[SCM_SF]],0)</f>
        <v>0</v>
      </c>
      <c r="AD13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55361501.270000003</v>
      </c>
      <c r="AE13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110723002.54000001</v>
      </c>
      <c r="AF13" s="11">
        <v>55361501.270000003</v>
      </c>
      <c r="AG13" s="27"/>
      <c r="AI13" s="27" t="s">
        <v>654</v>
      </c>
      <c r="AJ13" s="27" t="s">
        <v>655</v>
      </c>
      <c r="AK13" s="27">
        <v>2.1283871441429719E-2</v>
      </c>
      <c r="AL13" s="27">
        <v>2</v>
      </c>
      <c r="AM13" s="13">
        <v>42884.636550925927</v>
      </c>
      <c r="AN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9"/>
      <c r="BA13" s="27"/>
      <c r="BB13" s="27"/>
      <c r="BC13" s="27"/>
      <c r="BD13" s="27"/>
      <c r="BE13" s="27"/>
      <c r="BF13" s="27"/>
      <c r="BG13" s="27"/>
      <c r="BH13" s="27"/>
      <c r="BI13" s="27"/>
      <c r="BJ13" s="27">
        <v>351000</v>
      </c>
      <c r="BK13" s="27">
        <v>10.96</v>
      </c>
      <c r="BL13" s="27" t="s">
        <v>381</v>
      </c>
      <c r="BM13" s="9">
        <v>14.390974</v>
      </c>
      <c r="BN13" s="27"/>
      <c r="BO13" s="27"/>
      <c r="BP13" s="27"/>
      <c r="BQ13" s="9"/>
      <c r="BR13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3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3" s="11">
        <f>IF(COUNTIF(テーブル_bis1_からのクエリ2[[#This Row],[SEC_TYPE]],"Volatility Index Future*"),テーブル_bis1_からのクエリ2[[#This Row],[NOTIONAL]]*1.875,0)</f>
        <v>0</v>
      </c>
      <c r="BU13" s="11">
        <f>IF(COUNTIF(テーブル_bis1_からのクエリ2[[#This Row],[SEC_TYPE]],"Volatility Index Future*"),ABS(テーブル_bis1_からのクエリ2[[#This Row],[NOTIONAL]])*0.375,0)</f>
        <v>0</v>
      </c>
      <c r="BV13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3" s="27">
        <f>テーブル_bis1_からのクエリ2[[#This Row],[PE]]/$B$4</f>
        <v>4.2567742882859437E-2</v>
      </c>
      <c r="BX13"/>
    </row>
    <row r="14" spans="1:76" x14ac:dyDescent="0.4">
      <c r="A14" s="27">
        <v>9</v>
      </c>
      <c r="B14" s="27" t="s">
        <v>663</v>
      </c>
      <c r="C14" s="27" t="s">
        <v>73</v>
      </c>
      <c r="D14" s="27"/>
      <c r="E14" s="27" t="s">
        <v>375</v>
      </c>
      <c r="F14" s="27"/>
      <c r="G14" s="27" t="s">
        <v>376</v>
      </c>
      <c r="H14" s="27" t="s">
        <v>379</v>
      </c>
      <c r="I14" s="27" t="s">
        <v>385</v>
      </c>
      <c r="J14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BBB</v>
      </c>
      <c r="K14" s="27" t="str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A</v>
      </c>
      <c r="L14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A</v>
      </c>
      <c r="M14" s="27">
        <f>IF(テーブル_bis1_からのクエリ2[[#This Row],[SP]]&lt;&gt;0,VLOOKUP(テーブル_bis1_からのクエリ2[[#This Row],[SP]],SF!$L$1:$M$14,2,FALSE),"")</f>
        <v>0.01</v>
      </c>
      <c r="N14" s="27">
        <f>IF(テーブル_bis1_からのクエリ2[[#This Row],[MOODYS]]&lt;&gt;0,VLOOKUP(テーブル_bis1_からのクエリ2[[#This Row],[MOODYS]],SF!$L$1:$M$14,2,FALSE),"")</f>
        <v>8.0000000000000002E-3</v>
      </c>
      <c r="O14" s="27">
        <f>IF(テーブル_bis1_からのクエリ2[[#This Row],[FITCH]]&lt;&gt;0,VLOOKUP(テーブル_bis1_からのクエリ2[[#This Row],[FITCH]],SF!$L$1:$M$14,2,FALSE),"")</f>
        <v>8.0000000000000002E-3</v>
      </c>
      <c r="P14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14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14" s="27">
        <v>10</v>
      </c>
      <c r="S14" s="27"/>
      <c r="T14" s="27"/>
      <c r="U14" s="9"/>
      <c r="V14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14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14" s="27"/>
      <c r="Y14" s="12" t="str">
        <f>IF(テーブル_bis1_からのクエリ2[[#This Row],[Type2]]&lt;&gt;"",テーブル_bis1_からのクエリ2[[#This Row],[Type2]],テーブル_bis1_からのクエリ2[[#This Row],[Type]])</f>
        <v/>
      </c>
      <c r="Z14" s="12">
        <f>IF(テーブル_bis1_からのクエリ2[[#This Row],[length]]&lt;=1,1,IF(テーブル_bis1_からのクエリ2[[#This Row],[length]]&gt;=5,3,2))</f>
        <v>3</v>
      </c>
      <c r="AA14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14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14" s="11">
        <f>IF(テーブル_bis1_からのクエリ2[[#This Row],[SCM_SF]]&lt;&gt;"",ABS(テーブル_bis1_からのクエリ2[[#This Row],[NOTIONAL]])*テーブル_bis1_からのクエリ2[[#This Row],[SCM_SF]],0)</f>
        <v>0</v>
      </c>
      <c r="AD14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47708237.390000001</v>
      </c>
      <c r="AE14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95416474.780000001</v>
      </c>
      <c r="AF14" s="11">
        <v>47708237.390000001</v>
      </c>
      <c r="AG14" s="27"/>
      <c r="AI14" s="27" t="s">
        <v>664</v>
      </c>
      <c r="AJ14" s="27" t="s">
        <v>693</v>
      </c>
      <c r="AK14" s="27">
        <v>1.8341554473997206E-2</v>
      </c>
      <c r="AL14" s="27">
        <v>2</v>
      </c>
      <c r="AM14" s="13">
        <v>42884.636550925927</v>
      </c>
      <c r="AN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9"/>
      <c r="BA14" s="27"/>
      <c r="BB14" s="27"/>
      <c r="BC14" s="27"/>
      <c r="BD14" s="27"/>
      <c r="BE14" s="27"/>
      <c r="BF14" s="27"/>
      <c r="BG14" s="27"/>
      <c r="BH14" s="27"/>
      <c r="BI14" s="27"/>
      <c r="BJ14" s="27">
        <v>477000</v>
      </c>
      <c r="BK14" s="27">
        <v>6.95</v>
      </c>
      <c r="BL14" s="27" t="s">
        <v>381</v>
      </c>
      <c r="BM14" s="9">
        <v>14.390974</v>
      </c>
      <c r="BN14" s="27"/>
      <c r="BO14" s="27"/>
      <c r="BP14" s="27"/>
      <c r="BQ14" s="9"/>
      <c r="BR14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4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4" s="11">
        <f>IF(COUNTIF(テーブル_bis1_からのクエリ2[[#This Row],[SEC_TYPE]],"Volatility Index Future*"),テーブル_bis1_からのクエリ2[[#This Row],[NOTIONAL]]*1.875,0)</f>
        <v>0</v>
      </c>
      <c r="BU14" s="11">
        <f>IF(COUNTIF(テーブル_bis1_からのクエリ2[[#This Row],[SEC_TYPE]],"Volatility Index Future*"),ABS(テーブル_bis1_からのクエリ2[[#This Row],[NOTIONAL]])*0.375,0)</f>
        <v>0</v>
      </c>
      <c r="BV14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4" s="27">
        <f>テーブル_bis1_からのクエリ2[[#This Row],[PE]]/$B$4</f>
        <v>3.6683108947994411E-2</v>
      </c>
      <c r="BX14"/>
    </row>
    <row r="15" spans="1:76" x14ac:dyDescent="0.4">
      <c r="A15" s="27">
        <v>10</v>
      </c>
      <c r="B15" s="27" t="s">
        <v>647</v>
      </c>
      <c r="C15" s="27" t="s">
        <v>73</v>
      </c>
      <c r="D15" s="27"/>
      <c r="E15" s="27" t="s">
        <v>375</v>
      </c>
      <c r="F15" s="27"/>
      <c r="G15" s="27"/>
      <c r="H15" s="27"/>
      <c r="I15" s="27"/>
      <c r="J15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15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15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15" s="27" t="str">
        <f>IF(テーブル_bis1_からのクエリ2[[#This Row],[SP]]&lt;&gt;0,VLOOKUP(テーブル_bis1_からのクエリ2[[#This Row],[SP]],SF!$L$1:$M$14,2,FALSE),"")</f>
        <v/>
      </c>
      <c r="N15" s="27" t="str">
        <f>IF(テーブル_bis1_からのクエリ2[[#This Row],[MOODYS]]&lt;&gt;0,VLOOKUP(テーブル_bis1_からのクエリ2[[#This Row],[MOODYS]],SF!$L$1:$M$14,2,FALSE),"")</f>
        <v/>
      </c>
      <c r="O15" s="27" t="str">
        <f>IF(テーブル_bis1_からのクエリ2[[#This Row],[FITCH]]&lt;&gt;0,VLOOKUP(テーブル_bis1_からのクエリ2[[#This Row],[FITCH]],SF!$L$1:$M$14,2,FALSE),"")</f>
        <v/>
      </c>
      <c r="P15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15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15" s="27">
        <v>10</v>
      </c>
      <c r="S15" s="27"/>
      <c r="T15" s="27"/>
      <c r="U15" s="9"/>
      <c r="V15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15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15" s="27"/>
      <c r="Y15" s="12" t="str">
        <f>IF(テーブル_bis1_からのクエリ2[[#This Row],[Type2]]&lt;&gt;"",テーブル_bis1_からのクエリ2[[#This Row],[Type2]],テーブル_bis1_からのクエリ2[[#This Row],[Type]])</f>
        <v/>
      </c>
      <c r="Z15" s="12">
        <f>IF(テーブル_bis1_からのクエリ2[[#This Row],[length]]&lt;=1,1,IF(テーブル_bis1_からのクエリ2[[#This Row],[length]]&gt;=5,3,2))</f>
        <v>3</v>
      </c>
      <c r="AA15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15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15" s="11">
        <f>IF(テーブル_bis1_からのクエリ2[[#This Row],[SCM_SF]]&lt;&gt;"",ABS(テーブル_bis1_からのクエリ2[[#This Row],[NOTIONAL]])*テーブル_bis1_からのクエリ2[[#This Row],[SCM_SF]],0)</f>
        <v>0</v>
      </c>
      <c r="AD15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54777803.359999999</v>
      </c>
      <c r="AE15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164333410.07999998</v>
      </c>
      <c r="AF15" s="11">
        <v>54777803.359999999</v>
      </c>
      <c r="AG15" s="27"/>
      <c r="AI15" s="27" t="s">
        <v>648</v>
      </c>
      <c r="AJ15" s="27" t="s">
        <v>649</v>
      </c>
      <c r="AK15" s="27">
        <v>2.1059467279835868E-2</v>
      </c>
      <c r="AL15" s="27">
        <v>3</v>
      </c>
      <c r="AM15" s="13">
        <v>42884.636550925927</v>
      </c>
      <c r="AN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9"/>
      <c r="BA15" s="27"/>
      <c r="BB15" s="27"/>
      <c r="BC15" s="27"/>
      <c r="BD15" s="27"/>
      <c r="BE15" s="27"/>
      <c r="BF15" s="27"/>
      <c r="BG15" s="27"/>
      <c r="BH15" s="27"/>
      <c r="BI15" s="27"/>
      <c r="BJ15" s="27">
        <v>366000</v>
      </c>
      <c r="BK15" s="27">
        <v>10.4</v>
      </c>
      <c r="BL15" s="27" t="s">
        <v>381</v>
      </c>
      <c r="BM15" s="9">
        <v>14.390974</v>
      </c>
      <c r="BN15" s="27"/>
      <c r="BO15" s="27"/>
      <c r="BP15" s="27"/>
      <c r="BQ15" s="9"/>
      <c r="BR15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5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5" s="11">
        <f>IF(COUNTIF(テーブル_bis1_からのクエリ2[[#This Row],[SEC_TYPE]],"Volatility Index Future*"),テーブル_bis1_からのクエリ2[[#This Row],[NOTIONAL]]*1.875,0)</f>
        <v>0</v>
      </c>
      <c r="BU15" s="11">
        <f>IF(COUNTIF(テーブル_bis1_からのクエリ2[[#This Row],[SEC_TYPE]],"Volatility Index Future*"),ABS(テーブル_bis1_からのクエリ2[[#This Row],[NOTIONAL]])*0.375,0)</f>
        <v>0</v>
      </c>
      <c r="BV15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5" s="27">
        <f>テーブル_bis1_からのクエリ2[[#This Row],[PE]]/$B$4</f>
        <v>6.3178401839507597E-2</v>
      </c>
      <c r="BX15"/>
    </row>
    <row r="16" spans="1:76" x14ac:dyDescent="0.4">
      <c r="A16" s="27">
        <v>11</v>
      </c>
      <c r="B16" s="27" t="s">
        <v>665</v>
      </c>
      <c r="C16" s="27" t="s">
        <v>73</v>
      </c>
      <c r="D16" s="27"/>
      <c r="E16" s="27" t="s">
        <v>375</v>
      </c>
      <c r="F16" s="27"/>
      <c r="G16" s="27"/>
      <c r="H16" s="27"/>
      <c r="I16" s="27"/>
      <c r="J16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16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16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16" s="27" t="str">
        <f>IF(テーブル_bis1_からのクエリ2[[#This Row],[SP]]&lt;&gt;0,VLOOKUP(テーブル_bis1_からのクエリ2[[#This Row],[SP]],SF!$L$1:$M$14,2,FALSE),"")</f>
        <v/>
      </c>
      <c r="N16" s="27" t="str">
        <f>IF(テーブル_bis1_からのクエリ2[[#This Row],[MOODYS]]&lt;&gt;0,VLOOKUP(テーブル_bis1_からのクエリ2[[#This Row],[MOODYS]],SF!$L$1:$M$14,2,FALSE),"")</f>
        <v/>
      </c>
      <c r="O16" s="27" t="str">
        <f>IF(テーブル_bis1_からのクエリ2[[#This Row],[FITCH]]&lt;&gt;0,VLOOKUP(テーブル_bis1_からのクエリ2[[#This Row],[FITCH]],SF!$L$1:$M$14,2,FALSE),"")</f>
        <v/>
      </c>
      <c r="P16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16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16" s="27">
        <v>10</v>
      </c>
      <c r="S16" s="27"/>
      <c r="T16" s="27"/>
      <c r="U16" s="9"/>
      <c r="V16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16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16" s="27"/>
      <c r="Y16" s="12" t="str">
        <f>IF(テーブル_bis1_からのクエリ2[[#This Row],[Type2]]&lt;&gt;"",テーブル_bis1_からのクエリ2[[#This Row],[Type2]],テーブル_bis1_からのクエリ2[[#This Row],[Type]])</f>
        <v/>
      </c>
      <c r="Z16" s="12">
        <f>IF(テーブル_bis1_からのクエリ2[[#This Row],[length]]&lt;=1,1,IF(テーブル_bis1_からのクエリ2[[#This Row],[length]]&gt;=5,3,2))</f>
        <v>3</v>
      </c>
      <c r="AA16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16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16" s="11">
        <f>IF(テーブル_bis1_からのクエリ2[[#This Row],[SCM_SF]]&lt;&gt;"",ABS(テーブル_bis1_からのクエリ2[[#This Row],[NOTIONAL]])*テーブル_bis1_からのクエリ2[[#This Row],[SCM_SF]],0)</f>
        <v>0</v>
      </c>
      <c r="AD16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28623647.25</v>
      </c>
      <c r="AE16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85870941.75</v>
      </c>
      <c r="AF16" s="11">
        <v>28623647.25</v>
      </c>
      <c r="AG16" s="27"/>
      <c r="AI16" s="27" t="s">
        <v>666</v>
      </c>
      <c r="AJ16" s="27" t="s">
        <v>694</v>
      </c>
      <c r="AK16" s="27">
        <v>1.1004434747580921E-2</v>
      </c>
      <c r="AL16" s="27">
        <v>3</v>
      </c>
      <c r="AM16" s="13">
        <v>42884.636550925927</v>
      </c>
      <c r="AN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9"/>
      <c r="BA16" s="27"/>
      <c r="BB16" s="27"/>
      <c r="BC16" s="27"/>
      <c r="BD16" s="27"/>
      <c r="BE16" s="27"/>
      <c r="BF16" s="27"/>
      <c r="BG16" s="27"/>
      <c r="BH16" s="27"/>
      <c r="BI16" s="27"/>
      <c r="BJ16" s="27">
        <v>780000</v>
      </c>
      <c r="BK16" s="27">
        <v>2.5499999999999998</v>
      </c>
      <c r="BL16" s="27" t="s">
        <v>381</v>
      </c>
      <c r="BM16" s="9">
        <v>14.390974</v>
      </c>
      <c r="BN16" s="27"/>
      <c r="BO16" s="27"/>
      <c r="BP16" s="27"/>
      <c r="BQ16" s="9"/>
      <c r="BR16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6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6" s="11">
        <f>IF(COUNTIF(テーブル_bis1_からのクエリ2[[#This Row],[SEC_TYPE]],"Volatility Index Future*"),テーブル_bis1_からのクエリ2[[#This Row],[NOTIONAL]]*1.875,0)</f>
        <v>0</v>
      </c>
      <c r="BU16" s="11">
        <f>IF(COUNTIF(テーブル_bis1_からのクエリ2[[#This Row],[SEC_TYPE]],"Volatility Index Future*"),ABS(テーブル_bis1_からのクエリ2[[#This Row],[NOTIONAL]])*0.375,0)</f>
        <v>0</v>
      </c>
      <c r="BV16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6" s="27">
        <f>テーブル_bis1_からのクエリ2[[#This Row],[PE]]/$B$4</f>
        <v>3.3013304242742764E-2</v>
      </c>
      <c r="BX16"/>
    </row>
    <row r="17" spans="1:76" x14ac:dyDescent="0.4">
      <c r="A17" s="27">
        <v>12</v>
      </c>
      <c r="B17" s="27" t="s">
        <v>650</v>
      </c>
      <c r="C17" s="27" t="s">
        <v>73</v>
      </c>
      <c r="D17" s="27"/>
      <c r="E17" s="27" t="s">
        <v>375</v>
      </c>
      <c r="F17" s="27"/>
      <c r="G17" s="27"/>
      <c r="H17" s="27"/>
      <c r="I17" s="27"/>
      <c r="J17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17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17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17" s="27" t="str">
        <f>IF(テーブル_bis1_からのクエリ2[[#This Row],[SP]]&lt;&gt;0,VLOOKUP(テーブル_bis1_からのクエリ2[[#This Row],[SP]],SF!$L$1:$M$14,2,FALSE),"")</f>
        <v/>
      </c>
      <c r="N17" s="27" t="str">
        <f>IF(テーブル_bis1_からのクエリ2[[#This Row],[MOODYS]]&lt;&gt;0,VLOOKUP(テーブル_bis1_からのクエリ2[[#This Row],[MOODYS]],SF!$L$1:$M$14,2,FALSE),"")</f>
        <v/>
      </c>
      <c r="O17" s="27" t="str">
        <f>IF(テーブル_bis1_からのクエリ2[[#This Row],[FITCH]]&lt;&gt;0,VLOOKUP(テーブル_bis1_からのクエリ2[[#This Row],[FITCH]],SF!$L$1:$M$14,2,FALSE),"")</f>
        <v/>
      </c>
      <c r="P17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17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17" s="27">
        <v>10</v>
      </c>
      <c r="S17" s="27"/>
      <c r="T17" s="27"/>
      <c r="U17" s="9"/>
      <c r="V17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17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17" s="27"/>
      <c r="Y17" s="12" t="str">
        <f>IF(テーブル_bis1_からのクエリ2[[#This Row],[Type2]]&lt;&gt;"",テーブル_bis1_からのクエリ2[[#This Row],[Type2]],テーブル_bis1_からのクエリ2[[#This Row],[Type]])</f>
        <v/>
      </c>
      <c r="Z17" s="12">
        <f>IF(テーブル_bis1_からのクエリ2[[#This Row],[length]]&lt;=1,1,IF(テーブル_bis1_からのクエリ2[[#This Row],[length]]&gt;=5,3,2))</f>
        <v>3</v>
      </c>
      <c r="AA17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17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17" s="11">
        <f>IF(テーブル_bis1_からのクエリ2[[#This Row],[SCM_SF]]&lt;&gt;"",ABS(テーブル_bis1_からのクエリ2[[#This Row],[NOTIONAL]])*テーブル_bis1_からのクエリ2[[#This Row],[SCM_SF]],0)</f>
        <v>0</v>
      </c>
      <c r="AD17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181251439.09999999</v>
      </c>
      <c r="AE17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543754317.29999995</v>
      </c>
      <c r="AF17" s="11">
        <v>181251439.09999999</v>
      </c>
      <c r="AG17" s="27"/>
      <c r="AI17" s="27" t="s">
        <v>651</v>
      </c>
      <c r="AJ17" s="27" t="s">
        <v>652</v>
      </c>
      <c r="AK17" s="27">
        <v>6.968258157531225E-2</v>
      </c>
      <c r="AL17" s="27">
        <v>3</v>
      </c>
      <c r="AM17" s="13">
        <v>42884.636550925927</v>
      </c>
      <c r="AN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9"/>
      <c r="BA17" s="27"/>
      <c r="BB17" s="27"/>
      <c r="BC17" s="27"/>
      <c r="BD17" s="27"/>
      <c r="BE17" s="27"/>
      <c r="BF17" s="27"/>
      <c r="BG17" s="27"/>
      <c r="BH17" s="27"/>
      <c r="BI17" s="27"/>
      <c r="BJ17" s="27">
        <v>296000</v>
      </c>
      <c r="BK17" s="27">
        <v>42.55</v>
      </c>
      <c r="BL17" s="27" t="s">
        <v>381</v>
      </c>
      <c r="BM17" s="9">
        <v>14.390974</v>
      </c>
      <c r="BN17" s="27"/>
      <c r="BO17" s="27"/>
      <c r="BP17" s="27"/>
      <c r="BQ17" s="9"/>
      <c r="BR17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7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7" s="11">
        <f>IF(COUNTIF(テーブル_bis1_からのクエリ2[[#This Row],[SEC_TYPE]],"Volatility Index Future*"),テーブル_bis1_からのクエリ2[[#This Row],[NOTIONAL]]*1.875,0)</f>
        <v>0</v>
      </c>
      <c r="BU17" s="11">
        <f>IF(COUNTIF(テーブル_bis1_からのクエリ2[[#This Row],[SEC_TYPE]],"Volatility Index Future*"),ABS(テーブル_bis1_からのクエリ2[[#This Row],[NOTIONAL]])*0.375,0)</f>
        <v>0</v>
      </c>
      <c r="BV17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7" s="27">
        <f>テーブル_bis1_からのクエリ2[[#This Row],[PE]]/$B$4</f>
        <v>0.20904774472593673</v>
      </c>
      <c r="BX17"/>
    </row>
    <row r="18" spans="1:76" x14ac:dyDescent="0.4">
      <c r="A18" s="27">
        <v>13</v>
      </c>
      <c r="B18" s="27" t="s">
        <v>695</v>
      </c>
      <c r="C18" s="27" t="s">
        <v>73</v>
      </c>
      <c r="D18" s="27"/>
      <c r="E18" s="27" t="s">
        <v>375</v>
      </c>
      <c r="F18" s="27"/>
      <c r="G18" s="27"/>
      <c r="H18" s="27"/>
      <c r="I18" s="27"/>
      <c r="J18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18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18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18" s="27" t="str">
        <f>IF(テーブル_bis1_からのクエリ2[[#This Row],[SP]]&lt;&gt;0,VLOOKUP(テーブル_bis1_からのクエリ2[[#This Row],[SP]],SF!$L$1:$M$14,2,FALSE),"")</f>
        <v/>
      </c>
      <c r="N18" s="27" t="str">
        <f>IF(テーブル_bis1_からのクエリ2[[#This Row],[MOODYS]]&lt;&gt;0,VLOOKUP(テーブル_bis1_からのクエリ2[[#This Row],[MOODYS]],SF!$L$1:$M$14,2,FALSE),"")</f>
        <v/>
      </c>
      <c r="O18" s="27" t="str">
        <f>IF(テーブル_bis1_からのクエリ2[[#This Row],[FITCH]]&lt;&gt;0,VLOOKUP(テーブル_bis1_からのクエリ2[[#This Row],[FITCH]],SF!$L$1:$M$14,2,FALSE),"")</f>
        <v/>
      </c>
      <c r="P18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18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18" s="27">
        <v>10</v>
      </c>
      <c r="S18" s="27"/>
      <c r="T18" s="27"/>
      <c r="U18" s="9"/>
      <c r="V18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18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18" s="27"/>
      <c r="Y18" s="12" t="str">
        <f>IF(テーブル_bis1_からのクエリ2[[#This Row],[Type2]]&lt;&gt;"",テーブル_bis1_からのクエリ2[[#This Row],[Type2]],テーブル_bis1_からのクエリ2[[#This Row],[Type]])</f>
        <v/>
      </c>
      <c r="Z18" s="12">
        <f>IF(テーブル_bis1_からのクエリ2[[#This Row],[length]]&lt;=1,1,IF(テーブル_bis1_からのクエリ2[[#This Row],[length]]&gt;=5,3,2))</f>
        <v>3</v>
      </c>
      <c r="AA18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18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18" s="11">
        <f>IF(テーブル_bis1_からのクエリ2[[#This Row],[SCM_SF]]&lt;&gt;"",ABS(テーブル_bis1_からのクエリ2[[#This Row],[NOTIONAL]])*テーブル_bis1_からのクエリ2[[#This Row],[SCM_SF]],0)</f>
        <v>0</v>
      </c>
      <c r="AD18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25120308.539999999</v>
      </c>
      <c r="AE18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75360925.620000005</v>
      </c>
      <c r="AF18" s="11">
        <v>25120308.539999999</v>
      </c>
      <c r="AG18" s="27"/>
      <c r="AI18" s="27" t="s">
        <v>696</v>
      </c>
      <c r="AJ18" s="27" t="s">
        <v>697</v>
      </c>
      <c r="AK18" s="27">
        <v>9.6575671769966263E-3</v>
      </c>
      <c r="AL18" s="27">
        <v>3</v>
      </c>
      <c r="AM18" s="13">
        <v>42884.636550925927</v>
      </c>
      <c r="AN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9"/>
      <c r="BA18" s="27"/>
      <c r="BB18" s="27"/>
      <c r="BC18" s="27"/>
      <c r="BD18" s="27"/>
      <c r="BE18" s="27"/>
      <c r="BF18" s="27"/>
      <c r="BG18" s="27"/>
      <c r="BH18" s="27"/>
      <c r="BI18" s="27"/>
      <c r="BJ18" s="27">
        <v>604000</v>
      </c>
      <c r="BK18" s="27">
        <v>2.89</v>
      </c>
      <c r="BL18" s="27" t="s">
        <v>381</v>
      </c>
      <c r="BM18" s="9">
        <v>14.390974</v>
      </c>
      <c r="BN18" s="27"/>
      <c r="BO18" s="27"/>
      <c r="BP18" s="27"/>
      <c r="BQ18" s="9"/>
      <c r="BR18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8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8" s="11">
        <f>IF(COUNTIF(テーブル_bis1_からのクエリ2[[#This Row],[SEC_TYPE]],"Volatility Index Future*"),テーブル_bis1_からのクエリ2[[#This Row],[NOTIONAL]]*1.875,0)</f>
        <v>0</v>
      </c>
      <c r="BU18" s="11">
        <f>IF(COUNTIF(テーブル_bis1_からのクエリ2[[#This Row],[SEC_TYPE]],"Volatility Index Future*"),ABS(テーブル_bis1_からのクエリ2[[#This Row],[NOTIONAL]])*0.375,0)</f>
        <v>0</v>
      </c>
      <c r="BV18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8" s="27">
        <f>テーブル_bis1_からのクエリ2[[#This Row],[PE]]/$B$4</f>
        <v>2.8972701530989881E-2</v>
      </c>
      <c r="BX18"/>
    </row>
    <row r="19" spans="1:76" x14ac:dyDescent="0.4">
      <c r="A19" s="27">
        <v>14</v>
      </c>
      <c r="B19" s="27" t="s">
        <v>667</v>
      </c>
      <c r="C19" s="27" t="s">
        <v>73</v>
      </c>
      <c r="D19" s="27"/>
      <c r="E19" s="27" t="s">
        <v>375</v>
      </c>
      <c r="F19" s="27"/>
      <c r="G19" s="27"/>
      <c r="H19" s="27"/>
      <c r="I19" s="27"/>
      <c r="J19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19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19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19" s="27" t="str">
        <f>IF(テーブル_bis1_からのクエリ2[[#This Row],[SP]]&lt;&gt;0,VLOOKUP(テーブル_bis1_からのクエリ2[[#This Row],[SP]],SF!$L$1:$M$14,2,FALSE),"")</f>
        <v/>
      </c>
      <c r="N19" s="27" t="str">
        <f>IF(テーブル_bis1_からのクエリ2[[#This Row],[MOODYS]]&lt;&gt;0,VLOOKUP(テーブル_bis1_からのクエリ2[[#This Row],[MOODYS]],SF!$L$1:$M$14,2,FALSE),"")</f>
        <v/>
      </c>
      <c r="O19" s="27" t="str">
        <f>IF(テーブル_bis1_からのクエリ2[[#This Row],[FITCH]]&lt;&gt;0,VLOOKUP(テーブル_bis1_からのクエリ2[[#This Row],[FITCH]],SF!$L$1:$M$14,2,FALSE),"")</f>
        <v/>
      </c>
      <c r="P19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19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19" s="27">
        <v>10</v>
      </c>
      <c r="S19" s="27"/>
      <c r="T19" s="27"/>
      <c r="U19" s="9"/>
      <c r="V19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19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19" s="27"/>
      <c r="Y19" s="12" t="str">
        <f>IF(テーブル_bis1_からのクエリ2[[#This Row],[Type2]]&lt;&gt;"",テーブル_bis1_からのクエリ2[[#This Row],[Type2]],テーブル_bis1_からのクエリ2[[#This Row],[Type]])</f>
        <v/>
      </c>
      <c r="Z19" s="12">
        <f>IF(テーブル_bis1_からのクエリ2[[#This Row],[length]]&lt;=1,1,IF(テーブル_bis1_からのクエリ2[[#This Row],[length]]&gt;=5,3,2))</f>
        <v>3</v>
      </c>
      <c r="AA19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19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19" s="11">
        <f>IF(テーブル_bis1_からのクエリ2[[#This Row],[SCM_SF]]&lt;&gt;"",ABS(テーブル_bis1_からのクエリ2[[#This Row],[NOTIONAL]])*テーブル_bis1_からのクエリ2[[#This Row],[SCM_SF]],0)</f>
        <v>0</v>
      </c>
      <c r="AD19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23727837.899999999</v>
      </c>
      <c r="AE19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71183513.699999988</v>
      </c>
      <c r="AF19" s="11">
        <v>23727837.899999999</v>
      </c>
      <c r="AG19" s="27"/>
      <c r="AI19" s="27" t="s">
        <v>668</v>
      </c>
      <c r="AJ19" s="27" t="s">
        <v>698</v>
      </c>
      <c r="AK19" s="27">
        <v>9.1222282608212166E-3</v>
      </c>
      <c r="AL19" s="27">
        <v>3</v>
      </c>
      <c r="AM19" s="13">
        <v>42884.636550925927</v>
      </c>
      <c r="AN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9"/>
      <c r="BA19" s="27"/>
      <c r="BB19" s="27"/>
      <c r="BC19" s="27"/>
      <c r="BD19" s="27"/>
      <c r="BE19" s="27"/>
      <c r="BF19" s="27"/>
      <c r="BG19" s="27"/>
      <c r="BH19" s="27"/>
      <c r="BI19" s="27"/>
      <c r="BJ19" s="27">
        <v>72000</v>
      </c>
      <c r="BK19" s="27">
        <v>22.9</v>
      </c>
      <c r="BL19" s="27" t="s">
        <v>381</v>
      </c>
      <c r="BM19" s="9">
        <v>14.390974</v>
      </c>
      <c r="BN19" s="27"/>
      <c r="BO19" s="27"/>
      <c r="BP19" s="27"/>
      <c r="BQ19" s="9"/>
      <c r="BR19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19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19" s="11">
        <f>IF(COUNTIF(テーブル_bis1_からのクエリ2[[#This Row],[SEC_TYPE]],"Volatility Index Future*"),テーブル_bis1_からのクエリ2[[#This Row],[NOTIONAL]]*1.875,0)</f>
        <v>0</v>
      </c>
      <c r="BU19" s="11">
        <f>IF(COUNTIF(テーブル_bis1_からのクエリ2[[#This Row],[SEC_TYPE]],"Volatility Index Future*"),ABS(テーブル_bis1_からのクエリ2[[#This Row],[NOTIONAL]])*0.375,0)</f>
        <v>0</v>
      </c>
      <c r="BV19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19" s="27">
        <f>テーブル_bis1_からのクエリ2[[#This Row],[PE]]/$B$4</f>
        <v>2.7366684782463645E-2</v>
      </c>
      <c r="BX19"/>
    </row>
    <row r="20" spans="1:76" x14ac:dyDescent="0.4">
      <c r="A20" s="27">
        <v>15</v>
      </c>
      <c r="B20" s="27" t="s">
        <v>669</v>
      </c>
      <c r="C20" s="27" t="s">
        <v>73</v>
      </c>
      <c r="D20" s="27"/>
      <c r="E20" s="27" t="s">
        <v>375</v>
      </c>
      <c r="F20" s="27"/>
      <c r="G20" s="27"/>
      <c r="H20" s="27"/>
      <c r="I20" s="27"/>
      <c r="J20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20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20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20" s="27" t="str">
        <f>IF(テーブル_bis1_からのクエリ2[[#This Row],[SP]]&lt;&gt;0,VLOOKUP(テーブル_bis1_からのクエリ2[[#This Row],[SP]],SF!$L$1:$M$14,2,FALSE),"")</f>
        <v/>
      </c>
      <c r="N20" s="27" t="str">
        <f>IF(テーブル_bis1_からのクエリ2[[#This Row],[MOODYS]]&lt;&gt;0,VLOOKUP(テーブル_bis1_からのクエリ2[[#This Row],[MOODYS]],SF!$L$1:$M$14,2,FALSE),"")</f>
        <v/>
      </c>
      <c r="O20" s="27" t="str">
        <f>IF(テーブル_bis1_からのクエリ2[[#This Row],[FITCH]]&lt;&gt;0,VLOOKUP(テーブル_bis1_からのクエリ2[[#This Row],[FITCH]],SF!$L$1:$M$14,2,FALSE),"")</f>
        <v/>
      </c>
      <c r="P20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0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0" s="27">
        <v>10</v>
      </c>
      <c r="S20" s="27"/>
      <c r="T20" s="27"/>
      <c r="U20" s="9"/>
      <c r="V20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0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0" s="27"/>
      <c r="Y20" s="12" t="str">
        <f>IF(テーブル_bis1_からのクエリ2[[#This Row],[Type2]]&lt;&gt;"",テーブル_bis1_からのクエリ2[[#This Row],[Type2]],テーブル_bis1_からのクエリ2[[#This Row],[Type]])</f>
        <v/>
      </c>
      <c r="Z20" s="12">
        <f>IF(テーブル_bis1_からのクエリ2[[#This Row],[length]]&lt;=1,1,IF(テーブル_bis1_からのクエリ2[[#This Row],[length]]&gt;=5,3,2))</f>
        <v>3</v>
      </c>
      <c r="AA20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0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0" s="11">
        <f>IF(テーブル_bis1_からのクエリ2[[#This Row],[SCM_SF]]&lt;&gt;"",ABS(テーブル_bis1_からのクエリ2[[#This Row],[NOTIONAL]])*テーブル_bis1_からのクエリ2[[#This Row],[SCM_SF]],0)</f>
        <v>0</v>
      </c>
      <c r="AD20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28625374.170000002</v>
      </c>
      <c r="AE20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85876122.510000005</v>
      </c>
      <c r="AF20" s="11">
        <v>28625374.170000002</v>
      </c>
      <c r="AG20" s="27"/>
      <c r="AI20" s="27" t="s">
        <v>670</v>
      </c>
      <c r="AJ20" s="27" t="s">
        <v>699</v>
      </c>
      <c r="AK20" s="27">
        <v>1.1005098666413079E-2</v>
      </c>
      <c r="AL20" s="27">
        <v>3</v>
      </c>
      <c r="AM20" s="13">
        <v>42884.636550925927</v>
      </c>
      <c r="AN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9"/>
      <c r="BA20" s="27"/>
      <c r="BB20" s="27"/>
      <c r="BC20" s="27"/>
      <c r="BD20" s="27"/>
      <c r="BE20" s="27"/>
      <c r="BF20" s="27"/>
      <c r="BG20" s="27"/>
      <c r="BH20" s="27"/>
      <c r="BI20" s="27"/>
      <c r="BJ20" s="27">
        <v>444000</v>
      </c>
      <c r="BK20" s="27">
        <v>4.4800000000000004</v>
      </c>
      <c r="BL20" s="27" t="s">
        <v>381</v>
      </c>
      <c r="BM20" s="9">
        <v>14.390974</v>
      </c>
      <c r="BN20" s="27"/>
      <c r="BO20" s="27"/>
      <c r="BP20" s="27"/>
      <c r="BQ20" s="9"/>
      <c r="BR20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0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0" s="11">
        <f>IF(COUNTIF(テーブル_bis1_からのクエリ2[[#This Row],[SEC_TYPE]],"Volatility Index Future*"),テーブル_bis1_からのクエリ2[[#This Row],[NOTIONAL]]*1.875,0)</f>
        <v>0</v>
      </c>
      <c r="BU20" s="11">
        <f>IF(COUNTIF(テーブル_bis1_からのクエリ2[[#This Row],[SEC_TYPE]],"Volatility Index Future*"),ABS(テーブル_bis1_からのクエリ2[[#This Row],[NOTIONAL]])*0.375,0)</f>
        <v>0</v>
      </c>
      <c r="BV20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0" s="27">
        <f>テーブル_bis1_からのクエリ2[[#This Row],[PE]]/$B$4</f>
        <v>3.3015295999239233E-2</v>
      </c>
      <c r="BX20"/>
    </row>
    <row r="21" spans="1:76" x14ac:dyDescent="0.4">
      <c r="A21" s="27">
        <v>16</v>
      </c>
      <c r="B21" s="27" t="s">
        <v>671</v>
      </c>
      <c r="C21" s="27" t="s">
        <v>73</v>
      </c>
      <c r="D21" s="27"/>
      <c r="E21" s="27" t="s">
        <v>375</v>
      </c>
      <c r="F21" s="27"/>
      <c r="G21" s="27"/>
      <c r="H21" s="27"/>
      <c r="I21" s="27"/>
      <c r="J21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21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21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21" s="27" t="str">
        <f>IF(テーブル_bis1_からのクエリ2[[#This Row],[SP]]&lt;&gt;0,VLOOKUP(テーブル_bis1_からのクエリ2[[#This Row],[SP]],SF!$L$1:$M$14,2,FALSE),"")</f>
        <v/>
      </c>
      <c r="N21" s="27" t="str">
        <f>IF(テーブル_bis1_からのクエリ2[[#This Row],[MOODYS]]&lt;&gt;0,VLOOKUP(テーブル_bis1_からのクエリ2[[#This Row],[MOODYS]],SF!$L$1:$M$14,2,FALSE),"")</f>
        <v/>
      </c>
      <c r="O21" s="27" t="str">
        <f>IF(テーブル_bis1_からのクエリ2[[#This Row],[FITCH]]&lt;&gt;0,VLOOKUP(テーブル_bis1_からのクエリ2[[#This Row],[FITCH]],SF!$L$1:$M$14,2,FALSE),"")</f>
        <v/>
      </c>
      <c r="P21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1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1" s="27">
        <v>10</v>
      </c>
      <c r="S21" s="27"/>
      <c r="T21" s="27"/>
      <c r="U21" s="9"/>
      <c r="V21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1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1" s="27"/>
      <c r="Y21" s="12" t="str">
        <f>IF(テーブル_bis1_からのクエリ2[[#This Row],[Type2]]&lt;&gt;"",テーブル_bis1_からのクエリ2[[#This Row],[Type2]],テーブル_bis1_からのクエリ2[[#This Row],[Type]])</f>
        <v/>
      </c>
      <c r="Z21" s="12">
        <f>IF(テーブル_bis1_からのクエリ2[[#This Row],[length]]&lt;=1,1,IF(テーブル_bis1_からのクエリ2[[#This Row],[length]]&gt;=5,3,2))</f>
        <v>3</v>
      </c>
      <c r="AA21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1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1" s="11">
        <f>IF(テーブル_bis1_からのクエリ2[[#This Row],[SCM_SF]]&lt;&gt;"",ABS(テーブル_bis1_からのクエリ2[[#This Row],[NOTIONAL]])*テーブル_bis1_からのクエリ2[[#This Row],[SCM_SF]],0)</f>
        <v>0</v>
      </c>
      <c r="AD21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157371056.90000001</v>
      </c>
      <c r="AE21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472113170.70000005</v>
      </c>
      <c r="AF21" s="11">
        <v>157371056.90000001</v>
      </c>
      <c r="AG21" s="27"/>
      <c r="AI21" s="27" t="s">
        <v>672</v>
      </c>
      <c r="AJ21" s="27" t="s">
        <v>700</v>
      </c>
      <c r="AK21" s="27">
        <v>6.0501707266319607E-2</v>
      </c>
      <c r="AL21" s="27">
        <v>3</v>
      </c>
      <c r="AM21" s="13">
        <v>42884.636550925927</v>
      </c>
      <c r="AN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9"/>
      <c r="BA21" s="27"/>
      <c r="BB21" s="27"/>
      <c r="BC21" s="27"/>
      <c r="BD21" s="27"/>
      <c r="BE21" s="27"/>
      <c r="BF21" s="27"/>
      <c r="BG21" s="27"/>
      <c r="BH21" s="27"/>
      <c r="BI21" s="27"/>
      <c r="BJ21" s="27">
        <v>511000</v>
      </c>
      <c r="BK21" s="27">
        <v>21.4</v>
      </c>
      <c r="BL21" s="27" t="s">
        <v>381</v>
      </c>
      <c r="BM21" s="9">
        <v>14.390974</v>
      </c>
      <c r="BN21" s="27"/>
      <c r="BO21" s="27"/>
      <c r="BP21" s="27"/>
      <c r="BQ21" s="9"/>
      <c r="BR21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1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1" s="11">
        <f>IF(COUNTIF(テーブル_bis1_からのクエリ2[[#This Row],[SEC_TYPE]],"Volatility Index Future*"),テーブル_bis1_からのクエリ2[[#This Row],[NOTIONAL]]*1.875,0)</f>
        <v>0</v>
      </c>
      <c r="BU21" s="11">
        <f>IF(COUNTIF(テーブル_bis1_からのクエリ2[[#This Row],[SEC_TYPE]],"Volatility Index Future*"),ABS(テーブル_bis1_からのクエリ2[[#This Row],[NOTIONAL]])*0.375,0)</f>
        <v>0</v>
      </c>
      <c r="BV21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1" s="27">
        <f>テーブル_bis1_からのクエリ2[[#This Row],[PE]]/$B$4</f>
        <v>0.18150512179895884</v>
      </c>
      <c r="BX21"/>
    </row>
    <row r="22" spans="1:76" x14ac:dyDescent="0.4">
      <c r="A22" s="27">
        <v>17</v>
      </c>
      <c r="B22" s="27" t="s">
        <v>701</v>
      </c>
      <c r="C22" s="27" t="s">
        <v>73</v>
      </c>
      <c r="D22" s="27"/>
      <c r="E22" s="27" t="s">
        <v>375</v>
      </c>
      <c r="F22" s="27"/>
      <c r="G22" s="27"/>
      <c r="H22" s="27"/>
      <c r="I22" s="27"/>
      <c r="J22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22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22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22" s="27" t="str">
        <f>IF(テーブル_bis1_からのクエリ2[[#This Row],[SP]]&lt;&gt;0,VLOOKUP(テーブル_bis1_からのクエリ2[[#This Row],[SP]],SF!$L$1:$M$14,2,FALSE),"")</f>
        <v/>
      </c>
      <c r="N22" s="27" t="str">
        <f>IF(テーブル_bis1_からのクエリ2[[#This Row],[MOODYS]]&lt;&gt;0,VLOOKUP(テーブル_bis1_からのクエリ2[[#This Row],[MOODYS]],SF!$L$1:$M$14,2,FALSE),"")</f>
        <v/>
      </c>
      <c r="O22" s="27" t="str">
        <f>IF(テーブル_bis1_からのクエリ2[[#This Row],[FITCH]]&lt;&gt;0,VLOOKUP(テーブル_bis1_からのクエリ2[[#This Row],[FITCH]],SF!$L$1:$M$14,2,FALSE),"")</f>
        <v/>
      </c>
      <c r="P22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2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2" s="27">
        <v>10</v>
      </c>
      <c r="S22" s="27"/>
      <c r="T22" s="27"/>
      <c r="U22" s="9"/>
      <c r="V22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2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2" s="27"/>
      <c r="Y22" s="12" t="str">
        <f>IF(テーブル_bis1_からのクエリ2[[#This Row],[Type2]]&lt;&gt;"",テーブル_bis1_からのクエリ2[[#This Row],[Type2]],テーブル_bis1_からのクエリ2[[#This Row],[Type]])</f>
        <v/>
      </c>
      <c r="Z22" s="12">
        <f>IF(テーブル_bis1_からのクエリ2[[#This Row],[length]]&lt;=1,1,IF(テーブル_bis1_からのクエリ2[[#This Row],[length]]&gt;=5,3,2))</f>
        <v>3</v>
      </c>
      <c r="AA22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2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2" s="11">
        <f>IF(テーブル_bis1_からのクエリ2[[#This Row],[SCM_SF]]&lt;&gt;"",ABS(テーブル_bis1_からのクエリ2[[#This Row],[NOTIONAL]])*テーブル_bis1_からのクエリ2[[#This Row],[SCM_SF]],0)</f>
        <v>0</v>
      </c>
      <c r="AD22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3939888.9</v>
      </c>
      <c r="AE22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11819666.699999999</v>
      </c>
      <c r="AF22" s="11">
        <v>3939888.9</v>
      </c>
      <c r="AG22" s="27"/>
      <c r="AI22" s="27" t="s">
        <v>702</v>
      </c>
      <c r="AJ22" s="27" t="s">
        <v>703</v>
      </c>
      <c r="AK22" s="27">
        <v>1.514700413056843E-3</v>
      </c>
      <c r="AL22" s="27">
        <v>3</v>
      </c>
      <c r="AM22" s="13">
        <v>42884.636550925927</v>
      </c>
      <c r="AN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9"/>
      <c r="BA22" s="27"/>
      <c r="BB22" s="27"/>
      <c r="BC22" s="27"/>
      <c r="BD22" s="27"/>
      <c r="BE22" s="27"/>
      <c r="BF22" s="27"/>
      <c r="BG22" s="27"/>
      <c r="BH22" s="27"/>
      <c r="BI22" s="27"/>
      <c r="BJ22" s="27">
        <v>117500</v>
      </c>
      <c r="BK22" s="27">
        <v>2.33</v>
      </c>
      <c r="BL22" s="27" t="s">
        <v>381</v>
      </c>
      <c r="BM22" s="9">
        <v>14.390974</v>
      </c>
      <c r="BN22" s="27"/>
      <c r="BO22" s="27"/>
      <c r="BP22" s="27"/>
      <c r="BQ22" s="9"/>
      <c r="BR22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2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2" s="11">
        <f>IF(COUNTIF(テーブル_bis1_からのクエリ2[[#This Row],[SEC_TYPE]],"Volatility Index Future*"),テーブル_bis1_からのクエリ2[[#This Row],[NOTIONAL]]*1.875,0)</f>
        <v>0</v>
      </c>
      <c r="BU22" s="11">
        <f>IF(COUNTIF(テーブル_bis1_からのクエリ2[[#This Row],[SEC_TYPE]],"Volatility Index Future*"),ABS(テーブル_bis1_からのクエリ2[[#This Row],[NOTIONAL]])*0.375,0)</f>
        <v>0</v>
      </c>
      <c r="BV22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2" s="27">
        <f>テーブル_bis1_からのクエリ2[[#This Row],[PE]]/$B$4</f>
        <v>4.5441012391705289E-3</v>
      </c>
      <c r="BX22"/>
    </row>
    <row r="23" spans="1:76" x14ac:dyDescent="0.4">
      <c r="A23" s="27">
        <v>18</v>
      </c>
      <c r="B23" s="27" t="s">
        <v>673</v>
      </c>
      <c r="C23" s="27" t="s">
        <v>73</v>
      </c>
      <c r="D23" s="27"/>
      <c r="E23" s="27" t="s">
        <v>375</v>
      </c>
      <c r="F23" s="27"/>
      <c r="G23" s="27"/>
      <c r="H23" s="27"/>
      <c r="I23" s="27"/>
      <c r="J23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23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23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23" s="27" t="str">
        <f>IF(テーブル_bis1_からのクエリ2[[#This Row],[SP]]&lt;&gt;0,VLOOKUP(テーブル_bis1_からのクエリ2[[#This Row],[SP]],SF!$L$1:$M$14,2,FALSE),"")</f>
        <v/>
      </c>
      <c r="N23" s="27" t="str">
        <f>IF(テーブル_bis1_からのクエリ2[[#This Row],[MOODYS]]&lt;&gt;0,VLOOKUP(テーブル_bis1_からのクエリ2[[#This Row],[MOODYS]],SF!$L$1:$M$14,2,FALSE),"")</f>
        <v/>
      </c>
      <c r="O23" s="27" t="str">
        <f>IF(テーブル_bis1_からのクエリ2[[#This Row],[FITCH]]&lt;&gt;0,VLOOKUP(テーブル_bis1_からのクエリ2[[#This Row],[FITCH]],SF!$L$1:$M$14,2,FALSE),"")</f>
        <v/>
      </c>
      <c r="P23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3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3" s="27">
        <v>10</v>
      </c>
      <c r="S23" s="27"/>
      <c r="T23" s="27"/>
      <c r="U23" s="9"/>
      <c r="V23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3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3" s="27"/>
      <c r="Y23" s="12" t="str">
        <f>IF(テーブル_bis1_からのクエリ2[[#This Row],[Type2]]&lt;&gt;"",テーブル_bis1_からのクエリ2[[#This Row],[Type2]],テーブル_bis1_からのクエリ2[[#This Row],[Type]])</f>
        <v/>
      </c>
      <c r="Z23" s="12">
        <f>IF(テーブル_bis1_からのクエリ2[[#This Row],[length]]&lt;=1,1,IF(テーブル_bis1_からのクエリ2[[#This Row],[length]]&gt;=5,3,2))</f>
        <v>3</v>
      </c>
      <c r="AA23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3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3" s="11">
        <f>IF(テーブル_bis1_からのクエリ2[[#This Row],[SCM_SF]]&lt;&gt;"",ABS(テーブル_bis1_からのクエリ2[[#This Row],[NOTIONAL]])*テーブル_bis1_からのクエリ2[[#This Row],[SCM_SF]],0)</f>
        <v>0</v>
      </c>
      <c r="AD23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52915035.689999998</v>
      </c>
      <c r="AE23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158745107.06999999</v>
      </c>
      <c r="AF23" s="11">
        <v>52915035.689999998</v>
      </c>
      <c r="AG23" s="27"/>
      <c r="AI23" s="27" t="s">
        <v>674</v>
      </c>
      <c r="AJ23" s="27" t="s">
        <v>704</v>
      </c>
      <c r="AK23" s="27">
        <v>2.0343321461821065E-2</v>
      </c>
      <c r="AL23" s="27">
        <v>3</v>
      </c>
      <c r="AM23" s="13">
        <v>42884.636550925927</v>
      </c>
      <c r="AN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9"/>
      <c r="BA23" s="27"/>
      <c r="BB23" s="27"/>
      <c r="BC23" s="27"/>
      <c r="BD23" s="27"/>
      <c r="BE23" s="27"/>
      <c r="BF23" s="27"/>
      <c r="BG23" s="27"/>
      <c r="BH23" s="27"/>
      <c r="BI23" s="27"/>
      <c r="BJ23" s="27">
        <v>268000</v>
      </c>
      <c r="BK23" s="27">
        <v>13.72</v>
      </c>
      <c r="BL23" s="27" t="s">
        <v>381</v>
      </c>
      <c r="BM23" s="9">
        <v>14.390974</v>
      </c>
      <c r="BN23" s="27"/>
      <c r="BO23" s="27"/>
      <c r="BP23" s="27"/>
      <c r="BQ23" s="9"/>
      <c r="BR23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3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3" s="11">
        <f>IF(COUNTIF(テーブル_bis1_からのクエリ2[[#This Row],[SEC_TYPE]],"Volatility Index Future*"),テーブル_bis1_からのクエリ2[[#This Row],[NOTIONAL]]*1.875,0)</f>
        <v>0</v>
      </c>
      <c r="BU23" s="11">
        <f>IF(COUNTIF(テーブル_bis1_からのクエリ2[[#This Row],[SEC_TYPE]],"Volatility Index Future*"),ABS(テーブル_bis1_からのクエリ2[[#This Row],[NOTIONAL]])*0.375,0)</f>
        <v>0</v>
      </c>
      <c r="BV23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3" s="27">
        <f>テーブル_bis1_からのクエリ2[[#This Row],[PE]]/$B$4</f>
        <v>6.1029964385463195E-2</v>
      </c>
      <c r="BX23"/>
    </row>
    <row r="24" spans="1:76" x14ac:dyDescent="0.4">
      <c r="A24" s="27">
        <v>19</v>
      </c>
      <c r="B24" s="27" t="s">
        <v>675</v>
      </c>
      <c r="C24" s="27" t="s">
        <v>73</v>
      </c>
      <c r="D24" s="27"/>
      <c r="E24" s="27" t="s">
        <v>375</v>
      </c>
      <c r="F24" s="27"/>
      <c r="G24" s="27"/>
      <c r="H24" s="27"/>
      <c r="I24" s="27"/>
      <c r="J24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24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24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24" s="27" t="str">
        <f>IF(テーブル_bis1_からのクエリ2[[#This Row],[SP]]&lt;&gt;0,VLOOKUP(テーブル_bis1_からのクエリ2[[#This Row],[SP]],SF!$L$1:$M$14,2,FALSE),"")</f>
        <v/>
      </c>
      <c r="N24" s="27" t="str">
        <f>IF(テーブル_bis1_からのクエリ2[[#This Row],[MOODYS]]&lt;&gt;0,VLOOKUP(テーブル_bis1_からのクエリ2[[#This Row],[MOODYS]],SF!$L$1:$M$14,2,FALSE),"")</f>
        <v/>
      </c>
      <c r="O24" s="27" t="str">
        <f>IF(テーブル_bis1_からのクエリ2[[#This Row],[FITCH]]&lt;&gt;0,VLOOKUP(テーブル_bis1_からのクエリ2[[#This Row],[FITCH]],SF!$L$1:$M$14,2,FALSE),"")</f>
        <v/>
      </c>
      <c r="P24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4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4" s="27">
        <v>10</v>
      </c>
      <c r="S24" s="27"/>
      <c r="T24" s="27"/>
      <c r="U24" s="9"/>
      <c r="V24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4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4" s="27"/>
      <c r="Y24" s="12" t="str">
        <f>IF(テーブル_bis1_からのクエリ2[[#This Row],[Type2]]&lt;&gt;"",テーブル_bis1_からのクエリ2[[#This Row],[Type2]],テーブル_bis1_からのクエリ2[[#This Row],[Type]])</f>
        <v/>
      </c>
      <c r="Z24" s="12">
        <f>IF(テーブル_bis1_からのクエリ2[[#This Row],[length]]&lt;=1,1,IF(テーブル_bis1_からのクエリ2[[#This Row],[length]]&gt;=5,3,2))</f>
        <v>3</v>
      </c>
      <c r="AA24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4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4" s="11">
        <f>IF(テーブル_bis1_からのクエリ2[[#This Row],[SCM_SF]]&lt;&gt;"",ABS(テーブル_bis1_からのクエリ2[[#This Row],[NOTIONAL]])*テーブル_bis1_からのクエリ2[[#This Row],[SCM_SF]],0)</f>
        <v>0</v>
      </c>
      <c r="AD24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53216670.5</v>
      </c>
      <c r="AE24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159650011.5</v>
      </c>
      <c r="AF24" s="11">
        <v>53216670.5</v>
      </c>
      <c r="AG24" s="27"/>
      <c r="AI24" s="27" t="s">
        <v>676</v>
      </c>
      <c r="AJ24" s="27" t="s">
        <v>705</v>
      </c>
      <c r="AK24" s="27">
        <v>2.0459285739722232E-2</v>
      </c>
      <c r="AL24" s="27">
        <v>3</v>
      </c>
      <c r="AM24" s="13">
        <v>42884.636550925927</v>
      </c>
      <c r="AN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9"/>
      <c r="BA24" s="27"/>
      <c r="BB24" s="27"/>
      <c r="BC24" s="27"/>
      <c r="BD24" s="27"/>
      <c r="BE24" s="27"/>
      <c r="BF24" s="27"/>
      <c r="BG24" s="27"/>
      <c r="BH24" s="27"/>
      <c r="BI24" s="27"/>
      <c r="BJ24" s="27">
        <v>2568000</v>
      </c>
      <c r="BK24" s="27">
        <v>1.44</v>
      </c>
      <c r="BL24" s="27" t="s">
        <v>381</v>
      </c>
      <c r="BM24" s="9">
        <v>14.390974</v>
      </c>
      <c r="BN24" s="27"/>
      <c r="BO24" s="27"/>
      <c r="BP24" s="27"/>
      <c r="BQ24" s="9"/>
      <c r="BR24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4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4" s="11">
        <f>IF(COUNTIF(テーブル_bis1_からのクエリ2[[#This Row],[SEC_TYPE]],"Volatility Index Future*"),テーブル_bis1_からのクエリ2[[#This Row],[NOTIONAL]]*1.875,0)</f>
        <v>0</v>
      </c>
      <c r="BU24" s="11">
        <f>IF(COUNTIF(テーブル_bis1_からのクエリ2[[#This Row],[SEC_TYPE]],"Volatility Index Future*"),ABS(テーブル_bis1_からのクエリ2[[#This Row],[NOTIONAL]])*0.375,0)</f>
        <v>0</v>
      </c>
      <c r="BV24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4" s="27">
        <f>テーブル_bis1_からのクエリ2[[#This Row],[PE]]/$B$4</f>
        <v>6.13778572191667E-2</v>
      </c>
      <c r="BX24"/>
    </row>
    <row r="25" spans="1:76" x14ac:dyDescent="0.4">
      <c r="A25" s="27">
        <v>20</v>
      </c>
      <c r="B25" s="27" t="s">
        <v>656</v>
      </c>
      <c r="C25" s="27" t="s">
        <v>73</v>
      </c>
      <c r="D25" s="27"/>
      <c r="E25" s="27" t="s">
        <v>375</v>
      </c>
      <c r="F25" s="27"/>
      <c r="G25" s="27"/>
      <c r="H25" s="27"/>
      <c r="I25" s="27" t="s">
        <v>150</v>
      </c>
      <c r="J25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25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25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BBB</v>
      </c>
      <c r="M25" s="27" t="str">
        <f>IF(テーブル_bis1_からのクエリ2[[#This Row],[SP]]&lt;&gt;0,VLOOKUP(テーブル_bis1_からのクエリ2[[#This Row],[SP]],SF!$L$1:$M$14,2,FALSE),"")</f>
        <v/>
      </c>
      <c r="N25" s="27" t="str">
        <f>IF(テーブル_bis1_からのクエリ2[[#This Row],[MOODYS]]&lt;&gt;0,VLOOKUP(テーブル_bis1_からのクエリ2[[#This Row],[MOODYS]],SF!$L$1:$M$14,2,FALSE),"")</f>
        <v/>
      </c>
      <c r="O25" s="27">
        <f>IF(テーブル_bis1_からのクエリ2[[#This Row],[FITCH]]&lt;&gt;0,VLOOKUP(テーブル_bis1_からのクエリ2[[#This Row],[FITCH]],SF!$L$1:$M$14,2,FALSE),"")</f>
        <v>0.01</v>
      </c>
      <c r="P25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5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5" s="27">
        <v>10</v>
      </c>
      <c r="S25" s="27"/>
      <c r="T25" s="27"/>
      <c r="U25" s="9"/>
      <c r="V25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5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5" s="27"/>
      <c r="Y25" s="12" t="str">
        <f>IF(テーブル_bis1_からのクエリ2[[#This Row],[Type2]]&lt;&gt;"",テーブル_bis1_からのクエリ2[[#This Row],[Type2]],テーブル_bis1_からのクエリ2[[#This Row],[Type]])</f>
        <v/>
      </c>
      <c r="Z25" s="12">
        <f>IF(テーブル_bis1_からのクエリ2[[#This Row],[length]]&lt;=1,1,IF(テーブル_bis1_からのクエリ2[[#This Row],[length]]&gt;=5,3,2))</f>
        <v>3</v>
      </c>
      <c r="AA25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5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5" s="11">
        <f>IF(テーブル_bis1_からのクエリ2[[#This Row],[SCM_SF]]&lt;&gt;"",ABS(テーブル_bis1_からのクエリ2[[#This Row],[NOTIONAL]])*テーブル_bis1_からのクエリ2[[#This Row],[SCM_SF]],0)</f>
        <v>0</v>
      </c>
      <c r="AD25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26110983.190000001</v>
      </c>
      <c r="AE25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52221966.380000003</v>
      </c>
      <c r="AF25" s="11">
        <v>26110983.190000001</v>
      </c>
      <c r="AG25" s="27"/>
      <c r="AI25" s="27" t="s">
        <v>657</v>
      </c>
      <c r="AJ25" s="27" t="s">
        <v>656</v>
      </c>
      <c r="AK25" s="27">
        <v>1.0038434592207228E-2</v>
      </c>
      <c r="AL25" s="27">
        <v>2</v>
      </c>
      <c r="AM25" s="13">
        <v>42884.636550925927</v>
      </c>
      <c r="AN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9"/>
      <c r="BA25" s="27"/>
      <c r="BB25" s="27"/>
      <c r="BC25" s="27"/>
      <c r="BD25" s="27"/>
      <c r="BE25" s="27"/>
      <c r="BF25" s="27"/>
      <c r="BG25" s="27"/>
      <c r="BH25" s="27"/>
      <c r="BI25" s="27"/>
      <c r="BJ25" s="27">
        <v>50400</v>
      </c>
      <c r="BK25" s="27">
        <v>36</v>
      </c>
      <c r="BL25" s="27" t="s">
        <v>381</v>
      </c>
      <c r="BM25" s="9">
        <v>14.390974</v>
      </c>
      <c r="BN25" s="27"/>
      <c r="BO25" s="27"/>
      <c r="BP25" s="27"/>
      <c r="BQ25" s="9"/>
      <c r="BR25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5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5" s="11">
        <f>IF(COUNTIF(テーブル_bis1_からのクエリ2[[#This Row],[SEC_TYPE]],"Volatility Index Future*"),テーブル_bis1_からのクエリ2[[#This Row],[NOTIONAL]]*1.875,0)</f>
        <v>0</v>
      </c>
      <c r="BU25" s="11">
        <f>IF(COUNTIF(テーブル_bis1_からのクエリ2[[#This Row],[SEC_TYPE]],"Volatility Index Future*"),ABS(テーブル_bis1_からのクエリ2[[#This Row],[NOTIONAL]])*0.375,0)</f>
        <v>0</v>
      </c>
      <c r="BV25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5" s="27">
        <f>テーブル_bis1_からのクエリ2[[#This Row],[PE]]/$B$4</f>
        <v>2.0076869184414457E-2</v>
      </c>
      <c r="BX25"/>
    </row>
    <row r="26" spans="1:76" x14ac:dyDescent="0.4">
      <c r="A26" s="27">
        <v>21</v>
      </c>
      <c r="B26" s="27" t="s">
        <v>677</v>
      </c>
      <c r="C26" s="27" t="s">
        <v>73</v>
      </c>
      <c r="D26" s="27"/>
      <c r="E26" s="27" t="s">
        <v>375</v>
      </c>
      <c r="F26" s="27"/>
      <c r="G26" s="27" t="s">
        <v>378</v>
      </c>
      <c r="H26" s="27" t="s">
        <v>637</v>
      </c>
      <c r="I26" s="27" t="s">
        <v>378</v>
      </c>
      <c r="J26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BBB</v>
      </c>
      <c r="K26" s="27" t="str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Baa</v>
      </c>
      <c r="L26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BBB</v>
      </c>
      <c r="M26" s="27">
        <f>IF(テーブル_bis1_からのクエリ2[[#This Row],[SP]]&lt;&gt;0,VLOOKUP(テーブル_bis1_からのクエリ2[[#This Row],[SP]],SF!$L$1:$M$14,2,FALSE),"")</f>
        <v>0.01</v>
      </c>
      <c r="N26" s="27">
        <f>IF(テーブル_bis1_からのクエリ2[[#This Row],[MOODYS]]&lt;&gt;0,VLOOKUP(テーブル_bis1_からのクエリ2[[#This Row],[MOODYS]],SF!$L$1:$M$14,2,FALSE),"")</f>
        <v>0.01</v>
      </c>
      <c r="O26" s="27">
        <f>IF(テーブル_bis1_からのクエリ2[[#This Row],[FITCH]]&lt;&gt;0,VLOOKUP(テーブル_bis1_からのクエリ2[[#This Row],[FITCH]],SF!$L$1:$M$14,2,FALSE),"")</f>
        <v>0.01</v>
      </c>
      <c r="P26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6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6" s="27">
        <v>10</v>
      </c>
      <c r="S26" s="27"/>
      <c r="T26" s="27"/>
      <c r="U26" s="9"/>
      <c r="V26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6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6" s="27"/>
      <c r="Y26" s="12" t="str">
        <f>IF(テーブル_bis1_からのクエリ2[[#This Row],[Type2]]&lt;&gt;"",テーブル_bis1_からのクエリ2[[#This Row],[Type2]],テーブル_bis1_からのクエリ2[[#This Row],[Type]])</f>
        <v/>
      </c>
      <c r="Z26" s="12">
        <f>IF(テーブル_bis1_からのクエリ2[[#This Row],[length]]&lt;=1,1,IF(テーブル_bis1_からのクエリ2[[#This Row],[length]]&gt;=5,3,2))</f>
        <v>3</v>
      </c>
      <c r="AA26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6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6" s="11">
        <f>IF(テーブル_bis1_からのクエリ2[[#This Row],[SCM_SF]]&lt;&gt;"",ABS(テーブル_bis1_からのクエリ2[[#This Row],[NOTIONAL]])*テーブル_bis1_からのクエリ2[[#This Row],[SCM_SF]],0)</f>
        <v>0</v>
      </c>
      <c r="AD26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19892499.420000002</v>
      </c>
      <c r="AE26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39784998.840000004</v>
      </c>
      <c r="AF26" s="11">
        <v>19892499.420000002</v>
      </c>
      <c r="AG26" s="27"/>
      <c r="AI26" s="27" t="s">
        <v>678</v>
      </c>
      <c r="AJ26" s="27" t="s">
        <v>706</v>
      </c>
      <c r="AK26" s="27">
        <v>7.6477225254262919E-3</v>
      </c>
      <c r="AL26" s="27">
        <v>2</v>
      </c>
      <c r="AM26" s="13">
        <v>42884.636550925927</v>
      </c>
      <c r="AN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9"/>
      <c r="BA26" s="27"/>
      <c r="BB26" s="27"/>
      <c r="BC26" s="27"/>
      <c r="BD26" s="27"/>
      <c r="BE26" s="27"/>
      <c r="BF26" s="27"/>
      <c r="BG26" s="27"/>
      <c r="BH26" s="27"/>
      <c r="BI26" s="27"/>
      <c r="BJ26" s="27">
        <v>108500</v>
      </c>
      <c r="BK26" s="27">
        <v>12.74</v>
      </c>
      <c r="BL26" s="27" t="s">
        <v>381</v>
      </c>
      <c r="BM26" s="9">
        <v>14.390974</v>
      </c>
      <c r="BN26" s="27"/>
      <c r="BO26" s="27"/>
      <c r="BP26" s="27"/>
      <c r="BQ26" s="9"/>
      <c r="BR26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6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6" s="11">
        <f>IF(COUNTIF(テーブル_bis1_からのクエリ2[[#This Row],[SEC_TYPE]],"Volatility Index Future*"),テーブル_bis1_からのクエリ2[[#This Row],[NOTIONAL]]*1.875,0)</f>
        <v>0</v>
      </c>
      <c r="BU26" s="11">
        <f>IF(COUNTIF(テーブル_bis1_からのクエリ2[[#This Row],[SEC_TYPE]],"Volatility Index Future*"),ABS(テーブル_bis1_からのクエリ2[[#This Row],[NOTIONAL]])*0.375,0)</f>
        <v>0</v>
      </c>
      <c r="BV26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6" s="27">
        <f>テーブル_bis1_からのクエリ2[[#This Row],[PE]]/$B$4</f>
        <v>1.5295445050852584E-2</v>
      </c>
      <c r="BX26"/>
    </row>
    <row r="27" spans="1:76" x14ac:dyDescent="0.4">
      <c r="A27" s="27">
        <v>22</v>
      </c>
      <c r="B27" s="27" t="s">
        <v>391</v>
      </c>
      <c r="C27" s="27" t="s">
        <v>73</v>
      </c>
      <c r="D27" s="27"/>
      <c r="E27" s="27" t="s">
        <v>375</v>
      </c>
      <c r="F27" s="27"/>
      <c r="G27" s="27" t="s">
        <v>371</v>
      </c>
      <c r="H27" s="27" t="s">
        <v>370</v>
      </c>
      <c r="I27" s="27" t="s">
        <v>374</v>
      </c>
      <c r="J27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A</v>
      </c>
      <c r="K27" s="27" t="str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A</v>
      </c>
      <c r="L27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A</v>
      </c>
      <c r="M27" s="27">
        <f>IF(テーブル_bis1_からのクエリ2[[#This Row],[SP]]&lt;&gt;0,VLOOKUP(テーブル_bis1_からのクエリ2[[#This Row],[SP]],SF!$L$1:$M$14,2,FALSE),"")</f>
        <v>8.0000000000000002E-3</v>
      </c>
      <c r="N27" s="27">
        <f>IF(テーブル_bis1_からのクエリ2[[#This Row],[MOODYS]]&lt;&gt;0,VLOOKUP(テーブル_bis1_からのクエリ2[[#This Row],[MOODYS]],SF!$L$1:$M$14,2,FALSE),"")</f>
        <v>8.0000000000000002E-3</v>
      </c>
      <c r="O27" s="27">
        <f>IF(テーブル_bis1_からのクエリ2[[#This Row],[FITCH]]&lt;&gt;0,VLOOKUP(テーブル_bis1_からのクエリ2[[#This Row],[FITCH]],SF!$L$1:$M$14,2,FALSE),"")</f>
        <v>8.0000000000000002E-3</v>
      </c>
      <c r="P27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7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7" s="27">
        <v>10</v>
      </c>
      <c r="S27" s="27"/>
      <c r="T27" s="27"/>
      <c r="U27" s="9"/>
      <c r="V27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7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7" s="27"/>
      <c r="Y27" s="12" t="str">
        <f>IF(テーブル_bis1_からのクエリ2[[#This Row],[Type2]]&lt;&gt;"",テーブル_bis1_からのクエリ2[[#This Row],[Type2]],テーブル_bis1_からのクエリ2[[#This Row],[Type]])</f>
        <v/>
      </c>
      <c r="Z27" s="12">
        <f>IF(テーブル_bis1_からのクエリ2[[#This Row],[length]]&lt;=1,1,IF(テーブル_bis1_からのクエリ2[[#This Row],[length]]&gt;=5,3,2))</f>
        <v>3</v>
      </c>
      <c r="AA27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7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7" s="11">
        <f>IF(テーブル_bis1_からのクエリ2[[#This Row],[SCM_SF]]&lt;&gt;"",ABS(テーブル_bis1_からのクエリ2[[#This Row],[NOTIONAL]])*テーブル_bis1_からのクエリ2[[#This Row],[SCM_SF]],0)</f>
        <v>0</v>
      </c>
      <c r="AD27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75348261.569999993</v>
      </c>
      <c r="AE27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150696523.13999999</v>
      </c>
      <c r="AF27" s="11">
        <v>75348261.569999993</v>
      </c>
      <c r="AG27" s="27"/>
      <c r="AI27" s="27" t="s">
        <v>392</v>
      </c>
      <c r="AJ27" s="27" t="s">
        <v>393</v>
      </c>
      <c r="AK27" s="27">
        <v>2.896783280442097E-2</v>
      </c>
      <c r="AL27" s="27">
        <v>2</v>
      </c>
      <c r="AM27" s="13">
        <v>42884.636550925927</v>
      </c>
      <c r="AN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9"/>
      <c r="BA27" s="27"/>
      <c r="BB27" s="27"/>
      <c r="BC27" s="27"/>
      <c r="BD27" s="27"/>
      <c r="BE27" s="27"/>
      <c r="BF27" s="27"/>
      <c r="BG27" s="27"/>
      <c r="BH27" s="27"/>
      <c r="BI27" s="27"/>
      <c r="BJ27" s="27">
        <v>23500</v>
      </c>
      <c r="BK27" s="27">
        <v>222.8</v>
      </c>
      <c r="BL27" s="27" t="s">
        <v>381</v>
      </c>
      <c r="BM27" s="9">
        <v>14.390974</v>
      </c>
      <c r="BN27" s="27"/>
      <c r="BO27" s="27"/>
      <c r="BP27" s="27"/>
      <c r="BQ27" s="9"/>
      <c r="BR27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7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7" s="11">
        <f>IF(COUNTIF(テーブル_bis1_からのクエリ2[[#This Row],[SEC_TYPE]],"Volatility Index Future*"),テーブル_bis1_からのクエリ2[[#This Row],[NOTIONAL]]*1.875,0)</f>
        <v>0</v>
      </c>
      <c r="BU27" s="11">
        <f>IF(COUNTIF(テーブル_bis1_からのクエリ2[[#This Row],[SEC_TYPE]],"Volatility Index Future*"),ABS(テーブル_bis1_からのクエリ2[[#This Row],[NOTIONAL]])*0.375,0)</f>
        <v>0</v>
      </c>
      <c r="BV27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7" s="27">
        <f>テーブル_bis1_からのクエリ2[[#This Row],[PE]]/$B$4</f>
        <v>5.7935665608841939E-2</v>
      </c>
      <c r="BX27"/>
    </row>
    <row r="28" spans="1:76" x14ac:dyDescent="0.4">
      <c r="A28" s="27">
        <v>23</v>
      </c>
      <c r="B28" s="27" t="s">
        <v>679</v>
      </c>
      <c r="C28" s="27" t="s">
        <v>73</v>
      </c>
      <c r="D28" s="27"/>
      <c r="E28" s="27" t="s">
        <v>375</v>
      </c>
      <c r="F28" s="27"/>
      <c r="G28" s="27"/>
      <c r="H28" s="27"/>
      <c r="I28" s="27"/>
      <c r="J28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28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28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28" s="27" t="str">
        <f>IF(テーブル_bis1_からのクエリ2[[#This Row],[SP]]&lt;&gt;0,VLOOKUP(テーブル_bis1_からのクエリ2[[#This Row],[SP]],SF!$L$1:$M$14,2,FALSE),"")</f>
        <v/>
      </c>
      <c r="N28" s="27" t="str">
        <f>IF(テーブル_bis1_からのクエリ2[[#This Row],[MOODYS]]&lt;&gt;0,VLOOKUP(テーブル_bis1_からのクエリ2[[#This Row],[MOODYS]],SF!$L$1:$M$14,2,FALSE),"")</f>
        <v/>
      </c>
      <c r="O28" s="27" t="str">
        <f>IF(テーブル_bis1_からのクエリ2[[#This Row],[FITCH]]&lt;&gt;0,VLOOKUP(テーブル_bis1_からのクエリ2[[#This Row],[FITCH]],SF!$L$1:$M$14,2,FALSE),"")</f>
        <v/>
      </c>
      <c r="P28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8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8" s="27">
        <v>10</v>
      </c>
      <c r="S28" s="27"/>
      <c r="T28" s="27"/>
      <c r="U28" s="9"/>
      <c r="V28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8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8" s="27"/>
      <c r="Y28" s="12" t="str">
        <f>IF(テーブル_bis1_からのクエリ2[[#This Row],[Type2]]&lt;&gt;"",テーブル_bis1_からのクエリ2[[#This Row],[Type2]],テーブル_bis1_からのクエリ2[[#This Row],[Type]])</f>
        <v/>
      </c>
      <c r="Z28" s="12">
        <f>IF(テーブル_bis1_からのクエリ2[[#This Row],[length]]&lt;=1,1,IF(テーブル_bis1_からのクエリ2[[#This Row],[length]]&gt;=5,3,2))</f>
        <v>3</v>
      </c>
      <c r="AA28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8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8" s="11">
        <f>IF(テーブル_bis1_からのクエリ2[[#This Row],[SCM_SF]]&lt;&gt;"",ABS(テーブル_bis1_からのクエリ2[[#This Row],[NOTIONAL]])*テーブル_bis1_からのクエリ2[[#This Row],[SCM_SF]],0)</f>
        <v>0</v>
      </c>
      <c r="AD28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27004351.199999999</v>
      </c>
      <c r="AE28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81013053.599999994</v>
      </c>
      <c r="AF28" s="11">
        <v>27004351.199999999</v>
      </c>
      <c r="AG28" s="27"/>
      <c r="AI28" s="27" t="s">
        <v>680</v>
      </c>
      <c r="AJ28" s="27" t="s">
        <v>707</v>
      </c>
      <c r="AK28" s="27">
        <v>1.0381892219593312E-2</v>
      </c>
      <c r="AL28" s="27">
        <v>3</v>
      </c>
      <c r="AM28" s="13">
        <v>42884.636550925927</v>
      </c>
      <c r="AN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9"/>
      <c r="BA28" s="27"/>
      <c r="BB28" s="27"/>
      <c r="BC28" s="27"/>
      <c r="BD28" s="27"/>
      <c r="BE28" s="27"/>
      <c r="BF28" s="27"/>
      <c r="BG28" s="27"/>
      <c r="BH28" s="27"/>
      <c r="BI28" s="27"/>
      <c r="BJ28" s="27">
        <v>4000</v>
      </c>
      <c r="BK28" s="27">
        <v>60.38</v>
      </c>
      <c r="BL28" s="27" t="s">
        <v>340</v>
      </c>
      <c r="BM28" s="9">
        <v>111.81</v>
      </c>
      <c r="BN28" s="27"/>
      <c r="BO28" s="27"/>
      <c r="BP28" s="27"/>
      <c r="BQ28" s="9"/>
      <c r="BR28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8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8" s="11">
        <f>IF(COUNTIF(テーブル_bis1_からのクエリ2[[#This Row],[SEC_TYPE]],"Volatility Index Future*"),テーブル_bis1_からのクエリ2[[#This Row],[NOTIONAL]]*1.875,0)</f>
        <v>0</v>
      </c>
      <c r="BU28" s="11">
        <f>IF(COUNTIF(テーブル_bis1_からのクエリ2[[#This Row],[SEC_TYPE]],"Volatility Index Future*"),ABS(テーブル_bis1_からのクエリ2[[#This Row],[NOTIONAL]])*0.375,0)</f>
        <v>0</v>
      </c>
      <c r="BV28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8" s="27">
        <f>テーブル_bis1_からのクエリ2[[#This Row],[PE]]/$B$4</f>
        <v>3.1145676658779937E-2</v>
      </c>
      <c r="BX28"/>
    </row>
    <row r="29" spans="1:76" x14ac:dyDescent="0.4">
      <c r="A29" s="27">
        <v>24</v>
      </c>
      <c r="B29" s="27" t="s">
        <v>708</v>
      </c>
      <c r="C29" s="27" t="s">
        <v>73</v>
      </c>
      <c r="D29" s="27"/>
      <c r="E29" s="27" t="s">
        <v>375</v>
      </c>
      <c r="F29" s="27"/>
      <c r="G29" s="27"/>
      <c r="H29" s="27"/>
      <c r="I29" s="27"/>
      <c r="J29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29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29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29" s="27" t="str">
        <f>IF(テーブル_bis1_からのクエリ2[[#This Row],[SP]]&lt;&gt;0,VLOOKUP(テーブル_bis1_からのクエリ2[[#This Row],[SP]],SF!$L$1:$M$14,2,FALSE),"")</f>
        <v/>
      </c>
      <c r="N29" s="27" t="str">
        <f>IF(テーブル_bis1_からのクエリ2[[#This Row],[MOODYS]]&lt;&gt;0,VLOOKUP(テーブル_bis1_からのクエリ2[[#This Row],[MOODYS]],SF!$L$1:$M$14,2,FALSE),"")</f>
        <v/>
      </c>
      <c r="O29" s="27" t="str">
        <f>IF(テーブル_bis1_からのクエリ2[[#This Row],[FITCH]]&lt;&gt;0,VLOOKUP(テーブル_bis1_からのクエリ2[[#This Row],[FITCH]],SF!$L$1:$M$14,2,FALSE),"")</f>
        <v/>
      </c>
      <c r="P29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29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29" s="27">
        <v>10</v>
      </c>
      <c r="S29" s="27"/>
      <c r="T29" s="27"/>
      <c r="U29" s="9"/>
      <c r="V29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29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29" s="27"/>
      <c r="Y29" s="12" t="str">
        <f>IF(テーブル_bis1_からのクエリ2[[#This Row],[Type2]]&lt;&gt;"",テーブル_bis1_からのクエリ2[[#This Row],[Type2]],テーブル_bis1_からのクエリ2[[#This Row],[Type]])</f>
        <v/>
      </c>
      <c r="Z29" s="12">
        <f>IF(テーブル_bis1_からのクエリ2[[#This Row],[length]]&lt;=1,1,IF(テーブル_bis1_からのクエリ2[[#This Row],[length]]&gt;=5,3,2))</f>
        <v>3</v>
      </c>
      <c r="AA29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29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29" s="11">
        <f>IF(テーブル_bis1_からのクエリ2[[#This Row],[SCM_SF]]&lt;&gt;"",ABS(テーブル_bis1_からのクエリ2[[#This Row],[NOTIONAL]])*テーブル_bis1_からのクエリ2[[#This Row],[SCM_SF]],0)</f>
        <v>0</v>
      </c>
      <c r="AD29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25582128</v>
      </c>
      <c r="AE29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76746384</v>
      </c>
      <c r="AF29" s="11">
        <v>25582128</v>
      </c>
      <c r="AG29" s="27"/>
      <c r="AI29" s="27" t="s">
        <v>709</v>
      </c>
      <c r="AJ29" s="27" t="s">
        <v>710</v>
      </c>
      <c r="AK29" s="27">
        <v>9.8351148552622975E-3</v>
      </c>
      <c r="AL29" s="27">
        <v>3</v>
      </c>
      <c r="AM29" s="13">
        <v>42884.636550925927</v>
      </c>
      <c r="AN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9"/>
      <c r="BA29" s="27"/>
      <c r="BB29" s="27"/>
      <c r="BC29" s="27"/>
      <c r="BD29" s="27"/>
      <c r="BE29" s="27"/>
      <c r="BF29" s="27"/>
      <c r="BG29" s="27"/>
      <c r="BH29" s="27"/>
      <c r="BI29" s="27"/>
      <c r="BJ29" s="27">
        <v>440000</v>
      </c>
      <c r="BK29" s="27">
        <v>0.52</v>
      </c>
      <c r="BL29" s="27" t="s">
        <v>340</v>
      </c>
      <c r="BM29" s="9">
        <v>111.81</v>
      </c>
      <c r="BN29" s="27"/>
      <c r="BO29" s="27"/>
      <c r="BP29" s="27"/>
      <c r="BQ29" s="9"/>
      <c r="BR29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29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29" s="11">
        <f>IF(COUNTIF(テーブル_bis1_からのクエリ2[[#This Row],[SEC_TYPE]],"Volatility Index Future*"),テーブル_bis1_からのクエリ2[[#This Row],[NOTIONAL]]*1.875,0)</f>
        <v>0</v>
      </c>
      <c r="BU29" s="11">
        <f>IF(COUNTIF(テーブル_bis1_からのクエリ2[[#This Row],[SEC_TYPE]],"Volatility Index Future*"),ABS(テーブル_bis1_からのクエリ2[[#This Row],[NOTIONAL]])*0.375,0)</f>
        <v>0</v>
      </c>
      <c r="BV29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29" s="27">
        <f>テーブル_bis1_からのクエリ2[[#This Row],[PE]]/$B$4</f>
        <v>2.9505344565786892E-2</v>
      </c>
      <c r="BX29"/>
    </row>
    <row r="30" spans="1:76" x14ac:dyDescent="0.4">
      <c r="A30" s="27">
        <v>25</v>
      </c>
      <c r="B30" s="27" t="s">
        <v>661</v>
      </c>
      <c r="C30" s="27" t="s">
        <v>73</v>
      </c>
      <c r="D30" s="27"/>
      <c r="E30" s="27" t="s">
        <v>375</v>
      </c>
      <c r="F30" s="27"/>
      <c r="G30" s="27"/>
      <c r="H30" s="27"/>
      <c r="I30" s="27"/>
      <c r="J30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30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30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30" s="27" t="str">
        <f>IF(テーブル_bis1_からのクエリ2[[#This Row],[SP]]&lt;&gt;0,VLOOKUP(テーブル_bis1_からのクエリ2[[#This Row],[SP]],SF!$L$1:$M$14,2,FALSE),"")</f>
        <v/>
      </c>
      <c r="N30" s="27" t="str">
        <f>IF(テーブル_bis1_からのクエリ2[[#This Row],[MOODYS]]&lt;&gt;0,VLOOKUP(テーブル_bis1_からのクエリ2[[#This Row],[MOODYS]],SF!$L$1:$M$14,2,FALSE),"")</f>
        <v/>
      </c>
      <c r="O30" s="27" t="str">
        <f>IF(テーブル_bis1_からのクエリ2[[#This Row],[FITCH]]&lt;&gt;0,VLOOKUP(テーブル_bis1_からのクエリ2[[#This Row],[FITCH]],SF!$L$1:$M$14,2,FALSE),"")</f>
        <v/>
      </c>
      <c r="P30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30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30" s="27">
        <v>10</v>
      </c>
      <c r="S30" s="27"/>
      <c r="T30" s="27"/>
      <c r="U30" s="9"/>
      <c r="V30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30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30" s="27"/>
      <c r="Y30" s="12" t="str">
        <f>IF(テーブル_bis1_からのクエリ2[[#This Row],[Type2]]&lt;&gt;"",テーブル_bis1_からのクエリ2[[#This Row],[Type2]],テーブル_bis1_からのクエリ2[[#This Row],[Type]])</f>
        <v/>
      </c>
      <c r="Z30" s="12">
        <f>IF(テーブル_bis1_からのクエリ2[[#This Row],[length]]&lt;=1,1,IF(テーブル_bis1_からのクエリ2[[#This Row],[length]]&gt;=5,3,2))</f>
        <v>3</v>
      </c>
      <c r="AA30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30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30" s="11">
        <f>IF(テーブル_bis1_からのクエリ2[[#This Row],[SCM_SF]]&lt;&gt;"",ABS(テーブル_bis1_からのクエリ2[[#This Row],[NOTIONAL]])*テーブル_bis1_からのクエリ2[[#This Row],[SCM_SF]],0)</f>
        <v>0</v>
      </c>
      <c r="AD30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115641956.8</v>
      </c>
      <c r="AE30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346925870.39999998</v>
      </c>
      <c r="AF30" s="11">
        <v>115641956.8</v>
      </c>
      <c r="AG30" s="27"/>
      <c r="AI30" s="27" t="s">
        <v>662</v>
      </c>
      <c r="AJ30" s="27" t="s">
        <v>711</v>
      </c>
      <c r="AK30" s="27">
        <v>4.4458847489750687E-2</v>
      </c>
      <c r="AL30" s="27">
        <v>3</v>
      </c>
      <c r="AM30" s="13">
        <v>42884.636550925927</v>
      </c>
      <c r="AN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9"/>
      <c r="BA30" s="27"/>
      <c r="BB30" s="27"/>
      <c r="BC30" s="27"/>
      <c r="BD30" s="27"/>
      <c r="BE30" s="27"/>
      <c r="BF30" s="27"/>
      <c r="BG30" s="27"/>
      <c r="BH30" s="27"/>
      <c r="BI30" s="27"/>
      <c r="BJ30" s="27">
        <v>419600</v>
      </c>
      <c r="BK30" s="27">
        <v>16.98</v>
      </c>
      <c r="BL30" s="27" t="s">
        <v>386</v>
      </c>
      <c r="BM30" s="9">
        <v>16.2308874569</v>
      </c>
      <c r="BN30" s="27"/>
      <c r="BO30" s="27"/>
      <c r="BP30" s="27"/>
      <c r="BQ30" s="9"/>
      <c r="BR30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30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30" s="11">
        <f>IF(COUNTIF(テーブル_bis1_からのクエリ2[[#This Row],[SEC_TYPE]],"Volatility Index Future*"),テーブル_bis1_からのクエリ2[[#This Row],[NOTIONAL]]*1.875,0)</f>
        <v>0</v>
      </c>
      <c r="BU30" s="11">
        <f>IF(COUNTIF(テーブル_bis1_からのクエリ2[[#This Row],[SEC_TYPE]],"Volatility Index Future*"),ABS(テーブル_bis1_からのクエリ2[[#This Row],[NOTIONAL]])*0.375,0)</f>
        <v>0</v>
      </c>
      <c r="BV30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30" s="27">
        <f>テーブル_bis1_からのクエリ2[[#This Row],[PE]]/$B$4</f>
        <v>0.13337654246925207</v>
      </c>
      <c r="BX30"/>
    </row>
    <row r="31" spans="1:76" x14ac:dyDescent="0.4">
      <c r="A31" s="27">
        <v>26</v>
      </c>
      <c r="B31" s="27" t="s">
        <v>642</v>
      </c>
      <c r="C31" s="27" t="s">
        <v>74</v>
      </c>
      <c r="D31" s="27" t="s">
        <v>369</v>
      </c>
      <c r="E31" s="27" t="s">
        <v>640</v>
      </c>
      <c r="F31" s="27"/>
      <c r="G31" s="27" t="s">
        <v>374</v>
      </c>
      <c r="H31" s="27" t="s">
        <v>372</v>
      </c>
      <c r="I31" s="27"/>
      <c r="J31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A</v>
      </c>
      <c r="K31" s="27" t="str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A</v>
      </c>
      <c r="L31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31" s="27">
        <f>IF(テーブル_bis1_からのクエリ2[[#This Row],[SP]]&lt;&gt;0,VLOOKUP(テーブル_bis1_からのクエリ2[[#This Row],[SP]],SF!$L$1:$M$14,2,FALSE),"")</f>
        <v>8.0000000000000002E-3</v>
      </c>
      <c r="N31" s="27">
        <f>IF(テーブル_bis1_からのクエリ2[[#This Row],[MOODYS]]&lt;&gt;0,VLOOKUP(テーブル_bis1_からのクエリ2[[#This Row],[MOODYS]],SF!$L$1:$M$14,2,FALSE),"")</f>
        <v>8.0000000000000002E-3</v>
      </c>
      <c r="O31" s="27" t="str">
        <f>IF(テーブル_bis1_からのクエリ2[[#This Row],[FITCH]]&lt;&gt;0,VLOOKUP(テーブル_bis1_からのクエリ2[[#This Row],[FITCH]],SF!$L$1:$M$14,2,FALSE),"")</f>
        <v/>
      </c>
      <c r="P31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31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31" s="27">
        <v>30</v>
      </c>
      <c r="S31" s="27"/>
      <c r="T31" s="27"/>
      <c r="U31" s="9"/>
      <c r="V31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31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31" s="27"/>
      <c r="Y31" s="12" t="str">
        <f>IF(テーブル_bis1_からのクエリ2[[#This Row],[Type2]]&lt;&gt;"",テーブル_bis1_からのクエリ2[[#This Row],[Type2]],テーブル_bis1_からのクエリ2[[#This Row],[Type]])</f>
        <v/>
      </c>
      <c r="Z31" s="12">
        <f>IF(テーブル_bis1_からのクエリ2[[#This Row],[length]]&lt;=1,1,IF(テーブル_bis1_からのクエリ2[[#This Row],[length]]&gt;=5,3,2))</f>
        <v>3</v>
      </c>
      <c r="AA31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31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31" s="11">
        <f>IF(テーブル_bis1_からのクエリ2[[#This Row],[SCM_SF]]&lt;&gt;"",ABS(テーブル_bis1_からのクエリ2[[#This Row],[NOTIONAL]])*テーブル_bis1_からのクエリ2[[#This Row],[SCM_SF]],0)</f>
        <v>0</v>
      </c>
      <c r="AD31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1367930453.52</v>
      </c>
      <c r="AE31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212262772.92077559</v>
      </c>
      <c r="AF31" s="11">
        <v>1367930453.52</v>
      </c>
      <c r="AG31" s="27"/>
      <c r="AI31" s="27" t="s">
        <v>643</v>
      </c>
      <c r="AJ31" s="27" t="s">
        <v>645</v>
      </c>
      <c r="AK31" s="27">
        <v>0.52590437841528437</v>
      </c>
      <c r="AL31" s="27">
        <v>0.15517073428299999</v>
      </c>
      <c r="AM31" s="13">
        <v>42884.636550925927</v>
      </c>
      <c r="AN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9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>
        <v>1</v>
      </c>
      <c r="BL31" s="27" t="s">
        <v>381</v>
      </c>
      <c r="BM31" s="9">
        <v>14.390974</v>
      </c>
      <c r="BN31" s="27"/>
      <c r="BO31" s="27"/>
      <c r="BP31" s="27"/>
      <c r="BQ31" s="9"/>
      <c r="BR31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31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31" s="11">
        <f>IF(COUNTIF(テーブル_bis1_からのクエリ2[[#This Row],[SEC_TYPE]],"Volatility Index Future*"),テーブル_bis1_からのクエリ2[[#This Row],[NOTIONAL]]*1.875,0)</f>
        <v>0</v>
      </c>
      <c r="BU31" s="11">
        <f>IF(COUNTIF(テーブル_bis1_からのクエリ2[[#This Row],[SEC_TYPE]],"Volatility Index Future*"),ABS(テーブル_bis1_からのクエリ2[[#This Row],[NOTIONAL]])*0.375,0)</f>
        <v>0</v>
      </c>
      <c r="BV31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31" s="27">
        <f>テーブル_bis1_からのクエリ2[[#This Row],[PE]]/$B$4</f>
        <v>8.1604968561344374E-2</v>
      </c>
      <c r="BX31"/>
    </row>
    <row r="32" spans="1:76" x14ac:dyDescent="0.4">
      <c r="A32" s="27">
        <v>27</v>
      </c>
      <c r="B32" s="27" t="s">
        <v>387</v>
      </c>
      <c r="C32" s="27" t="s">
        <v>74</v>
      </c>
      <c r="D32" s="27" t="s">
        <v>369</v>
      </c>
      <c r="E32" s="27" t="s">
        <v>373</v>
      </c>
      <c r="F32" s="27"/>
      <c r="G32" s="27" t="s">
        <v>371</v>
      </c>
      <c r="H32" s="27" t="s">
        <v>372</v>
      </c>
      <c r="I32" s="27" t="s">
        <v>374</v>
      </c>
      <c r="J32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A</v>
      </c>
      <c r="K32" s="27" t="str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A</v>
      </c>
      <c r="L32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A</v>
      </c>
      <c r="M32" s="27">
        <f>IF(テーブル_bis1_からのクエリ2[[#This Row],[SP]]&lt;&gt;0,VLOOKUP(テーブル_bis1_からのクエリ2[[#This Row],[SP]],SF!$L$1:$M$14,2,FALSE),"")</f>
        <v>8.0000000000000002E-3</v>
      </c>
      <c r="N32" s="27">
        <f>IF(テーブル_bis1_からのクエリ2[[#This Row],[MOODYS]]&lt;&gt;0,VLOOKUP(テーブル_bis1_からのクエリ2[[#This Row],[MOODYS]],SF!$L$1:$M$14,2,FALSE),"")</f>
        <v>8.0000000000000002E-3</v>
      </c>
      <c r="O32" s="27">
        <f>IF(テーブル_bis1_からのクエリ2[[#This Row],[FITCH]]&lt;&gt;0,VLOOKUP(テーブル_bis1_からのクエリ2[[#This Row],[FITCH]],SF!$L$1:$M$14,2,FALSE),"")</f>
        <v>8.0000000000000002E-3</v>
      </c>
      <c r="P32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32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32" s="27">
        <v>30</v>
      </c>
      <c r="S32" s="27"/>
      <c r="T32" s="27"/>
      <c r="U32" s="9"/>
      <c r="V32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32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32" s="27"/>
      <c r="Y32" s="12" t="str">
        <f>IF(テーブル_bis1_からのクエリ2[[#This Row],[Type2]]&lt;&gt;"",テーブル_bis1_からのクエリ2[[#This Row],[Type2]],テーブル_bis1_からのクエリ2[[#This Row],[Type]])</f>
        <v/>
      </c>
      <c r="Z32" s="12">
        <f>IF(テーブル_bis1_からのクエリ2[[#This Row],[length]]&lt;=1,1,IF(テーブル_bis1_からのクエリ2[[#This Row],[length]]&gt;=5,3,2))</f>
        <v>3</v>
      </c>
      <c r="AA32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32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32" s="11">
        <f>IF(テーブル_bis1_からのクエリ2[[#This Row],[SCM_SF]]&lt;&gt;"",ABS(テーブル_bis1_からのクエリ2[[#This Row],[NOTIONAL]])*テーブル_bis1_からのクエリ2[[#This Row],[SCM_SF]],0)</f>
        <v>0</v>
      </c>
      <c r="AD32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771102.9</v>
      </c>
      <c r="AE32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119652.60320075072</v>
      </c>
      <c r="AF32" s="11">
        <v>771102.9</v>
      </c>
      <c r="AG32" s="27"/>
      <c r="AI32" s="27" t="s">
        <v>394</v>
      </c>
      <c r="AJ32" s="27" t="s">
        <v>390</v>
      </c>
      <c r="AK32" s="27">
        <v>2.9645249162719528E-4</v>
      </c>
      <c r="AL32" s="27">
        <v>0.15517073428299999</v>
      </c>
      <c r="AM32" s="13">
        <v>42884.636550925927</v>
      </c>
      <c r="AN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9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>
        <v>1</v>
      </c>
      <c r="BL32" s="27" t="s">
        <v>646</v>
      </c>
      <c r="BM32" s="9">
        <v>1</v>
      </c>
      <c r="BN32" s="27"/>
      <c r="BO32" s="27"/>
      <c r="BP32" s="27"/>
      <c r="BQ32" s="9"/>
      <c r="BR32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32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32" s="11">
        <f>IF(COUNTIF(テーブル_bis1_からのクエリ2[[#This Row],[SEC_TYPE]],"Volatility Index Future*"),テーブル_bis1_からのクエリ2[[#This Row],[NOTIONAL]]*1.875,0)</f>
        <v>0</v>
      </c>
      <c r="BU32" s="11">
        <f>IF(COUNTIF(テーブル_bis1_からのクエリ2[[#This Row],[SEC_TYPE]],"Volatility Index Future*"),ABS(テーブル_bis1_からのクエリ2[[#This Row],[NOTIONAL]])*0.375,0)</f>
        <v>0</v>
      </c>
      <c r="BV32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32" s="27">
        <f>テーブル_bis1_からのクエリ2[[#This Row],[PE]]/$B$4</f>
        <v>4.6000750805816797E-5</v>
      </c>
      <c r="BX32"/>
    </row>
    <row r="33" spans="1:76" x14ac:dyDescent="0.4">
      <c r="A33" s="27">
        <v>28</v>
      </c>
      <c r="B33" s="27" t="s">
        <v>639</v>
      </c>
      <c r="C33" s="27" t="s">
        <v>74</v>
      </c>
      <c r="D33" s="27" t="s">
        <v>369</v>
      </c>
      <c r="E33" s="27" t="s">
        <v>640</v>
      </c>
      <c r="F33" s="27"/>
      <c r="G33" s="27" t="s">
        <v>374</v>
      </c>
      <c r="H33" s="27"/>
      <c r="I33" s="27" t="s">
        <v>371</v>
      </c>
      <c r="J33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A</v>
      </c>
      <c r="K33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33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A</v>
      </c>
      <c r="M33" s="27">
        <f>IF(テーブル_bis1_からのクエリ2[[#This Row],[SP]]&lt;&gt;0,VLOOKUP(テーブル_bis1_からのクエリ2[[#This Row],[SP]],SF!$L$1:$M$14,2,FALSE),"")</f>
        <v>8.0000000000000002E-3</v>
      </c>
      <c r="N33" s="27" t="str">
        <f>IF(テーブル_bis1_からのクエリ2[[#This Row],[MOODYS]]&lt;&gt;0,VLOOKUP(テーブル_bis1_からのクエリ2[[#This Row],[MOODYS]],SF!$L$1:$M$14,2,FALSE),"")</f>
        <v/>
      </c>
      <c r="O33" s="27">
        <f>IF(テーブル_bis1_からのクエリ2[[#This Row],[FITCH]]&lt;&gt;0,VLOOKUP(テーブル_bis1_からのクエリ2[[#This Row],[FITCH]],SF!$L$1:$M$14,2,FALSE),"")</f>
        <v>8.0000000000000002E-3</v>
      </c>
      <c r="P33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33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33" s="27">
        <v>30</v>
      </c>
      <c r="S33" s="27"/>
      <c r="T33" s="27"/>
      <c r="U33" s="9"/>
      <c r="V33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33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33" s="27"/>
      <c r="Y33" s="12" t="str">
        <f>IF(テーブル_bis1_からのクエリ2[[#This Row],[Type2]]&lt;&gt;"",テーブル_bis1_からのクエリ2[[#This Row],[Type2]],テーブル_bis1_からのクエリ2[[#This Row],[Type]])</f>
        <v/>
      </c>
      <c r="Z33" s="12">
        <f>IF(テーブル_bis1_からのクエリ2[[#This Row],[length]]&lt;=1,1,IF(テーブル_bis1_からのクエリ2[[#This Row],[length]]&gt;=5,3,2))</f>
        <v>3</v>
      </c>
      <c r="AA33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33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33" s="11">
        <f>IF(テーブル_bis1_からのクエリ2[[#This Row],[SCM_SF]]&lt;&gt;"",ABS(テーブル_bis1_からのクエリ2[[#This Row],[NOTIONAL]])*テーブル_bis1_からのクエリ2[[#This Row],[SCM_SF]],0)</f>
        <v>0</v>
      </c>
      <c r="AD33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205402345.97</v>
      </c>
      <c r="AE33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31872432.847615704</v>
      </c>
      <c r="AF33" s="11">
        <v>205402345.97</v>
      </c>
      <c r="AG33" s="27"/>
      <c r="AI33" s="27" t="s">
        <v>641</v>
      </c>
      <c r="AJ33" s="27" t="s">
        <v>644</v>
      </c>
      <c r="AK33" s="27">
        <v>7.8967459788930494E-2</v>
      </c>
      <c r="AL33" s="27">
        <v>0.15517073428299999</v>
      </c>
      <c r="AM33" s="13">
        <v>42884.636550925927</v>
      </c>
      <c r="AN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9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>
        <v>1</v>
      </c>
      <c r="BL33" s="27" t="s">
        <v>381</v>
      </c>
      <c r="BM33" s="9">
        <v>14.390974</v>
      </c>
      <c r="BN33" s="27"/>
      <c r="BO33" s="27"/>
      <c r="BP33" s="27"/>
      <c r="BQ33" s="9"/>
      <c r="BR33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33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33" s="11">
        <f>IF(COUNTIF(テーブル_bis1_からのクエリ2[[#This Row],[SEC_TYPE]],"Volatility Index Future*"),テーブル_bis1_からのクエリ2[[#This Row],[NOTIONAL]]*1.875,0)</f>
        <v>0</v>
      </c>
      <c r="BU33" s="11">
        <f>IF(COUNTIF(テーブル_bis1_からのクエリ2[[#This Row],[SEC_TYPE]],"Volatility Index Future*"),ABS(テーブル_bis1_からのクエリ2[[#This Row],[NOTIONAL]])*0.375,0)</f>
        <v>0</v>
      </c>
      <c r="BV33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33" s="27">
        <f>テーブル_bis1_からのクエリ2[[#This Row],[PE]]/$B$4</f>
        <v>1.225343871991162E-2</v>
      </c>
      <c r="BX33"/>
    </row>
    <row r="34" spans="1:76" x14ac:dyDescent="0.4">
      <c r="A34" s="27">
        <v>29</v>
      </c>
      <c r="B34" s="27" t="s">
        <v>658</v>
      </c>
      <c r="C34" s="27" t="s">
        <v>74</v>
      </c>
      <c r="D34" s="27"/>
      <c r="E34" s="27" t="s">
        <v>640</v>
      </c>
      <c r="F34" s="27"/>
      <c r="G34" s="27" t="s">
        <v>376</v>
      </c>
      <c r="H34" s="27" t="s">
        <v>377</v>
      </c>
      <c r="I34" s="27" t="s">
        <v>376</v>
      </c>
      <c r="J34" s="27" t="str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BBB</v>
      </c>
      <c r="K34" s="27" t="str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Baa</v>
      </c>
      <c r="L34" s="27" t="str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BBB</v>
      </c>
      <c r="M34" s="27">
        <f>IF(テーブル_bis1_からのクエリ2[[#This Row],[SP]]&lt;&gt;0,VLOOKUP(テーブル_bis1_からのクエリ2[[#This Row],[SP]],SF!$L$1:$M$14,2,FALSE),"")</f>
        <v>0.01</v>
      </c>
      <c r="N34" s="27">
        <f>IF(テーブル_bis1_からのクエリ2[[#This Row],[MOODYS]]&lt;&gt;0,VLOOKUP(テーブル_bis1_からのクエリ2[[#This Row],[MOODYS]],SF!$L$1:$M$14,2,FALSE),"")</f>
        <v>0.01</v>
      </c>
      <c r="O34" s="27">
        <f>IF(テーブル_bis1_からのクエリ2[[#This Row],[FITCH]]&lt;&gt;0,VLOOKUP(テーブル_bis1_からのクエリ2[[#This Row],[FITCH]],SF!$L$1:$M$14,2,FALSE),"")</f>
        <v>0.01</v>
      </c>
      <c r="P34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34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34" s="27">
        <v>30</v>
      </c>
      <c r="S34" s="27"/>
      <c r="T34" s="27"/>
      <c r="U34" s="9"/>
      <c r="V34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34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34" s="27"/>
      <c r="Y34" s="12" t="str">
        <f>IF(テーブル_bis1_からのクエリ2[[#This Row],[Type2]]&lt;&gt;"",テーブル_bis1_からのクエリ2[[#This Row],[Type2]],テーブル_bis1_からのクエリ2[[#This Row],[Type]])</f>
        <v/>
      </c>
      <c r="Z34" s="12">
        <f>IF(テーブル_bis1_からのクエリ2[[#This Row],[length]]&lt;=1,1,IF(テーブル_bis1_からのクエリ2[[#This Row],[length]]&gt;=5,3,2))</f>
        <v>3</v>
      </c>
      <c r="AA34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34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34" s="11">
        <f>IF(テーブル_bis1_からのクエリ2[[#This Row],[SCM_SF]]&lt;&gt;"",ABS(テーブル_bis1_からのクエリ2[[#This Row],[NOTIONAL]])*テーブル_bis1_からのクエリ2[[#This Row],[SCM_SF]],0)</f>
        <v>0</v>
      </c>
      <c r="AD34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8052091.0700000003</v>
      </c>
      <c r="AE34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1429771.301312784</v>
      </c>
      <c r="AF34" s="11">
        <v>8052091.0700000003</v>
      </c>
      <c r="AG34" s="27"/>
      <c r="AI34" s="27" t="s">
        <v>659</v>
      </c>
      <c r="AJ34" s="27" t="s">
        <v>660</v>
      </c>
      <c r="AK34" s="27">
        <v>3.0956471056075509E-3</v>
      </c>
      <c r="AL34" s="27">
        <v>0.17756521739299999</v>
      </c>
      <c r="AM34" s="13">
        <v>42884.636550925927</v>
      </c>
      <c r="AN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9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>
        <v>1</v>
      </c>
      <c r="BL34" s="27" t="s">
        <v>340</v>
      </c>
      <c r="BM34" s="9">
        <v>111.81</v>
      </c>
      <c r="BN34" s="27"/>
      <c r="BO34" s="27"/>
      <c r="BP34" s="27"/>
      <c r="BQ34" s="9"/>
      <c r="BR34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34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34" s="11">
        <f>IF(COUNTIF(テーブル_bis1_からのクエリ2[[#This Row],[SEC_TYPE]],"Volatility Index Future*"),テーブル_bis1_からのクエリ2[[#This Row],[NOTIONAL]]*1.875,0)</f>
        <v>0</v>
      </c>
      <c r="BU34" s="11">
        <f>IF(COUNTIF(テーブル_bis1_からのクエリ2[[#This Row],[SEC_TYPE]],"Volatility Index Future*"),ABS(テーブル_bis1_からのクエリ2[[#This Row],[NOTIONAL]])*0.375,0)</f>
        <v>0</v>
      </c>
      <c r="BV34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34" s="27">
        <f>テーブル_bis1_からのクエリ2[[#This Row],[PE]]/$B$4</f>
        <v>5.4967925127921604E-4</v>
      </c>
      <c r="BX34"/>
    </row>
    <row r="35" spans="1:76" x14ac:dyDescent="0.4">
      <c r="A35" s="27">
        <v>30</v>
      </c>
      <c r="B35" s="27"/>
      <c r="C35" s="27" t="s">
        <v>350</v>
      </c>
      <c r="D35" s="27"/>
      <c r="E35" s="27"/>
      <c r="F35" s="27"/>
      <c r="G35" s="27"/>
      <c r="H35" s="27"/>
      <c r="I35" s="27"/>
      <c r="J35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35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35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35" s="27" t="str">
        <f>IF(テーブル_bis1_からのクエリ2[[#This Row],[SP]]&lt;&gt;0,VLOOKUP(テーブル_bis1_からのクエリ2[[#This Row],[SP]],SF!$L$1:$M$14,2,FALSE),"")</f>
        <v/>
      </c>
      <c r="N35" s="27" t="str">
        <f>IF(テーブル_bis1_からのクエリ2[[#This Row],[MOODYS]]&lt;&gt;0,VLOOKUP(テーブル_bis1_からのクエリ2[[#This Row],[MOODYS]],SF!$L$1:$M$14,2,FALSE),"")</f>
        <v/>
      </c>
      <c r="O35" s="27" t="str">
        <f>IF(テーブル_bis1_からのクエリ2[[#This Row],[FITCH]]&lt;&gt;0,VLOOKUP(テーブル_bis1_からのクエリ2[[#This Row],[FITCH]],SF!$L$1:$M$14,2,FALSE),"")</f>
        <v/>
      </c>
      <c r="P35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35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35" s="27">
        <v>99</v>
      </c>
      <c r="S35" s="27"/>
      <c r="T35" s="27"/>
      <c r="U35" s="9"/>
      <c r="V35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35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35" s="27"/>
      <c r="Y35" s="12" t="str">
        <f>IF(テーブル_bis1_からのクエリ2[[#This Row],[Type2]]&lt;&gt;"",テーブル_bis1_からのクエリ2[[#This Row],[Type2]],テーブル_bis1_からのクエリ2[[#This Row],[Type]])</f>
        <v/>
      </c>
      <c r="Z35" s="12">
        <f>IF(テーブル_bis1_からのクエリ2[[#This Row],[length]]&lt;=1,1,IF(テーブル_bis1_からのクエリ2[[#This Row],[length]]&gt;=5,3,2))</f>
        <v>3</v>
      </c>
      <c r="AA35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35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35" s="11">
        <f>IF(テーブル_bis1_からのクエリ2[[#This Row],[SCM_SF]]&lt;&gt;"",ABS(テーブル_bis1_からのクエリ2[[#This Row],[NOTIONAL]])*テーブル_bis1_からのクエリ2[[#This Row],[SCM_SF]],0)</f>
        <v>0</v>
      </c>
      <c r="AD35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6263475.75</v>
      </c>
      <c r="AE35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78293446.875</v>
      </c>
      <c r="AF35" s="11">
        <v>6263475.75</v>
      </c>
      <c r="AG35" s="27"/>
      <c r="AI35" s="27"/>
      <c r="AJ35" s="27" t="s">
        <v>350</v>
      </c>
      <c r="AK35" s="27">
        <v>2.4080093491206109E-3</v>
      </c>
      <c r="AL35" s="27">
        <v>12.5</v>
      </c>
      <c r="AM35" s="13">
        <v>42884.636550925927</v>
      </c>
      <c r="AN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9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9"/>
      <c r="BN35" s="27"/>
      <c r="BO35" s="27"/>
      <c r="BP35" s="27"/>
      <c r="BQ35" s="9"/>
      <c r="BR35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35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35" s="11">
        <f>IF(COUNTIF(テーブル_bis1_からのクエリ2[[#This Row],[SEC_TYPE]],"Volatility Index Future*"),テーブル_bis1_からのクエリ2[[#This Row],[NOTIONAL]]*1.875,0)</f>
        <v>0</v>
      </c>
      <c r="BU35" s="11">
        <f>IF(COUNTIF(テーブル_bis1_からのクエリ2[[#This Row],[SEC_TYPE]],"Volatility Index Future*"),ABS(テーブル_bis1_からのクエリ2[[#This Row],[NOTIONAL]])*0.375,0)</f>
        <v>0</v>
      </c>
      <c r="BV35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35" s="27">
        <f>テーブル_bis1_からのクエリ2[[#This Row],[PE]]/$B$4</f>
        <v>3.0100116864007636E-2</v>
      </c>
      <c r="BX35"/>
    </row>
    <row r="36" spans="1:76" x14ac:dyDescent="0.4">
      <c r="A36" s="27">
        <v>31</v>
      </c>
      <c r="B36" s="27"/>
      <c r="C36" s="27" t="s">
        <v>349</v>
      </c>
      <c r="D36" s="27"/>
      <c r="E36" s="27"/>
      <c r="F36" s="27"/>
      <c r="G36" s="27"/>
      <c r="H36" s="27"/>
      <c r="I36" s="27"/>
      <c r="J36" s="27">
        <f>IF(OR(COUNTIF(テーブル_bis1_からのクエリ2[[#This Row],[RTG_SP]],"*+"),COUNTIF(テーブル_bis1_からのクエリ2[[#This Row],[RTG_SP]],"*-")),LEFT(テーブル_bis1_からのクエリ2[[#This Row],[RTG_SP]],LEN(テーブル_bis1_からのクエリ2[[#This Row],[RTG_SP]])-1),テーブル_bis1_からのクエリ2[[#This Row],[RTG_SP]])</f>
        <v>0</v>
      </c>
      <c r="K36" s="27">
        <f>IF(OR(COUNTIF(テーブル_bis1_からのクエリ2[[#This Row],[RTG_MOODY]],"*1"),COUNTIF(テーブル_bis1_からのクエリ2[[#This Row],[RTG_MOODY]],"*2"),COUNTIF(テーブル_bis1_からのクエリ2[[#This Row],[RTG_MOODY]],"*3")),LEFT(テーブル_bis1_からのクエリ2[[#This Row],[RTG_MOODY]],LEN(テーブル_bis1_からのクエリ2[[#This Row],[RTG_MOODY]])-1),テーブル_bis1_からのクエリ2[[#This Row],[RTG_MOODY]])</f>
        <v>0</v>
      </c>
      <c r="L36" s="27">
        <f>IF(OR(COUNTIF(テーブル_bis1_からのクエリ2[[#This Row],[RTG_FITCH]],"*+"),COUNTIF(テーブル_bis1_からのクエリ2[[#This Row],[RTG_FITCH]],"*-")),LEFT(テーブル_bis1_からのクエリ2[[#This Row],[RTG_FITCH]],LEN(テーブル_bis1_からのクエリ2[[#This Row],[RTG_FITCH]])-1),テーブル_bis1_からのクエリ2[[#This Row],[RTG_FITCH]])</f>
        <v>0</v>
      </c>
      <c r="M36" s="27" t="str">
        <f>IF(テーブル_bis1_からのクエリ2[[#This Row],[SP]]&lt;&gt;0,VLOOKUP(テーブル_bis1_からのクエリ2[[#This Row],[SP]],SF!$L$1:$M$14,2,FALSE),"")</f>
        <v/>
      </c>
      <c r="N36" s="27" t="str">
        <f>IF(テーブル_bis1_からのクエリ2[[#This Row],[MOODYS]]&lt;&gt;0,VLOOKUP(テーブル_bis1_からのクエリ2[[#This Row],[MOODYS]],SF!$L$1:$M$14,2,FALSE),"")</f>
        <v/>
      </c>
      <c r="O36" s="27" t="str">
        <f>IF(テーブル_bis1_からのクエリ2[[#This Row],[FITCH]]&lt;&gt;0,VLOOKUP(テーブル_bis1_からのクエリ2[[#This Row],[FITCH]],SF!$L$1:$M$14,2,FALSE),"")</f>
        <v/>
      </c>
      <c r="P36" s="27" t="str">
        <f>IF(AND(テーブル_bis1_からのクエリ2[[#This Row],[length]]&lt;&gt;"",テーブル_bis1_からのクエリ2[[#This Row],[length]]&gt;0),IF(OR(テーブル_bis1_からのクエリ2[[#This Row],[CVA掛け目_SP]]&lt;&gt;"",テーブル_bis1_からのクエリ2[[#This Row],[CVA掛け目_MOODYS]]&lt;&gt;"",テーブル_bis1_からのクエリ2[[#This Row],[CVA掛け目_FITCH]]&lt;&gt;""),MEDIAN(テーブル_bis1_からのクエリ2[[#This Row],[CVA掛け目_SP]],テーブル_bis1_からのクエリ2[[#This Row],[CVA掛け目_MOODYS]],テーブル_bis1_からのクエリ2[[#This Row],[CVA掛け目_FITCH]]),10%),"")</f>
        <v/>
      </c>
      <c r="Q36" s="11">
        <f>IF(テーブル_bis1_からのクエリ2[[#This Row],[CVA掛け目]]&lt;&gt;"",2.33*テーブル_bis1_からのクエリ2[[#This Row],[length]]*ABS(テーブル_bis1_からのクエリ2[[#This Row],[NOTIONAL]])*(0.5*テーブル_bis1_からのクエリ2[[#This Row],[CVA掛け目]]+0.75*テーブル_bis1_からのクエリ2[[#This Row],[CVA掛け目]]^2),0)*12.5</f>
        <v>0</v>
      </c>
      <c r="R36" s="27">
        <v>90</v>
      </c>
      <c r="S36" s="27"/>
      <c r="T36" s="27"/>
      <c r="U36" s="9"/>
      <c r="V36" s="12" t="str">
        <f>IF(OR(LEFT(テーブル_bis1_からのクエリ2[[#This Row],[ASSET_TYPE_ID]],1)="5",テーブル_bis1_からのクエリ2[[#This Row],[ASSET_TYPE_ID]]=31),IF(テーブル_bis1_からのクエリ2[[#This Row],[SEC_TYPE]]="CFD",5,IF((テーブル_bis1_からのクエリ2[[#This Row],[MATURITY]]-$B$2)&lt;=5,"",(テーブル_bis1_からのクエリ2[[#This Row],[MATURITY]]-$B$2)/365)),"")</f>
        <v/>
      </c>
      <c r="W36" s="12" t="str">
        <f>IF(AND(テーブル_bis1_からのクエリ2[[#This Row],[length]]&lt;&gt;"",テーブル_bis1_からのクエリ2[[#This Row],[ASSET_TYPE_ID]]&lt;&gt;31),VLOOKUP(テーブル_bis1_からのクエリ2[[#This Row],[SEC_TYPE]],SF!$I$1:$J$68,2,FALSE),"")</f>
        <v/>
      </c>
      <c r="X36" s="27"/>
      <c r="Y36" s="12" t="str">
        <f>IF(テーブル_bis1_からのクエリ2[[#This Row],[Type2]]&lt;&gt;"",テーブル_bis1_からのクエリ2[[#This Row],[Type2]],テーブル_bis1_からのクエリ2[[#This Row],[Type]])</f>
        <v/>
      </c>
      <c r="Z36" s="12">
        <f>IF(テーブル_bis1_からのクエリ2[[#This Row],[length]]&lt;=1,1,IF(テーブル_bis1_からのクエリ2[[#This Row],[length]]&gt;=5,3,2))</f>
        <v>3</v>
      </c>
      <c r="AA36" s="12" t="str">
        <f>IF(テーブル_bis1_からのクエリ2[[#This Row],[Type]]&lt;&gt;"",CONCATENATE(テーブル_bis1_からのクエリ2[[#This Row],[Final_Type]],テーブル_bis1_からのクエリ2[[#This Row],[duration]]),"")</f>
        <v/>
      </c>
      <c r="AB36" s="65" t="str">
        <f>IF(AND(テーブル_bis1_からのクエリ2[[#This Row],[combo]]&lt;&gt;"",テーブル_bis1_からのクエリ2[[#This Row],[length]]&gt;0),VLOOKUP(テーブル_bis1_からのクエリ2[[#This Row],[combo]],SF!$B$1:$C$18,2,FALSE),"")</f>
        <v/>
      </c>
      <c r="AC36" s="11">
        <f>IF(テーブル_bis1_からのクエリ2[[#This Row],[SCM_SF]]&lt;&gt;"",ABS(テーブル_bis1_からのクエリ2[[#This Row],[NOTIONAL]])*テーブル_bis1_からのクエリ2[[#This Row],[SCM_SF]],0)</f>
        <v>0</v>
      </c>
      <c r="AD36" s="70">
        <f>IF(OR(テーブル_bis1_からのクエリ2[[#This Row],[SEC_TYPE]]="Repo",テーブル_bis1_からのクエリ2[[#This Row],[SEC_TYPE]]="Reverse Repo"),IF(AND(テーブル_bis1_からのクエリ2[[#This Row],[REPO_DIFF]]&gt;0,テーブル_bis1_からのクエリ2[[#This Row],[length]]&gt;0),ABS(テーブル_bis1_からのクエリ2[[#This Row],[REPO_DIFF]]),0)+テーブル_bis1_からのクエリ2[[#This Row],[ADDON]],IF(OR(テーブル_bis1_からのクエリ2[[#This Row],[ASSET_TYPE_ID]]=10,テーブル_bis1_からのクエリ2[[#This Row],[ASSET_TYPE_ID]]=14),ABS(テーブル_bis1_からのクエリ2[[#This Row],[MARKET_VALUE]]),IF(テーブル_bis1_からのクエリ2[[#This Row],[MARKET_VALUE]]&gt;0,テーブル_bis1_からのクエリ2[[#This Row],[MARKET_VALUE]],0)+テーブル_bis1_からのクエリ2[[#This Row],[ADDON]]))</f>
        <v>0</v>
      </c>
      <c r="AE36" s="11">
        <f>テーブル_bis1_からのクエリ2[[#This Row],[PE(before CP)]]*テーブル_bis1_からのクエリ2[[#This Row],[RISK_WEIGHT]]+IF(テーブル_bis1_からのクエリ2[[#This Row],[Final_Type]]=3,テーブル_bis1_からのクエリ2[[#This Row],[undl_risk_weight]]*ABS(テーブル_bis1_からのクエリ2[[#This Row],[NOTIONAL]]),0)</f>
        <v>0</v>
      </c>
      <c r="AF36" s="11">
        <v>-29317990.34</v>
      </c>
      <c r="AG36" s="27"/>
      <c r="AI36" s="27"/>
      <c r="AJ36" s="27" t="s">
        <v>349</v>
      </c>
      <c r="AK36" s="27">
        <v>-1.1271376732982124E-2</v>
      </c>
      <c r="AL36" s="27"/>
      <c r="AM36" s="13">
        <v>42884.636550925927</v>
      </c>
      <c r="AN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9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9"/>
      <c r="BN36" s="27"/>
      <c r="BO36" s="27"/>
      <c r="BP36" s="27"/>
      <c r="BQ36" s="9"/>
      <c r="BR36" s="11">
        <f>IF(AND(COUNTIF(テーブル_bis1_からのクエリ2[[#This Row],[SEC_TYPE]],"Commodity Future*"),NOT(COUNTIF(テーブル_bis1_からのクエリ2[[#This Row],[SEC_TYPE]],"*Gold*"))),テーブル_bis1_からのクエリ2[[#This Row],[NOTIONAL]]*1.875,0)</f>
        <v>0</v>
      </c>
      <c r="BS36" s="11">
        <f>IF(AND(COUNTIF(テーブル_bis1_からのクエリ2[[#This Row],[SEC_TYPE]],"Commodity Future*"),NOT(COUNTIF(テーブル_bis1_からのクエリ2[[#This Row],[SEC_TYPE]],"*Gold*"))),ABS(テーブル_bis1_からのクエリ2[[#This Row],[NOTIONAL]])*0.375,0)</f>
        <v>0</v>
      </c>
      <c r="BT36" s="11">
        <f>IF(COUNTIF(テーブル_bis1_からのクエリ2[[#This Row],[SEC_TYPE]],"Volatility Index Future*"),テーブル_bis1_からのクエリ2[[#This Row],[NOTIONAL]]*1.875,0)</f>
        <v>0</v>
      </c>
      <c r="BU36" s="11">
        <f>IF(COUNTIF(テーブル_bis1_からのクエリ2[[#This Row],[SEC_TYPE]],"Volatility Index Future*"),ABS(テーブル_bis1_からのクエリ2[[#This Row],[NOTIONAL]])*0.375,0)</f>
        <v>0</v>
      </c>
      <c r="BV36" s="27">
        <f>IF(OR(COUNTIF(テーブル_bis1_からのクエリ2[[#This Row],[SEC_TYPE]],"Currency Future*"),AND(COUNTIF(テーブル_bis1_からのクエリ2[[#This Row],[SEC_TYPE]],"Commodity Future*"),COUNTIF(テーブル_bis1_からのクエリ2[[#This Row],[SEC_TYPE]],"*Gold*"))),ABS(テーブル_bis1_からのクエリ2[[#This Row],[NOTIONAL]]),0)</f>
        <v>0</v>
      </c>
      <c r="BW36" s="27">
        <f>テーブル_bis1_からのクエリ2[[#This Row],[PE]]/$B$4</f>
        <v>0</v>
      </c>
      <c r="BX36"/>
    </row>
    <row r="37" spans="1:76" x14ac:dyDescent="0.4">
      <c r="X37"/>
      <c r="AO37"/>
      <c r="BX37"/>
    </row>
    <row r="38" spans="1:76" x14ac:dyDescent="0.4">
      <c r="X38"/>
      <c r="AO38"/>
      <c r="BX38"/>
    </row>
    <row r="39" spans="1:76" x14ac:dyDescent="0.4">
      <c r="X39"/>
      <c r="AO39"/>
      <c r="BX39"/>
    </row>
    <row r="40" spans="1:76" x14ac:dyDescent="0.4">
      <c r="X40"/>
      <c r="AO40"/>
      <c r="BX40"/>
    </row>
    <row r="41" spans="1:76" x14ac:dyDescent="0.4">
      <c r="X41"/>
      <c r="AO41"/>
      <c r="BX41"/>
    </row>
    <row r="42" spans="1:76" x14ac:dyDescent="0.4">
      <c r="X42"/>
      <c r="AO42"/>
      <c r="BX42"/>
    </row>
    <row r="43" spans="1:76" x14ac:dyDescent="0.4">
      <c r="X43"/>
      <c r="AO43"/>
      <c r="BX43"/>
    </row>
    <row r="44" spans="1:76" x14ac:dyDescent="0.4">
      <c r="X44"/>
      <c r="AO44"/>
      <c r="BX44"/>
    </row>
    <row r="45" spans="1:76" x14ac:dyDescent="0.4">
      <c r="X45"/>
      <c r="AO45"/>
      <c r="BX45"/>
    </row>
    <row r="46" spans="1:76" x14ac:dyDescent="0.4">
      <c r="X46"/>
      <c r="AO46"/>
      <c r="BX46"/>
    </row>
    <row r="47" spans="1:76" x14ac:dyDescent="0.4">
      <c r="X47"/>
      <c r="AO47"/>
      <c r="BX47"/>
    </row>
    <row r="48" spans="1:76" x14ac:dyDescent="0.4">
      <c r="X48"/>
      <c r="AO48"/>
      <c r="BX48"/>
    </row>
    <row r="49" spans="24:76" x14ac:dyDescent="0.4">
      <c r="X49"/>
      <c r="AO49"/>
      <c r="BX49"/>
    </row>
    <row r="50" spans="24:76" x14ac:dyDescent="0.4">
      <c r="X50"/>
      <c r="AO50"/>
      <c r="BX50"/>
    </row>
    <row r="51" spans="24:76" x14ac:dyDescent="0.4">
      <c r="X51"/>
      <c r="AO51"/>
      <c r="BX51"/>
    </row>
    <row r="52" spans="24:76" x14ac:dyDescent="0.4">
      <c r="X52"/>
      <c r="AO52"/>
      <c r="BX52"/>
    </row>
    <row r="53" spans="24:76" x14ac:dyDescent="0.4">
      <c r="X53"/>
      <c r="AO53"/>
      <c r="BX53"/>
    </row>
    <row r="54" spans="24:76" x14ac:dyDescent="0.4">
      <c r="X54"/>
      <c r="AO54"/>
      <c r="BX54"/>
    </row>
    <row r="55" spans="24:76" x14ac:dyDescent="0.4">
      <c r="X55"/>
      <c r="AO55"/>
      <c r="BX55"/>
    </row>
    <row r="56" spans="24:76" x14ac:dyDescent="0.4">
      <c r="X56"/>
      <c r="AO56"/>
      <c r="BX56"/>
    </row>
    <row r="57" spans="24:76" x14ac:dyDescent="0.4">
      <c r="X57"/>
      <c r="AO57"/>
      <c r="BX57"/>
    </row>
    <row r="58" spans="24:76" x14ac:dyDescent="0.4">
      <c r="X58"/>
      <c r="AO58"/>
      <c r="BX58"/>
    </row>
    <row r="59" spans="24:76" x14ac:dyDescent="0.4">
      <c r="X59"/>
      <c r="AO59"/>
      <c r="BX59"/>
    </row>
    <row r="60" spans="24:76" x14ac:dyDescent="0.4">
      <c r="X60"/>
      <c r="AO60"/>
      <c r="BX60"/>
    </row>
    <row r="61" spans="24:76" x14ac:dyDescent="0.4">
      <c r="X61"/>
      <c r="AO61"/>
      <c r="BX61"/>
    </row>
    <row r="62" spans="24:76" x14ac:dyDescent="0.4">
      <c r="X62"/>
      <c r="AO62"/>
      <c r="BX62"/>
    </row>
    <row r="63" spans="24:76" x14ac:dyDescent="0.4">
      <c r="X63"/>
      <c r="AO63"/>
      <c r="BX63"/>
    </row>
    <row r="64" spans="24:76" x14ac:dyDescent="0.4">
      <c r="X64"/>
      <c r="AO64"/>
      <c r="BX64"/>
    </row>
    <row r="65" spans="24:76" x14ac:dyDescent="0.4">
      <c r="X65"/>
      <c r="AO65"/>
      <c r="BX65"/>
    </row>
    <row r="66" spans="24:76" x14ac:dyDescent="0.4">
      <c r="X66"/>
      <c r="AO66"/>
      <c r="BX66"/>
    </row>
    <row r="67" spans="24:76" x14ac:dyDescent="0.4">
      <c r="X67"/>
      <c r="AO67"/>
      <c r="BX67"/>
    </row>
    <row r="68" spans="24:76" x14ac:dyDescent="0.4">
      <c r="X68"/>
      <c r="AO68"/>
      <c r="BX68"/>
    </row>
    <row r="69" spans="24:76" x14ac:dyDescent="0.4">
      <c r="X69"/>
      <c r="AO69"/>
      <c r="BX69"/>
    </row>
    <row r="70" spans="24:76" x14ac:dyDescent="0.4">
      <c r="X70"/>
      <c r="AO70"/>
      <c r="BX70"/>
    </row>
    <row r="71" spans="24:76" x14ac:dyDescent="0.4">
      <c r="X71"/>
      <c r="AO71"/>
      <c r="BX71"/>
    </row>
    <row r="72" spans="24:76" x14ac:dyDescent="0.4">
      <c r="X72"/>
      <c r="AO72"/>
      <c r="BX72"/>
    </row>
    <row r="73" spans="24:76" x14ac:dyDescent="0.4">
      <c r="X73"/>
      <c r="AO73"/>
      <c r="BX73"/>
    </row>
    <row r="74" spans="24:76" x14ac:dyDescent="0.4">
      <c r="X74"/>
      <c r="AO74"/>
      <c r="BX74"/>
    </row>
    <row r="75" spans="24:76" x14ac:dyDescent="0.4">
      <c r="X75"/>
      <c r="AO75"/>
      <c r="BX75"/>
    </row>
    <row r="76" spans="24:76" x14ac:dyDescent="0.4">
      <c r="X76"/>
      <c r="AO76"/>
      <c r="BX76"/>
    </row>
    <row r="77" spans="24:76" x14ac:dyDescent="0.4">
      <c r="X77"/>
      <c r="AO77"/>
      <c r="BX77"/>
    </row>
    <row r="78" spans="24:76" x14ac:dyDescent="0.4">
      <c r="X78"/>
      <c r="AO78"/>
      <c r="BX78"/>
    </row>
    <row r="79" spans="24:76" x14ac:dyDescent="0.4">
      <c r="X79"/>
      <c r="AO79"/>
      <c r="BX79"/>
    </row>
    <row r="80" spans="24:76" x14ac:dyDescent="0.4">
      <c r="X80"/>
      <c r="AO80"/>
      <c r="BX80"/>
    </row>
    <row r="81" spans="24:76" x14ac:dyDescent="0.4">
      <c r="X81"/>
      <c r="AO81"/>
      <c r="BX81"/>
    </row>
    <row r="82" spans="24:76" x14ac:dyDescent="0.4">
      <c r="X82"/>
      <c r="AO82"/>
      <c r="BX82"/>
    </row>
    <row r="83" spans="24:76" x14ac:dyDescent="0.4">
      <c r="X83"/>
      <c r="AO83"/>
      <c r="BX83"/>
    </row>
    <row r="84" spans="24:76" x14ac:dyDescent="0.4">
      <c r="X84"/>
      <c r="AO84"/>
      <c r="BX84"/>
    </row>
    <row r="85" spans="24:76" x14ac:dyDescent="0.4">
      <c r="X85"/>
      <c r="AO85"/>
      <c r="BX85"/>
    </row>
    <row r="86" spans="24:76" x14ac:dyDescent="0.4">
      <c r="X86"/>
      <c r="AO86"/>
      <c r="BX86"/>
    </row>
    <row r="87" spans="24:76" x14ac:dyDescent="0.4">
      <c r="X87"/>
      <c r="AO87"/>
      <c r="BX87"/>
    </row>
    <row r="88" spans="24:76" x14ac:dyDescent="0.4">
      <c r="X88"/>
      <c r="AO88"/>
      <c r="BX88"/>
    </row>
    <row r="89" spans="24:76" x14ac:dyDescent="0.4">
      <c r="X89"/>
      <c r="AO89"/>
      <c r="BX89"/>
    </row>
    <row r="90" spans="24:76" x14ac:dyDescent="0.4">
      <c r="X90"/>
      <c r="AO90"/>
      <c r="BX90"/>
    </row>
    <row r="91" spans="24:76" x14ac:dyDescent="0.4">
      <c r="X91"/>
      <c r="AO91"/>
      <c r="BX91"/>
    </row>
    <row r="92" spans="24:76" x14ac:dyDescent="0.4">
      <c r="X92"/>
      <c r="AO92"/>
      <c r="BX92"/>
    </row>
    <row r="93" spans="24:76" x14ac:dyDescent="0.4">
      <c r="X93"/>
      <c r="AO93"/>
      <c r="BX93"/>
    </row>
    <row r="94" spans="24:76" x14ac:dyDescent="0.4">
      <c r="X94"/>
      <c r="AO94"/>
      <c r="BX94"/>
    </row>
    <row r="95" spans="24:76" x14ac:dyDescent="0.4">
      <c r="X95"/>
      <c r="AO95"/>
      <c r="BX95"/>
    </row>
    <row r="96" spans="24:76" x14ac:dyDescent="0.4">
      <c r="X96"/>
      <c r="AO96"/>
      <c r="BX96"/>
    </row>
    <row r="97" spans="24:76" x14ac:dyDescent="0.4">
      <c r="X97"/>
      <c r="AO97"/>
      <c r="BX97"/>
    </row>
    <row r="98" spans="24:76" x14ac:dyDescent="0.4">
      <c r="X98"/>
      <c r="AO98"/>
      <c r="BX98"/>
    </row>
    <row r="99" spans="24:76" x14ac:dyDescent="0.4">
      <c r="X99"/>
      <c r="AO99"/>
      <c r="BX99"/>
    </row>
    <row r="100" spans="24:76" x14ac:dyDescent="0.4">
      <c r="X100"/>
      <c r="AO100"/>
      <c r="BX100"/>
    </row>
    <row r="101" spans="24:76" x14ac:dyDescent="0.4">
      <c r="X101"/>
      <c r="AO101"/>
      <c r="BX101"/>
    </row>
    <row r="102" spans="24:76" x14ac:dyDescent="0.4">
      <c r="X102"/>
      <c r="AO102"/>
      <c r="BX102"/>
    </row>
    <row r="103" spans="24:76" x14ac:dyDescent="0.4">
      <c r="X103"/>
      <c r="AO103"/>
      <c r="BX103"/>
    </row>
    <row r="104" spans="24:76" x14ac:dyDescent="0.4">
      <c r="X104"/>
      <c r="AO104"/>
      <c r="BX104"/>
    </row>
    <row r="105" spans="24:76" x14ac:dyDescent="0.4">
      <c r="X105"/>
      <c r="AO105"/>
      <c r="BX105"/>
    </row>
    <row r="106" spans="24:76" x14ac:dyDescent="0.4">
      <c r="X106"/>
      <c r="AO106"/>
      <c r="BX106"/>
    </row>
    <row r="107" spans="24:76" x14ac:dyDescent="0.4">
      <c r="X107"/>
      <c r="AO107"/>
      <c r="BX107"/>
    </row>
    <row r="108" spans="24:76" x14ac:dyDescent="0.4">
      <c r="X108"/>
      <c r="AO108"/>
      <c r="BX108"/>
    </row>
    <row r="109" spans="24:76" x14ac:dyDescent="0.4">
      <c r="X109"/>
      <c r="AO109"/>
      <c r="BX109"/>
    </row>
    <row r="110" spans="24:76" x14ac:dyDescent="0.4">
      <c r="X110"/>
      <c r="AO110"/>
      <c r="BX110"/>
    </row>
    <row r="111" spans="24:76" x14ac:dyDescent="0.4">
      <c r="X111"/>
      <c r="AO111"/>
      <c r="BX111"/>
    </row>
    <row r="112" spans="24:76" x14ac:dyDescent="0.4">
      <c r="X112"/>
      <c r="AO112"/>
      <c r="BX112"/>
    </row>
    <row r="113" spans="24:76" x14ac:dyDescent="0.4">
      <c r="X113"/>
      <c r="AO113"/>
      <c r="BX113"/>
    </row>
    <row r="114" spans="24:76" x14ac:dyDescent="0.4">
      <c r="X114"/>
      <c r="AO114"/>
      <c r="BX114"/>
    </row>
    <row r="115" spans="24:76" x14ac:dyDescent="0.4">
      <c r="X115"/>
      <c r="AO115"/>
      <c r="BX115"/>
    </row>
    <row r="116" spans="24:76" x14ac:dyDescent="0.4">
      <c r="X116"/>
      <c r="AO116"/>
      <c r="BX116"/>
    </row>
    <row r="117" spans="24:76" x14ac:dyDescent="0.4">
      <c r="X117"/>
      <c r="AO117"/>
      <c r="BX117"/>
    </row>
    <row r="118" spans="24:76" x14ac:dyDescent="0.4">
      <c r="X118"/>
      <c r="AO118"/>
      <c r="BX118"/>
    </row>
    <row r="119" spans="24:76" x14ac:dyDescent="0.4">
      <c r="X119"/>
      <c r="AO119"/>
      <c r="BX119"/>
    </row>
    <row r="120" spans="24:76" x14ac:dyDescent="0.4">
      <c r="X120"/>
      <c r="AO120"/>
      <c r="BX120"/>
    </row>
    <row r="121" spans="24:76" x14ac:dyDescent="0.4">
      <c r="X121"/>
      <c r="AO121"/>
      <c r="BX121"/>
    </row>
    <row r="122" spans="24:76" x14ac:dyDescent="0.4">
      <c r="X122"/>
      <c r="AO122"/>
      <c r="BX122"/>
    </row>
    <row r="123" spans="24:76" x14ac:dyDescent="0.4">
      <c r="X123"/>
      <c r="AO123"/>
      <c r="BX123"/>
    </row>
    <row r="124" spans="24:76" x14ac:dyDescent="0.4">
      <c r="X124"/>
      <c r="AO124"/>
      <c r="BX124"/>
    </row>
    <row r="125" spans="24:76" x14ac:dyDescent="0.4">
      <c r="X125"/>
      <c r="AO125"/>
      <c r="BX125"/>
    </row>
    <row r="126" spans="24:76" x14ac:dyDescent="0.4">
      <c r="X126"/>
      <c r="AO126"/>
      <c r="BX126"/>
    </row>
    <row r="127" spans="24:76" x14ac:dyDescent="0.4">
      <c r="X127"/>
      <c r="AO127"/>
      <c r="BX127"/>
    </row>
    <row r="128" spans="24:76" x14ac:dyDescent="0.4">
      <c r="X128"/>
      <c r="AO128"/>
      <c r="BX128"/>
    </row>
    <row r="129" spans="24:76" x14ac:dyDescent="0.4">
      <c r="X129"/>
      <c r="AO129"/>
      <c r="BX129"/>
    </row>
    <row r="130" spans="24:76" x14ac:dyDescent="0.4">
      <c r="X130"/>
      <c r="AO130"/>
      <c r="BX130"/>
    </row>
    <row r="131" spans="24:76" x14ac:dyDescent="0.4">
      <c r="X131"/>
      <c r="AO131"/>
      <c r="BX131"/>
    </row>
    <row r="132" spans="24:76" x14ac:dyDescent="0.4">
      <c r="X132"/>
      <c r="AO132"/>
      <c r="BX132"/>
    </row>
    <row r="133" spans="24:76" x14ac:dyDescent="0.4">
      <c r="X133"/>
      <c r="AO133"/>
      <c r="BX133"/>
    </row>
    <row r="134" spans="24:76" x14ac:dyDescent="0.4">
      <c r="X134"/>
      <c r="AO134"/>
      <c r="BX134"/>
    </row>
    <row r="135" spans="24:76" x14ac:dyDescent="0.4">
      <c r="X135"/>
      <c r="AO135"/>
      <c r="BX135"/>
    </row>
    <row r="136" spans="24:76" x14ac:dyDescent="0.4">
      <c r="X136"/>
      <c r="AO136"/>
      <c r="BX136"/>
    </row>
    <row r="137" spans="24:76" x14ac:dyDescent="0.4">
      <c r="X137"/>
      <c r="AO137"/>
      <c r="BX137"/>
    </row>
    <row r="138" spans="24:76" x14ac:dyDescent="0.4">
      <c r="X138"/>
      <c r="AO138"/>
      <c r="BX138"/>
    </row>
    <row r="139" spans="24:76" x14ac:dyDescent="0.4">
      <c r="X139"/>
      <c r="AO139"/>
      <c r="BX139"/>
    </row>
    <row r="140" spans="24:76" x14ac:dyDescent="0.4">
      <c r="X140"/>
      <c r="AO140"/>
      <c r="BX140"/>
    </row>
    <row r="141" spans="24:76" x14ac:dyDescent="0.4">
      <c r="X141"/>
      <c r="AO141"/>
      <c r="BX141"/>
    </row>
    <row r="142" spans="24:76" x14ac:dyDescent="0.4">
      <c r="X142"/>
      <c r="AO142"/>
      <c r="BX142"/>
    </row>
    <row r="143" spans="24:76" x14ac:dyDescent="0.4">
      <c r="X143"/>
      <c r="AO143"/>
      <c r="BX143"/>
    </row>
    <row r="144" spans="24:76" x14ac:dyDescent="0.4">
      <c r="X144"/>
      <c r="AO144"/>
      <c r="BX144"/>
    </row>
    <row r="145" spans="24:76" x14ac:dyDescent="0.4">
      <c r="X145"/>
      <c r="AO145"/>
      <c r="BX145"/>
    </row>
    <row r="146" spans="24:76" x14ac:dyDescent="0.4">
      <c r="X146"/>
      <c r="AO146"/>
      <c r="BX146"/>
    </row>
    <row r="147" spans="24:76" x14ac:dyDescent="0.4">
      <c r="X147"/>
      <c r="AO147"/>
      <c r="BX147"/>
    </row>
    <row r="148" spans="24:76" x14ac:dyDescent="0.4">
      <c r="X148"/>
      <c r="AO148"/>
      <c r="BX148"/>
    </row>
    <row r="149" spans="24:76" x14ac:dyDescent="0.4">
      <c r="X149"/>
      <c r="AO149"/>
      <c r="BX149"/>
    </row>
    <row r="150" spans="24:76" x14ac:dyDescent="0.4">
      <c r="X150"/>
      <c r="AO150"/>
      <c r="BX150"/>
    </row>
    <row r="151" spans="24:76" x14ac:dyDescent="0.4">
      <c r="X151"/>
      <c r="AO151"/>
      <c r="BX151"/>
    </row>
    <row r="152" spans="24:76" x14ac:dyDescent="0.4">
      <c r="X152"/>
      <c r="AO152"/>
      <c r="BX152"/>
    </row>
    <row r="153" spans="24:76" x14ac:dyDescent="0.4">
      <c r="X153"/>
      <c r="AO153"/>
      <c r="BX153"/>
    </row>
    <row r="154" spans="24:76" x14ac:dyDescent="0.4">
      <c r="X154"/>
      <c r="AO154"/>
      <c r="BX154"/>
    </row>
    <row r="155" spans="24:76" x14ac:dyDescent="0.4">
      <c r="X155"/>
      <c r="AO155"/>
      <c r="BX155"/>
    </row>
    <row r="156" spans="24:76" x14ac:dyDescent="0.4">
      <c r="X156"/>
      <c r="AO156"/>
      <c r="BX156"/>
    </row>
    <row r="157" spans="24:76" x14ac:dyDescent="0.4">
      <c r="X157"/>
      <c r="AO157"/>
      <c r="BX157"/>
    </row>
    <row r="158" spans="24:76" x14ac:dyDescent="0.4">
      <c r="X158"/>
      <c r="AO158"/>
      <c r="BX158"/>
    </row>
    <row r="159" spans="24:76" x14ac:dyDescent="0.4">
      <c r="X159"/>
      <c r="AO159"/>
      <c r="BX159"/>
    </row>
    <row r="160" spans="24:76" x14ac:dyDescent="0.4">
      <c r="X160"/>
      <c r="AO160"/>
      <c r="BX160"/>
    </row>
    <row r="161" spans="24:76" x14ac:dyDescent="0.4">
      <c r="X161"/>
      <c r="AO161"/>
      <c r="BX161"/>
    </row>
    <row r="162" spans="24:76" x14ac:dyDescent="0.4">
      <c r="X162"/>
      <c r="AO162"/>
      <c r="BX162"/>
    </row>
    <row r="163" spans="24:76" x14ac:dyDescent="0.4">
      <c r="X163"/>
      <c r="AO163"/>
      <c r="BX163"/>
    </row>
    <row r="164" spans="24:76" x14ac:dyDescent="0.4">
      <c r="X164"/>
      <c r="AO164"/>
      <c r="BX164"/>
    </row>
    <row r="165" spans="24:76" x14ac:dyDescent="0.4">
      <c r="X165"/>
      <c r="AO165"/>
      <c r="BX165"/>
    </row>
    <row r="166" spans="24:76" x14ac:dyDescent="0.4">
      <c r="X166"/>
      <c r="AO166"/>
      <c r="BX166"/>
    </row>
    <row r="167" spans="24:76" x14ac:dyDescent="0.4">
      <c r="X167"/>
      <c r="AO167"/>
      <c r="BX167"/>
    </row>
    <row r="168" spans="24:76" x14ac:dyDescent="0.4">
      <c r="X168"/>
      <c r="AO168"/>
      <c r="BX168"/>
    </row>
    <row r="169" spans="24:76" x14ac:dyDescent="0.4">
      <c r="X169"/>
      <c r="AO169"/>
      <c r="BX169"/>
    </row>
    <row r="170" spans="24:76" x14ac:dyDescent="0.4">
      <c r="X170"/>
      <c r="AO170"/>
      <c r="BX170"/>
    </row>
    <row r="171" spans="24:76" x14ac:dyDescent="0.4">
      <c r="X171"/>
      <c r="AO171"/>
      <c r="BX171"/>
    </row>
    <row r="172" spans="24:76" x14ac:dyDescent="0.4">
      <c r="X172"/>
      <c r="AO172"/>
      <c r="BX172"/>
    </row>
    <row r="173" spans="24:76" x14ac:dyDescent="0.4">
      <c r="X173"/>
      <c r="AO173"/>
      <c r="BX173"/>
    </row>
    <row r="174" spans="24:76" x14ac:dyDescent="0.4">
      <c r="X174"/>
      <c r="AO174"/>
      <c r="BX174"/>
    </row>
    <row r="175" spans="24:76" x14ac:dyDescent="0.4">
      <c r="X175"/>
      <c r="AO175"/>
      <c r="BX175"/>
    </row>
    <row r="176" spans="24:76" x14ac:dyDescent="0.4">
      <c r="X176"/>
      <c r="AO176"/>
      <c r="BX176"/>
    </row>
    <row r="177" spans="24:76" x14ac:dyDescent="0.4">
      <c r="X177"/>
      <c r="AO177"/>
      <c r="BX177"/>
    </row>
    <row r="178" spans="24:76" x14ac:dyDescent="0.4">
      <c r="X178"/>
      <c r="AO178"/>
      <c r="BX178"/>
    </row>
    <row r="179" spans="24:76" x14ac:dyDescent="0.4">
      <c r="X179"/>
      <c r="AO179"/>
      <c r="BX179"/>
    </row>
    <row r="180" spans="24:76" x14ac:dyDescent="0.4">
      <c r="X180"/>
      <c r="AO180"/>
      <c r="BX180"/>
    </row>
    <row r="181" spans="24:76" x14ac:dyDescent="0.4">
      <c r="X181"/>
      <c r="AO181"/>
      <c r="BX181"/>
    </row>
    <row r="182" spans="24:76" x14ac:dyDescent="0.4">
      <c r="X182"/>
      <c r="AO182"/>
      <c r="BX182"/>
    </row>
    <row r="183" spans="24:76" x14ac:dyDescent="0.4">
      <c r="X183"/>
      <c r="AO183"/>
      <c r="BX183"/>
    </row>
    <row r="184" spans="24:76" x14ac:dyDescent="0.4">
      <c r="X184"/>
      <c r="AO184"/>
      <c r="BX184"/>
    </row>
    <row r="185" spans="24:76" x14ac:dyDescent="0.4">
      <c r="X185"/>
      <c r="AO185"/>
      <c r="BX185"/>
    </row>
    <row r="186" spans="24:76" x14ac:dyDescent="0.4">
      <c r="X186"/>
      <c r="AO186"/>
      <c r="BX186"/>
    </row>
    <row r="187" spans="24:76" x14ac:dyDescent="0.4">
      <c r="X187"/>
      <c r="AO187"/>
      <c r="BX187"/>
    </row>
    <row r="188" spans="24:76" x14ac:dyDescent="0.4">
      <c r="X188"/>
      <c r="AO188"/>
      <c r="BX188"/>
    </row>
    <row r="189" spans="24:76" x14ac:dyDescent="0.4">
      <c r="X189"/>
      <c r="AO189"/>
      <c r="BX189"/>
    </row>
    <row r="190" spans="24:76" x14ac:dyDescent="0.4">
      <c r="X190"/>
      <c r="AO190"/>
      <c r="BX190"/>
    </row>
    <row r="191" spans="24:76" x14ac:dyDescent="0.4">
      <c r="X191"/>
      <c r="AO191"/>
      <c r="BX191"/>
    </row>
    <row r="192" spans="24:76" x14ac:dyDescent="0.4">
      <c r="X192"/>
      <c r="AO192"/>
      <c r="BX192"/>
    </row>
    <row r="193" spans="24:76" x14ac:dyDescent="0.4">
      <c r="X193"/>
      <c r="AO193"/>
      <c r="BX193"/>
    </row>
    <row r="194" spans="24:76" x14ac:dyDescent="0.4">
      <c r="X194"/>
      <c r="AO194"/>
      <c r="BX194"/>
    </row>
    <row r="195" spans="24:76" x14ac:dyDescent="0.4">
      <c r="X195"/>
      <c r="AO195"/>
      <c r="BX195"/>
    </row>
    <row r="196" spans="24:76" x14ac:dyDescent="0.4">
      <c r="X196"/>
      <c r="AO196"/>
      <c r="BX196"/>
    </row>
    <row r="197" spans="24:76" x14ac:dyDescent="0.4">
      <c r="X197"/>
      <c r="AO197"/>
      <c r="BX197"/>
    </row>
    <row r="198" spans="24:76" x14ac:dyDescent="0.4">
      <c r="X198"/>
      <c r="AO198"/>
      <c r="BX198"/>
    </row>
    <row r="199" spans="24:76" x14ac:dyDescent="0.4">
      <c r="X199"/>
      <c r="AO199"/>
      <c r="BX199"/>
    </row>
    <row r="200" spans="24:76" x14ac:dyDescent="0.4">
      <c r="X200"/>
      <c r="AO200"/>
      <c r="BX200"/>
    </row>
    <row r="201" spans="24:76" x14ac:dyDescent="0.4">
      <c r="X201"/>
      <c r="AO201"/>
      <c r="BX201"/>
    </row>
    <row r="202" spans="24:76" x14ac:dyDescent="0.4">
      <c r="X202"/>
      <c r="AO202"/>
      <c r="BX202"/>
    </row>
    <row r="203" spans="24:76" x14ac:dyDescent="0.4">
      <c r="X203"/>
      <c r="AO203"/>
      <c r="BX203"/>
    </row>
    <row r="204" spans="24:76" x14ac:dyDescent="0.4">
      <c r="X204"/>
      <c r="AO204"/>
      <c r="BX204"/>
    </row>
    <row r="205" spans="24:76" x14ac:dyDescent="0.4">
      <c r="X205"/>
      <c r="AO205"/>
      <c r="BX205"/>
    </row>
    <row r="206" spans="24:76" x14ac:dyDescent="0.4">
      <c r="X206"/>
      <c r="AO206"/>
      <c r="BX206"/>
    </row>
    <row r="207" spans="24:76" x14ac:dyDescent="0.4">
      <c r="X207"/>
      <c r="AO207"/>
      <c r="BX207"/>
    </row>
    <row r="208" spans="24:76" x14ac:dyDescent="0.4">
      <c r="X208"/>
      <c r="AO208"/>
      <c r="BX208"/>
    </row>
    <row r="209" spans="24:76" x14ac:dyDescent="0.4">
      <c r="X209"/>
      <c r="AO209"/>
      <c r="BX209"/>
    </row>
    <row r="210" spans="24:76" x14ac:dyDescent="0.4">
      <c r="X210"/>
      <c r="AO210"/>
      <c r="BX210"/>
    </row>
    <row r="211" spans="24:76" x14ac:dyDescent="0.4">
      <c r="X211"/>
      <c r="AO211"/>
      <c r="BX211"/>
    </row>
    <row r="212" spans="24:76" x14ac:dyDescent="0.4">
      <c r="X212"/>
      <c r="AO212"/>
      <c r="BX212"/>
    </row>
    <row r="213" spans="24:76" x14ac:dyDescent="0.4">
      <c r="X213"/>
      <c r="AO213"/>
      <c r="BX213"/>
    </row>
    <row r="214" spans="24:76" x14ac:dyDescent="0.4">
      <c r="X214"/>
      <c r="AO214"/>
      <c r="BX214"/>
    </row>
    <row r="215" spans="24:76" x14ac:dyDescent="0.4">
      <c r="X215"/>
      <c r="AO215"/>
      <c r="BX215"/>
    </row>
    <row r="216" spans="24:76" x14ac:dyDescent="0.4">
      <c r="X216"/>
      <c r="AO216"/>
      <c r="BX216"/>
    </row>
    <row r="217" spans="24:76" x14ac:dyDescent="0.4">
      <c r="X217"/>
      <c r="AO217"/>
      <c r="BX217"/>
    </row>
    <row r="218" spans="24:76" x14ac:dyDescent="0.4">
      <c r="X218"/>
      <c r="AO218"/>
      <c r="BX218"/>
    </row>
    <row r="219" spans="24:76" x14ac:dyDescent="0.4">
      <c r="X219"/>
      <c r="AO219"/>
      <c r="BX219"/>
    </row>
    <row r="220" spans="24:76" x14ac:dyDescent="0.4">
      <c r="X220"/>
      <c r="AO220"/>
      <c r="BX220"/>
    </row>
    <row r="221" spans="24:76" x14ac:dyDescent="0.4">
      <c r="X221"/>
      <c r="AO221"/>
      <c r="BX221"/>
    </row>
    <row r="222" spans="24:76" x14ac:dyDescent="0.4">
      <c r="X222"/>
      <c r="AO222"/>
      <c r="BX222"/>
    </row>
    <row r="223" spans="24:76" x14ac:dyDescent="0.4">
      <c r="X223"/>
      <c r="AO223"/>
      <c r="BX223"/>
    </row>
    <row r="224" spans="24:76" x14ac:dyDescent="0.4">
      <c r="X224"/>
      <c r="AO224"/>
      <c r="BX224"/>
    </row>
    <row r="225" spans="24:76" x14ac:dyDescent="0.4">
      <c r="X225"/>
      <c r="AO225"/>
      <c r="BX225"/>
    </row>
    <row r="226" spans="24:76" x14ac:dyDescent="0.4">
      <c r="X226"/>
      <c r="AO226"/>
      <c r="BX226"/>
    </row>
    <row r="227" spans="24:76" x14ac:dyDescent="0.4">
      <c r="X227"/>
      <c r="AO227"/>
      <c r="BX227"/>
    </row>
    <row r="228" spans="24:76" x14ac:dyDescent="0.4">
      <c r="X228"/>
      <c r="AO228"/>
      <c r="BX228"/>
    </row>
    <row r="229" spans="24:76" x14ac:dyDescent="0.4">
      <c r="X229"/>
      <c r="AO229"/>
      <c r="BX229"/>
    </row>
    <row r="230" spans="24:76" x14ac:dyDescent="0.4">
      <c r="X230"/>
      <c r="AO230"/>
      <c r="BX230"/>
    </row>
    <row r="231" spans="24:76" x14ac:dyDescent="0.4">
      <c r="X231"/>
      <c r="AO231"/>
      <c r="BX231"/>
    </row>
    <row r="232" spans="24:76" x14ac:dyDescent="0.4">
      <c r="X232"/>
      <c r="AO232"/>
      <c r="BX232"/>
    </row>
    <row r="233" spans="24:76" x14ac:dyDescent="0.4">
      <c r="X233"/>
      <c r="AO233"/>
      <c r="BX233"/>
    </row>
    <row r="234" spans="24:76" x14ac:dyDescent="0.4">
      <c r="X234"/>
      <c r="AO234"/>
      <c r="BX234"/>
    </row>
    <row r="235" spans="24:76" x14ac:dyDescent="0.4">
      <c r="X235"/>
      <c r="AO235"/>
      <c r="BX235"/>
    </row>
    <row r="236" spans="24:76" x14ac:dyDescent="0.4">
      <c r="X236"/>
      <c r="AO236"/>
      <c r="BX236"/>
    </row>
    <row r="237" spans="24:76" x14ac:dyDescent="0.4">
      <c r="X237"/>
      <c r="AO237"/>
      <c r="BX237"/>
    </row>
    <row r="238" spans="24:76" x14ac:dyDescent="0.4">
      <c r="X238"/>
      <c r="AO238"/>
      <c r="BX238"/>
    </row>
    <row r="239" spans="24:76" x14ac:dyDescent="0.4">
      <c r="X239"/>
      <c r="AO239"/>
      <c r="BX239"/>
    </row>
    <row r="240" spans="24:76" x14ac:dyDescent="0.4">
      <c r="X240"/>
      <c r="AO240"/>
      <c r="BX240"/>
    </row>
    <row r="241" spans="24:76" x14ac:dyDescent="0.4">
      <c r="X241"/>
      <c r="AO241"/>
      <c r="BX241"/>
    </row>
    <row r="242" spans="24:76" x14ac:dyDescent="0.4">
      <c r="X242"/>
      <c r="AO242"/>
      <c r="BX242"/>
    </row>
    <row r="243" spans="24:76" x14ac:dyDescent="0.4">
      <c r="X243"/>
      <c r="AO243"/>
      <c r="BX243"/>
    </row>
    <row r="244" spans="24:76" x14ac:dyDescent="0.4">
      <c r="X244"/>
      <c r="AO244"/>
      <c r="BX244"/>
    </row>
    <row r="245" spans="24:76" x14ac:dyDescent="0.4">
      <c r="X245"/>
      <c r="AO245"/>
      <c r="BX245"/>
    </row>
    <row r="246" spans="24:76" x14ac:dyDescent="0.4">
      <c r="X246"/>
      <c r="AO246"/>
      <c r="BX246"/>
    </row>
    <row r="247" spans="24:76" x14ac:dyDescent="0.4">
      <c r="X247"/>
      <c r="AO247"/>
      <c r="BX247"/>
    </row>
    <row r="248" spans="24:76" x14ac:dyDescent="0.4">
      <c r="X248"/>
      <c r="AO248"/>
      <c r="BX248"/>
    </row>
    <row r="249" spans="24:76" x14ac:dyDescent="0.4">
      <c r="X249"/>
      <c r="AO249"/>
      <c r="BX249"/>
    </row>
    <row r="250" spans="24:76" x14ac:dyDescent="0.4">
      <c r="X250"/>
      <c r="AO250"/>
      <c r="BX250"/>
    </row>
    <row r="251" spans="24:76" x14ac:dyDescent="0.4">
      <c r="X251"/>
      <c r="AO251"/>
      <c r="BX251"/>
    </row>
    <row r="252" spans="24:76" x14ac:dyDescent="0.4">
      <c r="X252"/>
      <c r="AO252"/>
      <c r="BX252"/>
    </row>
    <row r="253" spans="24:76" x14ac:dyDescent="0.4">
      <c r="X253"/>
      <c r="AO253"/>
      <c r="BX253"/>
    </row>
    <row r="254" spans="24:76" x14ac:dyDescent="0.4">
      <c r="X254"/>
      <c r="AO254"/>
      <c r="BX254"/>
    </row>
    <row r="255" spans="24:76" x14ac:dyDescent="0.4">
      <c r="X255"/>
      <c r="AO255"/>
      <c r="BX255"/>
    </row>
    <row r="256" spans="24:76" x14ac:dyDescent="0.4">
      <c r="X256"/>
      <c r="AO256"/>
      <c r="BX256"/>
    </row>
    <row r="257" spans="24:76" x14ac:dyDescent="0.4">
      <c r="X257"/>
      <c r="AO257"/>
      <c r="BX257"/>
    </row>
    <row r="258" spans="24:76" x14ac:dyDescent="0.4">
      <c r="X258"/>
      <c r="AO258"/>
      <c r="BX258"/>
    </row>
    <row r="259" spans="24:76" x14ac:dyDescent="0.4">
      <c r="X259"/>
      <c r="AO259"/>
      <c r="BX259"/>
    </row>
    <row r="260" spans="24:76" x14ac:dyDescent="0.4">
      <c r="X260"/>
      <c r="AO260"/>
      <c r="BX260"/>
    </row>
    <row r="261" spans="24:76" x14ac:dyDescent="0.4">
      <c r="X261"/>
      <c r="AO261"/>
      <c r="BX261"/>
    </row>
    <row r="262" spans="24:76" x14ac:dyDescent="0.4">
      <c r="X262"/>
      <c r="AO262"/>
      <c r="BX262"/>
    </row>
    <row r="263" spans="24:76" x14ac:dyDescent="0.4">
      <c r="X263"/>
      <c r="AO263"/>
      <c r="BX263"/>
    </row>
    <row r="264" spans="24:76" x14ac:dyDescent="0.4">
      <c r="X264"/>
      <c r="AO264"/>
      <c r="BX264"/>
    </row>
    <row r="265" spans="24:76" x14ac:dyDescent="0.4">
      <c r="X265"/>
      <c r="AO265"/>
      <c r="BX265"/>
    </row>
    <row r="266" spans="24:76" x14ac:dyDescent="0.4">
      <c r="X266"/>
      <c r="AO266"/>
      <c r="BX266"/>
    </row>
    <row r="267" spans="24:76" x14ac:dyDescent="0.4">
      <c r="X267"/>
      <c r="AO267"/>
      <c r="BX267"/>
    </row>
    <row r="268" spans="24:76" x14ac:dyDescent="0.4">
      <c r="X268"/>
      <c r="AO268"/>
      <c r="BX268"/>
    </row>
    <row r="269" spans="24:76" x14ac:dyDescent="0.4">
      <c r="X269"/>
      <c r="AO269"/>
      <c r="BX269"/>
    </row>
    <row r="270" spans="24:76" x14ac:dyDescent="0.4">
      <c r="X270"/>
      <c r="AO270"/>
      <c r="BX270"/>
    </row>
    <row r="271" spans="24:76" x14ac:dyDescent="0.4">
      <c r="X271"/>
      <c r="AO271"/>
      <c r="BX271"/>
    </row>
    <row r="272" spans="24:76" x14ac:dyDescent="0.4">
      <c r="X272"/>
      <c r="AO272"/>
      <c r="BX272"/>
    </row>
    <row r="273" spans="24:76" x14ac:dyDescent="0.4">
      <c r="X273"/>
      <c r="AO273"/>
      <c r="BX273"/>
    </row>
    <row r="274" spans="24:76" x14ac:dyDescent="0.4">
      <c r="X274"/>
      <c r="AO274"/>
      <c r="BX274"/>
    </row>
    <row r="275" spans="24:76" x14ac:dyDescent="0.4">
      <c r="X275"/>
      <c r="AO275"/>
      <c r="BX275"/>
    </row>
    <row r="276" spans="24:76" x14ac:dyDescent="0.4">
      <c r="X276"/>
      <c r="AO276"/>
      <c r="BX276"/>
    </row>
    <row r="277" spans="24:76" x14ac:dyDescent="0.4">
      <c r="X277"/>
      <c r="AO277"/>
      <c r="BX277"/>
    </row>
    <row r="278" spans="24:76" x14ac:dyDescent="0.4">
      <c r="X278"/>
      <c r="AO278"/>
      <c r="BX278"/>
    </row>
    <row r="279" spans="24:76" x14ac:dyDescent="0.4">
      <c r="X279"/>
      <c r="AO279"/>
      <c r="BX279"/>
    </row>
    <row r="280" spans="24:76" x14ac:dyDescent="0.4">
      <c r="X280"/>
      <c r="AO280"/>
      <c r="BX280"/>
    </row>
    <row r="281" spans="24:76" x14ac:dyDescent="0.4">
      <c r="X281"/>
      <c r="AO281"/>
      <c r="BX281"/>
    </row>
    <row r="282" spans="24:76" x14ac:dyDescent="0.4">
      <c r="X282"/>
      <c r="AO282"/>
      <c r="BX282"/>
    </row>
    <row r="283" spans="24:76" x14ac:dyDescent="0.4">
      <c r="X283"/>
      <c r="AO283"/>
      <c r="BX283"/>
    </row>
    <row r="284" spans="24:76" x14ac:dyDescent="0.4">
      <c r="X284"/>
      <c r="AO284"/>
      <c r="BX284"/>
    </row>
    <row r="285" spans="24:76" x14ac:dyDescent="0.4">
      <c r="X285"/>
      <c r="AO285"/>
      <c r="BX285"/>
    </row>
    <row r="286" spans="24:76" x14ac:dyDescent="0.4">
      <c r="X286"/>
      <c r="AO286"/>
      <c r="BX286"/>
    </row>
    <row r="287" spans="24:76" x14ac:dyDescent="0.4">
      <c r="X287"/>
      <c r="AO287"/>
      <c r="BX287"/>
    </row>
    <row r="288" spans="24:76" x14ac:dyDescent="0.4">
      <c r="X288"/>
      <c r="AO288"/>
      <c r="BX288"/>
    </row>
    <row r="289" spans="24:76" x14ac:dyDescent="0.4">
      <c r="X289"/>
      <c r="AO289"/>
      <c r="BX289"/>
    </row>
    <row r="290" spans="24:76" x14ac:dyDescent="0.4">
      <c r="X290"/>
      <c r="AO290"/>
      <c r="BX290"/>
    </row>
    <row r="291" spans="24:76" x14ac:dyDescent="0.4">
      <c r="X291"/>
      <c r="AO291"/>
      <c r="BX291"/>
    </row>
    <row r="292" spans="24:76" x14ac:dyDescent="0.4">
      <c r="X292"/>
      <c r="AO292"/>
      <c r="BX292"/>
    </row>
    <row r="293" spans="24:76" x14ac:dyDescent="0.4">
      <c r="X293"/>
      <c r="AO293"/>
      <c r="BX293"/>
    </row>
    <row r="294" spans="24:76" x14ac:dyDescent="0.4">
      <c r="X294"/>
      <c r="AO294"/>
      <c r="BX294"/>
    </row>
    <row r="295" spans="24:76" x14ac:dyDescent="0.4">
      <c r="X295"/>
      <c r="AO295"/>
      <c r="BX295"/>
    </row>
    <row r="296" spans="24:76" x14ac:dyDescent="0.4">
      <c r="X296"/>
      <c r="AO296"/>
      <c r="BX296"/>
    </row>
    <row r="297" spans="24:76" x14ac:dyDescent="0.4">
      <c r="X297"/>
      <c r="AO297"/>
      <c r="BX297"/>
    </row>
    <row r="298" spans="24:76" x14ac:dyDescent="0.4">
      <c r="X298"/>
      <c r="AO298"/>
      <c r="BX298"/>
    </row>
    <row r="299" spans="24:76" x14ac:dyDescent="0.4">
      <c r="X299"/>
      <c r="AO299"/>
      <c r="BX299"/>
    </row>
    <row r="300" spans="24:76" x14ac:dyDescent="0.4">
      <c r="X300"/>
      <c r="AO300"/>
      <c r="BX300"/>
    </row>
    <row r="301" spans="24:76" x14ac:dyDescent="0.4">
      <c r="X301"/>
      <c r="AO301"/>
      <c r="BX301"/>
    </row>
    <row r="302" spans="24:76" x14ac:dyDescent="0.4">
      <c r="X302"/>
      <c r="AO302"/>
      <c r="BX302"/>
    </row>
    <row r="303" spans="24:76" x14ac:dyDescent="0.4">
      <c r="X303"/>
      <c r="AO303"/>
      <c r="BX303"/>
    </row>
    <row r="304" spans="24:76" x14ac:dyDescent="0.4">
      <c r="X304"/>
      <c r="AO304"/>
      <c r="BX304"/>
    </row>
    <row r="305" spans="24:76" x14ac:dyDescent="0.4">
      <c r="X305"/>
      <c r="AO305"/>
      <c r="BX305"/>
    </row>
    <row r="306" spans="24:76" x14ac:dyDescent="0.4">
      <c r="X306"/>
      <c r="AO306"/>
      <c r="BX306"/>
    </row>
    <row r="307" spans="24:76" x14ac:dyDescent="0.4">
      <c r="X307"/>
      <c r="AO307"/>
      <c r="BX307"/>
    </row>
    <row r="308" spans="24:76" x14ac:dyDescent="0.4">
      <c r="X308"/>
      <c r="AO308"/>
      <c r="BX308"/>
    </row>
    <row r="309" spans="24:76" x14ac:dyDescent="0.4">
      <c r="X309"/>
      <c r="AO309"/>
      <c r="BX309"/>
    </row>
    <row r="310" spans="24:76" x14ac:dyDescent="0.4">
      <c r="X310"/>
      <c r="AO310"/>
      <c r="BX310"/>
    </row>
    <row r="311" spans="24:76" x14ac:dyDescent="0.4">
      <c r="X311"/>
      <c r="AO311"/>
      <c r="BX311"/>
    </row>
    <row r="312" spans="24:76" x14ac:dyDescent="0.4">
      <c r="X312"/>
      <c r="AO312"/>
      <c r="BX312"/>
    </row>
    <row r="313" spans="24:76" x14ac:dyDescent="0.4">
      <c r="X313"/>
      <c r="AO313"/>
      <c r="BX313"/>
    </row>
    <row r="314" spans="24:76" x14ac:dyDescent="0.4">
      <c r="X314"/>
      <c r="AO314"/>
      <c r="BX314"/>
    </row>
    <row r="315" spans="24:76" x14ac:dyDescent="0.4">
      <c r="X315"/>
      <c r="AO315"/>
      <c r="BX315"/>
    </row>
    <row r="316" spans="24:76" x14ac:dyDescent="0.4">
      <c r="X316"/>
      <c r="AO316"/>
      <c r="BX316"/>
    </row>
    <row r="317" spans="24:76" x14ac:dyDescent="0.4">
      <c r="X317"/>
      <c r="AO317"/>
      <c r="BX317"/>
    </row>
    <row r="318" spans="24:76" x14ac:dyDescent="0.4">
      <c r="X318"/>
      <c r="AO318"/>
      <c r="BX318"/>
    </row>
    <row r="319" spans="24:76" x14ac:dyDescent="0.4">
      <c r="X319"/>
      <c r="AO319"/>
      <c r="BX319"/>
    </row>
    <row r="320" spans="24:76" x14ac:dyDescent="0.4">
      <c r="X320"/>
      <c r="AO320"/>
      <c r="BX320"/>
    </row>
    <row r="321" spans="24:76" x14ac:dyDescent="0.4">
      <c r="X321"/>
      <c r="AO321"/>
      <c r="BX321"/>
    </row>
    <row r="322" spans="24:76" x14ac:dyDescent="0.4">
      <c r="X322"/>
      <c r="AO322"/>
      <c r="BX322"/>
    </row>
    <row r="323" spans="24:76" x14ac:dyDescent="0.4">
      <c r="X323"/>
      <c r="AO323"/>
      <c r="BX323"/>
    </row>
    <row r="324" spans="24:76" x14ac:dyDescent="0.4">
      <c r="X324"/>
      <c r="AO324"/>
      <c r="BX324"/>
    </row>
    <row r="325" spans="24:76" x14ac:dyDescent="0.4">
      <c r="X325"/>
      <c r="AO325"/>
      <c r="BX325"/>
    </row>
    <row r="326" spans="24:76" x14ac:dyDescent="0.4">
      <c r="X326"/>
      <c r="AO326"/>
      <c r="BX326"/>
    </row>
    <row r="327" spans="24:76" x14ac:dyDescent="0.4">
      <c r="X327"/>
      <c r="AO327"/>
      <c r="BX327"/>
    </row>
    <row r="328" spans="24:76" x14ac:dyDescent="0.4">
      <c r="X328"/>
      <c r="AO328"/>
      <c r="BX328"/>
    </row>
    <row r="329" spans="24:76" x14ac:dyDescent="0.4">
      <c r="X329"/>
      <c r="AO329"/>
      <c r="BX329"/>
    </row>
    <row r="330" spans="24:76" x14ac:dyDescent="0.4">
      <c r="X330"/>
      <c r="AO330"/>
      <c r="BX330"/>
    </row>
    <row r="331" spans="24:76" x14ac:dyDescent="0.4">
      <c r="X331"/>
      <c r="AO331"/>
      <c r="BX331"/>
    </row>
    <row r="332" spans="24:76" x14ac:dyDescent="0.4">
      <c r="X332"/>
      <c r="AO332"/>
      <c r="BX332"/>
    </row>
    <row r="333" spans="24:76" x14ac:dyDescent="0.4">
      <c r="X333"/>
      <c r="AO333"/>
      <c r="BX333"/>
    </row>
    <row r="334" spans="24:76" x14ac:dyDescent="0.4">
      <c r="X334"/>
      <c r="AO334"/>
      <c r="BX334"/>
    </row>
    <row r="335" spans="24:76" x14ac:dyDescent="0.4">
      <c r="X335"/>
      <c r="AO335"/>
      <c r="BX335"/>
    </row>
    <row r="336" spans="24:76" x14ac:dyDescent="0.4">
      <c r="X336"/>
      <c r="AO336"/>
      <c r="BX336"/>
    </row>
    <row r="337" spans="24:76" x14ac:dyDescent="0.4">
      <c r="X337"/>
      <c r="AO337"/>
      <c r="BX337"/>
    </row>
    <row r="338" spans="24:76" x14ac:dyDescent="0.4">
      <c r="X338"/>
      <c r="AO338"/>
      <c r="BX338"/>
    </row>
    <row r="339" spans="24:76" x14ac:dyDescent="0.4">
      <c r="X339"/>
      <c r="AO339"/>
      <c r="BX339"/>
    </row>
    <row r="340" spans="24:76" x14ac:dyDescent="0.4">
      <c r="X340"/>
      <c r="AO340"/>
      <c r="BX340"/>
    </row>
    <row r="341" spans="24:76" x14ac:dyDescent="0.4">
      <c r="X341"/>
      <c r="AO341"/>
      <c r="BX341"/>
    </row>
    <row r="342" spans="24:76" x14ac:dyDescent="0.4">
      <c r="X342"/>
      <c r="AO342"/>
      <c r="BX342"/>
    </row>
    <row r="343" spans="24:76" x14ac:dyDescent="0.4">
      <c r="X343"/>
      <c r="AO343"/>
      <c r="BX343"/>
    </row>
    <row r="344" spans="24:76" x14ac:dyDescent="0.4">
      <c r="X344"/>
      <c r="AO344"/>
      <c r="BX344"/>
    </row>
    <row r="345" spans="24:76" x14ac:dyDescent="0.4">
      <c r="X345"/>
      <c r="AO345"/>
      <c r="BX345"/>
    </row>
    <row r="346" spans="24:76" x14ac:dyDescent="0.4">
      <c r="X346"/>
      <c r="AO346"/>
      <c r="BX346"/>
    </row>
    <row r="347" spans="24:76" x14ac:dyDescent="0.4">
      <c r="X347"/>
      <c r="AO347"/>
      <c r="BX347"/>
    </row>
    <row r="348" spans="24:76" x14ac:dyDescent="0.4">
      <c r="X348"/>
      <c r="AO348"/>
      <c r="BX348"/>
    </row>
    <row r="349" spans="24:76" x14ac:dyDescent="0.4">
      <c r="X349"/>
      <c r="AO349"/>
      <c r="BX349"/>
    </row>
    <row r="350" spans="24:76" x14ac:dyDescent="0.4">
      <c r="X350"/>
      <c r="AO350"/>
      <c r="BX350"/>
    </row>
    <row r="351" spans="24:76" x14ac:dyDescent="0.4">
      <c r="X351"/>
      <c r="AO351"/>
      <c r="BX351"/>
    </row>
    <row r="352" spans="24:76" x14ac:dyDescent="0.4">
      <c r="X352"/>
      <c r="AO352"/>
      <c r="BX352"/>
    </row>
    <row r="353" spans="24:76" x14ac:dyDescent="0.4">
      <c r="X353"/>
      <c r="AO353"/>
      <c r="BX353"/>
    </row>
    <row r="354" spans="24:76" x14ac:dyDescent="0.4">
      <c r="X354"/>
      <c r="AO354"/>
      <c r="BX354"/>
    </row>
    <row r="355" spans="24:76" x14ac:dyDescent="0.4">
      <c r="X355"/>
      <c r="AO355"/>
      <c r="BX355"/>
    </row>
    <row r="356" spans="24:76" x14ac:dyDescent="0.4">
      <c r="X356"/>
      <c r="AO356"/>
      <c r="BX356"/>
    </row>
    <row r="357" spans="24:76" x14ac:dyDescent="0.4">
      <c r="X357"/>
      <c r="AO357"/>
      <c r="BX357"/>
    </row>
    <row r="358" spans="24:76" x14ac:dyDescent="0.4">
      <c r="X358"/>
      <c r="AO358"/>
      <c r="BX358"/>
    </row>
    <row r="359" spans="24:76" x14ac:dyDescent="0.4">
      <c r="X359"/>
      <c r="AO359"/>
      <c r="BX359"/>
    </row>
    <row r="360" spans="24:76" x14ac:dyDescent="0.4">
      <c r="X360"/>
      <c r="AO360"/>
      <c r="BX360"/>
    </row>
    <row r="361" spans="24:76" x14ac:dyDescent="0.4">
      <c r="X361"/>
      <c r="AO361"/>
      <c r="BX361"/>
    </row>
    <row r="362" spans="24:76" x14ac:dyDescent="0.4">
      <c r="X362"/>
      <c r="AO362"/>
      <c r="BX362"/>
    </row>
    <row r="363" spans="24:76" x14ac:dyDescent="0.4">
      <c r="X363"/>
      <c r="AO363"/>
      <c r="BX363"/>
    </row>
    <row r="364" spans="24:76" x14ac:dyDescent="0.4">
      <c r="X364"/>
      <c r="AO364"/>
      <c r="BX364"/>
    </row>
    <row r="365" spans="24:76" x14ac:dyDescent="0.4">
      <c r="X365"/>
      <c r="AO365"/>
      <c r="BX365"/>
    </row>
    <row r="366" spans="24:76" x14ac:dyDescent="0.4">
      <c r="X366"/>
      <c r="AO366"/>
      <c r="BX366"/>
    </row>
    <row r="367" spans="24:76" x14ac:dyDescent="0.4">
      <c r="X367"/>
      <c r="AO367"/>
      <c r="BX367"/>
    </row>
    <row r="368" spans="24:76" x14ac:dyDescent="0.4">
      <c r="X368"/>
      <c r="AO368"/>
      <c r="BX368"/>
    </row>
    <row r="369" spans="24:76" x14ac:dyDescent="0.4">
      <c r="X369"/>
      <c r="AO369"/>
      <c r="BX369"/>
    </row>
    <row r="370" spans="24:76" x14ac:dyDescent="0.4">
      <c r="X370"/>
      <c r="AO370"/>
      <c r="BX370"/>
    </row>
    <row r="371" spans="24:76" x14ac:dyDescent="0.4">
      <c r="X371"/>
      <c r="AO371"/>
      <c r="BX371"/>
    </row>
    <row r="372" spans="24:76" x14ac:dyDescent="0.4">
      <c r="X372"/>
      <c r="AO372"/>
      <c r="BX372"/>
    </row>
    <row r="373" spans="24:76" x14ac:dyDescent="0.4">
      <c r="X373"/>
      <c r="AO373"/>
      <c r="BX373"/>
    </row>
    <row r="374" spans="24:76" x14ac:dyDescent="0.4">
      <c r="X374"/>
      <c r="AO374"/>
      <c r="BX374"/>
    </row>
    <row r="375" spans="24:76" x14ac:dyDescent="0.4">
      <c r="X375"/>
      <c r="AO375"/>
      <c r="BX375"/>
    </row>
    <row r="376" spans="24:76" x14ac:dyDescent="0.4">
      <c r="X376"/>
      <c r="AO376"/>
      <c r="BX376"/>
    </row>
    <row r="377" spans="24:76" x14ac:dyDescent="0.4">
      <c r="X377"/>
      <c r="AO377"/>
      <c r="BX377"/>
    </row>
    <row r="378" spans="24:76" x14ac:dyDescent="0.4">
      <c r="X378"/>
      <c r="AO378"/>
      <c r="BX378"/>
    </row>
    <row r="379" spans="24:76" x14ac:dyDescent="0.4">
      <c r="X379"/>
      <c r="AO379"/>
      <c r="BX379"/>
    </row>
    <row r="380" spans="24:76" x14ac:dyDescent="0.4">
      <c r="X380"/>
      <c r="AO380"/>
      <c r="BX380"/>
    </row>
    <row r="381" spans="24:76" x14ac:dyDescent="0.4">
      <c r="X381"/>
      <c r="AO381"/>
      <c r="BX381"/>
    </row>
    <row r="382" spans="24:76" x14ac:dyDescent="0.4">
      <c r="X382"/>
      <c r="AO382"/>
      <c r="BX382"/>
    </row>
    <row r="383" spans="24:76" x14ac:dyDescent="0.4">
      <c r="X383"/>
      <c r="AO383"/>
      <c r="BX383"/>
    </row>
    <row r="384" spans="24:76" x14ac:dyDescent="0.4">
      <c r="X384"/>
      <c r="AO384"/>
      <c r="BX384"/>
    </row>
    <row r="385" spans="24:76" x14ac:dyDescent="0.4">
      <c r="X385"/>
      <c r="AO385"/>
      <c r="BX385"/>
    </row>
    <row r="386" spans="24:76" x14ac:dyDescent="0.4">
      <c r="X386"/>
      <c r="AO386"/>
      <c r="BX386"/>
    </row>
    <row r="387" spans="24:76" x14ac:dyDescent="0.4">
      <c r="X387"/>
      <c r="AO387"/>
      <c r="BX387"/>
    </row>
    <row r="388" spans="24:76" x14ac:dyDescent="0.4">
      <c r="X388"/>
      <c r="AO388"/>
      <c r="BX388"/>
    </row>
    <row r="389" spans="24:76" x14ac:dyDescent="0.4">
      <c r="X389"/>
      <c r="AO389"/>
      <c r="BX389"/>
    </row>
    <row r="390" spans="24:76" x14ac:dyDescent="0.4">
      <c r="X390"/>
      <c r="AO390"/>
      <c r="BX390"/>
    </row>
    <row r="391" spans="24:76" x14ac:dyDescent="0.4">
      <c r="X391"/>
      <c r="AO391"/>
      <c r="BX391"/>
    </row>
    <row r="392" spans="24:76" x14ac:dyDescent="0.4">
      <c r="X392"/>
      <c r="AO392"/>
      <c r="BX392"/>
    </row>
    <row r="393" spans="24:76" x14ac:dyDescent="0.4">
      <c r="X393"/>
      <c r="AO393"/>
      <c r="BX393"/>
    </row>
    <row r="394" spans="24:76" x14ac:dyDescent="0.4">
      <c r="X394"/>
      <c r="AO394"/>
      <c r="BX394"/>
    </row>
    <row r="395" spans="24:76" x14ac:dyDescent="0.4">
      <c r="X395"/>
      <c r="AO395"/>
      <c r="BX395"/>
    </row>
    <row r="396" spans="24:76" x14ac:dyDescent="0.4">
      <c r="X396"/>
      <c r="AO396"/>
      <c r="BX396"/>
    </row>
    <row r="397" spans="24:76" x14ac:dyDescent="0.4">
      <c r="X397"/>
      <c r="AO397"/>
      <c r="BX397"/>
    </row>
    <row r="398" spans="24:76" x14ac:dyDescent="0.4">
      <c r="X398"/>
      <c r="AO398"/>
      <c r="BX398"/>
    </row>
    <row r="399" spans="24:76" x14ac:dyDescent="0.4">
      <c r="X399"/>
      <c r="AO399"/>
      <c r="BX399"/>
    </row>
    <row r="400" spans="24:76" x14ac:dyDescent="0.4">
      <c r="X400"/>
      <c r="AO400"/>
      <c r="BX400"/>
    </row>
    <row r="401" spans="24:76" x14ac:dyDescent="0.4">
      <c r="X401"/>
      <c r="AO401"/>
      <c r="BX401"/>
    </row>
    <row r="402" spans="24:76" x14ac:dyDescent="0.4">
      <c r="X402"/>
      <c r="AO402"/>
      <c r="BX402"/>
    </row>
    <row r="403" spans="24:76" x14ac:dyDescent="0.4">
      <c r="X403"/>
      <c r="AO403"/>
      <c r="BX403"/>
    </row>
    <row r="404" spans="24:76" x14ac:dyDescent="0.4">
      <c r="X404"/>
      <c r="AO404"/>
      <c r="BX404"/>
    </row>
    <row r="405" spans="24:76" x14ac:dyDescent="0.4">
      <c r="X405"/>
      <c r="AO405"/>
      <c r="BX405"/>
    </row>
    <row r="406" spans="24:76" x14ac:dyDescent="0.4">
      <c r="X406"/>
      <c r="AO406"/>
      <c r="BX406"/>
    </row>
    <row r="407" spans="24:76" x14ac:dyDescent="0.4">
      <c r="X407"/>
      <c r="AO407"/>
      <c r="BX407"/>
    </row>
    <row r="408" spans="24:76" x14ac:dyDescent="0.4">
      <c r="X408"/>
      <c r="AO408"/>
      <c r="BX408"/>
    </row>
    <row r="409" spans="24:76" x14ac:dyDescent="0.4">
      <c r="X409"/>
      <c r="AO409"/>
      <c r="BX409"/>
    </row>
    <row r="410" spans="24:76" x14ac:dyDescent="0.4">
      <c r="X410"/>
      <c r="AO410"/>
      <c r="BX410"/>
    </row>
    <row r="411" spans="24:76" x14ac:dyDescent="0.4">
      <c r="X411"/>
      <c r="AO411"/>
      <c r="BX411"/>
    </row>
    <row r="412" spans="24:76" x14ac:dyDescent="0.4">
      <c r="X412"/>
      <c r="AO412"/>
      <c r="BX412"/>
    </row>
    <row r="413" spans="24:76" x14ac:dyDescent="0.4">
      <c r="X413"/>
      <c r="AO413"/>
      <c r="BX413"/>
    </row>
    <row r="414" spans="24:76" x14ac:dyDescent="0.4">
      <c r="X414"/>
      <c r="AO414"/>
      <c r="BX414"/>
    </row>
    <row r="415" spans="24:76" x14ac:dyDescent="0.4">
      <c r="X415"/>
      <c r="AO415"/>
      <c r="BX415"/>
    </row>
    <row r="416" spans="24:76" x14ac:dyDescent="0.4">
      <c r="X416"/>
      <c r="AO416"/>
      <c r="BX416"/>
    </row>
    <row r="417" spans="24:76" x14ac:dyDescent="0.4">
      <c r="X417"/>
      <c r="AO417"/>
      <c r="BX417"/>
    </row>
    <row r="418" spans="24:76" x14ac:dyDescent="0.4">
      <c r="X418"/>
      <c r="AO418"/>
      <c r="BX418"/>
    </row>
    <row r="419" spans="24:76" x14ac:dyDescent="0.4">
      <c r="X419"/>
      <c r="AO419"/>
      <c r="BX419"/>
    </row>
    <row r="420" spans="24:76" x14ac:dyDescent="0.4">
      <c r="X420"/>
      <c r="AO420"/>
      <c r="BX420"/>
    </row>
    <row r="421" spans="24:76" x14ac:dyDescent="0.4">
      <c r="X421"/>
      <c r="AO421"/>
      <c r="BX421"/>
    </row>
    <row r="422" spans="24:76" x14ac:dyDescent="0.4">
      <c r="X422"/>
      <c r="AO422"/>
      <c r="BX422"/>
    </row>
    <row r="423" spans="24:76" x14ac:dyDescent="0.4">
      <c r="X423"/>
      <c r="AO423"/>
      <c r="BX423"/>
    </row>
    <row r="424" spans="24:76" x14ac:dyDescent="0.4">
      <c r="X424"/>
      <c r="AO424"/>
      <c r="BX424"/>
    </row>
    <row r="425" spans="24:76" x14ac:dyDescent="0.4">
      <c r="X425"/>
      <c r="AO425"/>
      <c r="BX425"/>
    </row>
    <row r="426" spans="24:76" x14ac:dyDescent="0.4">
      <c r="X426"/>
      <c r="AO426"/>
      <c r="BX426"/>
    </row>
    <row r="427" spans="24:76" x14ac:dyDescent="0.4">
      <c r="X427"/>
      <c r="AO427"/>
      <c r="BX427"/>
    </row>
    <row r="428" spans="24:76" x14ac:dyDescent="0.4">
      <c r="X428"/>
      <c r="AO428"/>
      <c r="BX428"/>
    </row>
    <row r="429" spans="24:76" x14ac:dyDescent="0.4">
      <c r="X429"/>
      <c r="AO429"/>
      <c r="BX429"/>
    </row>
    <row r="430" spans="24:76" x14ac:dyDescent="0.4">
      <c r="X430"/>
      <c r="AO430"/>
      <c r="BX430"/>
    </row>
    <row r="431" spans="24:76" x14ac:dyDescent="0.4">
      <c r="X431"/>
      <c r="AO431"/>
      <c r="BX431"/>
    </row>
    <row r="432" spans="24:76" x14ac:dyDescent="0.4">
      <c r="X432"/>
      <c r="AO432"/>
      <c r="BX432"/>
    </row>
    <row r="433" spans="24:76" x14ac:dyDescent="0.4">
      <c r="X433"/>
      <c r="AO433"/>
      <c r="BX433"/>
    </row>
    <row r="434" spans="24:76" x14ac:dyDescent="0.4">
      <c r="X434"/>
      <c r="AO434"/>
      <c r="BX434"/>
    </row>
    <row r="435" spans="24:76" x14ac:dyDescent="0.4">
      <c r="X435"/>
      <c r="AO435"/>
      <c r="BX435"/>
    </row>
    <row r="436" spans="24:76" x14ac:dyDescent="0.4">
      <c r="X436"/>
      <c r="AO436"/>
      <c r="BX436"/>
    </row>
    <row r="437" spans="24:76" x14ac:dyDescent="0.4">
      <c r="X437"/>
      <c r="AO437"/>
      <c r="BX437"/>
    </row>
    <row r="438" spans="24:76" x14ac:dyDescent="0.4">
      <c r="X438"/>
      <c r="AO438"/>
      <c r="BX438"/>
    </row>
    <row r="439" spans="24:76" x14ac:dyDescent="0.4">
      <c r="X439"/>
      <c r="AO439"/>
      <c r="BX439"/>
    </row>
    <row r="440" spans="24:76" x14ac:dyDescent="0.4">
      <c r="X440"/>
      <c r="AO440"/>
      <c r="BX440"/>
    </row>
    <row r="441" spans="24:76" x14ac:dyDescent="0.4">
      <c r="X441"/>
      <c r="AO441"/>
      <c r="BX441"/>
    </row>
    <row r="442" spans="24:76" x14ac:dyDescent="0.4">
      <c r="X442"/>
      <c r="AO442"/>
      <c r="BX442"/>
    </row>
    <row r="443" spans="24:76" x14ac:dyDescent="0.4">
      <c r="X443"/>
      <c r="AO443"/>
      <c r="BX443"/>
    </row>
    <row r="444" spans="24:76" x14ac:dyDescent="0.4">
      <c r="X444"/>
      <c r="AO444"/>
      <c r="BX444"/>
    </row>
    <row r="445" spans="24:76" x14ac:dyDescent="0.4">
      <c r="X445"/>
      <c r="AO445"/>
      <c r="BX445"/>
    </row>
    <row r="446" spans="24:76" x14ac:dyDescent="0.4">
      <c r="X446"/>
      <c r="AO446"/>
      <c r="BX446"/>
    </row>
    <row r="447" spans="24:76" x14ac:dyDescent="0.4">
      <c r="X447"/>
      <c r="AO447"/>
      <c r="BX447"/>
    </row>
    <row r="448" spans="24:76" x14ac:dyDescent="0.4">
      <c r="X448"/>
      <c r="AO448"/>
      <c r="BX448"/>
    </row>
    <row r="449" spans="24:76" x14ac:dyDescent="0.4">
      <c r="X449"/>
      <c r="AO449"/>
      <c r="BX449"/>
    </row>
    <row r="450" spans="24:76" x14ac:dyDescent="0.4">
      <c r="X450"/>
      <c r="AO450"/>
      <c r="BX450"/>
    </row>
    <row r="451" spans="24:76" x14ac:dyDescent="0.4">
      <c r="X451"/>
      <c r="AO451"/>
      <c r="BX451"/>
    </row>
    <row r="452" spans="24:76" x14ac:dyDescent="0.4">
      <c r="X452"/>
      <c r="AO452"/>
      <c r="BX452"/>
    </row>
    <row r="453" spans="24:76" x14ac:dyDescent="0.4">
      <c r="X453"/>
      <c r="AO453"/>
      <c r="BX453"/>
    </row>
    <row r="454" spans="24:76" x14ac:dyDescent="0.4">
      <c r="X454"/>
      <c r="AO454"/>
      <c r="BX454"/>
    </row>
    <row r="455" spans="24:76" x14ac:dyDescent="0.4">
      <c r="X455"/>
      <c r="AO455"/>
      <c r="BX455"/>
    </row>
    <row r="456" spans="24:76" x14ac:dyDescent="0.4">
      <c r="X456"/>
      <c r="AO456"/>
      <c r="BX456"/>
    </row>
    <row r="457" spans="24:76" x14ac:dyDescent="0.4">
      <c r="X457"/>
      <c r="AO457"/>
      <c r="BX457"/>
    </row>
    <row r="458" spans="24:76" x14ac:dyDescent="0.4">
      <c r="X458"/>
      <c r="AO458"/>
      <c r="BX458"/>
    </row>
    <row r="459" spans="24:76" x14ac:dyDescent="0.4">
      <c r="X459"/>
      <c r="AO459"/>
      <c r="BX459"/>
    </row>
    <row r="460" spans="24:76" x14ac:dyDescent="0.4">
      <c r="X460"/>
      <c r="AO460"/>
      <c r="BX460"/>
    </row>
    <row r="461" spans="24:76" x14ac:dyDescent="0.4">
      <c r="X461"/>
      <c r="AO461"/>
      <c r="BX461"/>
    </row>
    <row r="462" spans="24:76" x14ac:dyDescent="0.4">
      <c r="X462"/>
      <c r="AO462"/>
      <c r="BX462"/>
    </row>
    <row r="463" spans="24:76" x14ac:dyDescent="0.4">
      <c r="X463"/>
      <c r="AO463"/>
      <c r="BX463"/>
    </row>
    <row r="464" spans="24:76" x14ac:dyDescent="0.4">
      <c r="X464"/>
      <c r="AO464"/>
      <c r="BX464"/>
    </row>
    <row r="465" spans="24:76" x14ac:dyDescent="0.4">
      <c r="X465"/>
      <c r="AO465"/>
      <c r="BX465"/>
    </row>
    <row r="466" spans="24:76" x14ac:dyDescent="0.4">
      <c r="X466"/>
      <c r="AO466"/>
      <c r="BX466"/>
    </row>
    <row r="467" spans="24:76" x14ac:dyDescent="0.4">
      <c r="X467"/>
      <c r="AO467"/>
      <c r="BX467"/>
    </row>
    <row r="468" spans="24:76" x14ac:dyDescent="0.4">
      <c r="X468"/>
      <c r="AO468"/>
      <c r="BX468"/>
    </row>
    <row r="469" spans="24:76" x14ac:dyDescent="0.4">
      <c r="X469"/>
      <c r="AO469"/>
      <c r="BX469"/>
    </row>
    <row r="470" spans="24:76" x14ac:dyDescent="0.4">
      <c r="X470"/>
      <c r="AO470"/>
      <c r="BX470"/>
    </row>
    <row r="471" spans="24:76" x14ac:dyDescent="0.4">
      <c r="X471"/>
      <c r="AO471"/>
      <c r="BX471"/>
    </row>
    <row r="472" spans="24:76" x14ac:dyDescent="0.4">
      <c r="X472"/>
      <c r="AO472"/>
      <c r="BX472"/>
    </row>
    <row r="473" spans="24:76" x14ac:dyDescent="0.4">
      <c r="X473"/>
      <c r="AO473"/>
      <c r="BX473"/>
    </row>
    <row r="474" spans="24:76" x14ac:dyDescent="0.4">
      <c r="X474"/>
      <c r="AO474"/>
      <c r="BX474"/>
    </row>
    <row r="475" spans="24:76" x14ac:dyDescent="0.4">
      <c r="X475"/>
      <c r="AO475"/>
      <c r="BX475"/>
    </row>
    <row r="476" spans="24:76" x14ac:dyDescent="0.4">
      <c r="X476"/>
      <c r="AO476"/>
      <c r="BX476"/>
    </row>
    <row r="477" spans="24:76" x14ac:dyDescent="0.4">
      <c r="X477"/>
      <c r="AO477"/>
      <c r="BX477"/>
    </row>
    <row r="478" spans="24:76" x14ac:dyDescent="0.4">
      <c r="X478"/>
      <c r="AO478"/>
      <c r="BX478"/>
    </row>
    <row r="479" spans="24:76" x14ac:dyDescent="0.4">
      <c r="X479"/>
      <c r="AO479"/>
      <c r="BX479"/>
    </row>
    <row r="480" spans="24:76" x14ac:dyDescent="0.4">
      <c r="X480"/>
      <c r="AO480"/>
      <c r="BX480"/>
    </row>
    <row r="481" spans="24:76" x14ac:dyDescent="0.4">
      <c r="X481"/>
      <c r="AO481"/>
      <c r="BX481"/>
    </row>
    <row r="482" spans="24:76" x14ac:dyDescent="0.4">
      <c r="X482"/>
      <c r="AO482"/>
      <c r="BX482"/>
    </row>
    <row r="483" spans="24:76" x14ac:dyDescent="0.4">
      <c r="X483"/>
      <c r="AO483"/>
      <c r="BX483"/>
    </row>
    <row r="484" spans="24:76" x14ac:dyDescent="0.4">
      <c r="X484"/>
      <c r="AO484"/>
      <c r="BX484"/>
    </row>
    <row r="485" spans="24:76" x14ac:dyDescent="0.4">
      <c r="X485"/>
      <c r="AO485"/>
      <c r="BX485"/>
    </row>
    <row r="486" spans="24:76" x14ac:dyDescent="0.4">
      <c r="X486"/>
      <c r="AO486"/>
      <c r="BX486"/>
    </row>
    <row r="487" spans="24:76" x14ac:dyDescent="0.4">
      <c r="X487"/>
      <c r="AO487"/>
      <c r="BX487"/>
    </row>
    <row r="488" spans="24:76" x14ac:dyDescent="0.4">
      <c r="X488"/>
      <c r="AO488"/>
      <c r="BX488"/>
    </row>
    <row r="489" spans="24:76" x14ac:dyDescent="0.4">
      <c r="X489"/>
      <c r="AO489"/>
      <c r="BX489"/>
    </row>
    <row r="490" spans="24:76" x14ac:dyDescent="0.4">
      <c r="X490"/>
      <c r="AO490"/>
      <c r="BX490"/>
    </row>
    <row r="491" spans="24:76" x14ac:dyDescent="0.4">
      <c r="X491"/>
      <c r="AO491"/>
      <c r="BX491"/>
    </row>
    <row r="492" spans="24:76" x14ac:dyDescent="0.4">
      <c r="X492"/>
      <c r="AO492"/>
      <c r="BX492"/>
    </row>
    <row r="493" spans="24:76" x14ac:dyDescent="0.4">
      <c r="X493"/>
      <c r="AO493"/>
      <c r="BX493"/>
    </row>
    <row r="494" spans="24:76" x14ac:dyDescent="0.4">
      <c r="X494"/>
      <c r="AO494"/>
      <c r="BX494"/>
    </row>
    <row r="495" spans="24:76" x14ac:dyDescent="0.4">
      <c r="X495"/>
      <c r="AO495"/>
      <c r="BX495"/>
    </row>
    <row r="496" spans="24:76" x14ac:dyDescent="0.4">
      <c r="X496"/>
      <c r="AO496"/>
      <c r="BX496"/>
    </row>
    <row r="497" spans="24:76" x14ac:dyDescent="0.4">
      <c r="X497"/>
      <c r="AO497"/>
      <c r="BX497"/>
    </row>
    <row r="498" spans="24:76" x14ac:dyDescent="0.4">
      <c r="X498"/>
      <c r="AO498"/>
      <c r="BX498"/>
    </row>
    <row r="499" spans="24:76" x14ac:dyDescent="0.4">
      <c r="X499"/>
      <c r="AO499"/>
      <c r="BX499"/>
    </row>
    <row r="500" spans="24:76" x14ac:dyDescent="0.4">
      <c r="X500"/>
      <c r="AO500"/>
      <c r="BX500"/>
    </row>
    <row r="501" spans="24:76" x14ac:dyDescent="0.4">
      <c r="X501"/>
      <c r="AO501"/>
      <c r="BX501"/>
    </row>
    <row r="502" spans="24:76" x14ac:dyDescent="0.4">
      <c r="X502"/>
      <c r="AO502"/>
      <c r="BX502"/>
    </row>
    <row r="503" spans="24:76" x14ac:dyDescent="0.4">
      <c r="X503"/>
      <c r="AO503"/>
      <c r="BX503"/>
    </row>
    <row r="504" spans="24:76" x14ac:dyDescent="0.4">
      <c r="X504"/>
      <c r="AO504"/>
      <c r="BX504"/>
    </row>
    <row r="505" spans="24:76" x14ac:dyDescent="0.4">
      <c r="X505"/>
      <c r="AO505"/>
      <c r="BX505"/>
    </row>
    <row r="506" spans="24:76" x14ac:dyDescent="0.4">
      <c r="X506"/>
      <c r="AO506"/>
      <c r="BX506"/>
    </row>
    <row r="507" spans="24:76" x14ac:dyDescent="0.4">
      <c r="X507"/>
      <c r="AO507"/>
      <c r="BX507"/>
    </row>
    <row r="508" spans="24:76" x14ac:dyDescent="0.4">
      <c r="X508"/>
      <c r="AO508"/>
      <c r="BX508"/>
    </row>
    <row r="509" spans="24:76" x14ac:dyDescent="0.4">
      <c r="X509"/>
      <c r="AO509"/>
      <c r="BX509"/>
    </row>
    <row r="510" spans="24:76" x14ac:dyDescent="0.4">
      <c r="X510"/>
      <c r="AO510"/>
      <c r="BX510"/>
    </row>
    <row r="511" spans="24:76" x14ac:dyDescent="0.4">
      <c r="X511"/>
      <c r="AO511"/>
      <c r="BX511"/>
    </row>
    <row r="512" spans="24:76" x14ac:dyDescent="0.4">
      <c r="X512"/>
      <c r="AO512"/>
      <c r="BX512"/>
    </row>
    <row r="513" spans="24:76" x14ac:dyDescent="0.4">
      <c r="X513"/>
      <c r="AO513"/>
      <c r="BX513"/>
    </row>
    <row r="514" spans="24:76" x14ac:dyDescent="0.4">
      <c r="X514"/>
      <c r="AO514"/>
      <c r="BX514"/>
    </row>
    <row r="515" spans="24:76" x14ac:dyDescent="0.4">
      <c r="X515"/>
      <c r="AO515"/>
      <c r="BX515"/>
    </row>
    <row r="516" spans="24:76" x14ac:dyDescent="0.4">
      <c r="X516"/>
      <c r="AO516"/>
      <c r="BX516"/>
    </row>
    <row r="517" spans="24:76" x14ac:dyDescent="0.4">
      <c r="X517"/>
      <c r="AO517"/>
      <c r="BX517"/>
    </row>
    <row r="518" spans="24:76" x14ac:dyDescent="0.4">
      <c r="X518"/>
      <c r="AO518"/>
      <c r="BX518"/>
    </row>
    <row r="519" spans="24:76" x14ac:dyDescent="0.4">
      <c r="X519"/>
      <c r="AO519"/>
      <c r="BX519"/>
    </row>
    <row r="520" spans="24:76" x14ac:dyDescent="0.4">
      <c r="X520"/>
      <c r="AO520"/>
      <c r="BX520"/>
    </row>
    <row r="521" spans="24:76" x14ac:dyDescent="0.4">
      <c r="X521"/>
      <c r="AO521"/>
      <c r="BX521"/>
    </row>
    <row r="522" spans="24:76" x14ac:dyDescent="0.4">
      <c r="X522"/>
      <c r="AO522"/>
      <c r="BX522"/>
    </row>
    <row r="523" spans="24:76" x14ac:dyDescent="0.4">
      <c r="X523"/>
      <c r="AO523"/>
      <c r="BX523"/>
    </row>
    <row r="524" spans="24:76" x14ac:dyDescent="0.4">
      <c r="X524"/>
      <c r="AO524"/>
      <c r="BX524"/>
    </row>
    <row r="525" spans="24:76" x14ac:dyDescent="0.4">
      <c r="X525"/>
      <c r="AO525"/>
      <c r="BX525"/>
    </row>
    <row r="526" spans="24:76" x14ac:dyDescent="0.4">
      <c r="X526"/>
      <c r="AO526"/>
      <c r="BX526"/>
    </row>
    <row r="527" spans="24:76" x14ac:dyDescent="0.4">
      <c r="X527"/>
      <c r="AO527"/>
      <c r="BX527"/>
    </row>
    <row r="528" spans="24:76" x14ac:dyDescent="0.4">
      <c r="X528"/>
      <c r="AO528"/>
      <c r="BX528"/>
    </row>
    <row r="529" spans="24:76" x14ac:dyDescent="0.4">
      <c r="X529"/>
      <c r="AO529"/>
      <c r="BX529"/>
    </row>
    <row r="530" spans="24:76" x14ac:dyDescent="0.4">
      <c r="X530"/>
      <c r="AO530"/>
      <c r="BX530"/>
    </row>
    <row r="531" spans="24:76" x14ac:dyDescent="0.4">
      <c r="X531"/>
      <c r="AO531"/>
      <c r="BX531"/>
    </row>
    <row r="532" spans="24:76" x14ac:dyDescent="0.4">
      <c r="X532"/>
      <c r="AO532"/>
      <c r="BX532"/>
    </row>
    <row r="533" spans="24:76" x14ac:dyDescent="0.4">
      <c r="X533"/>
      <c r="AO533"/>
      <c r="BX533"/>
    </row>
    <row r="534" spans="24:76" x14ac:dyDescent="0.4">
      <c r="X534"/>
      <c r="AO534"/>
      <c r="BX534"/>
    </row>
    <row r="535" spans="24:76" x14ac:dyDescent="0.4">
      <c r="X535"/>
      <c r="AO535"/>
      <c r="BX535"/>
    </row>
    <row r="536" spans="24:76" x14ac:dyDescent="0.4">
      <c r="X536"/>
      <c r="AO536"/>
      <c r="BX536"/>
    </row>
    <row r="537" spans="24:76" x14ac:dyDescent="0.4">
      <c r="X537"/>
      <c r="AO537"/>
      <c r="BX537"/>
    </row>
    <row r="538" spans="24:76" x14ac:dyDescent="0.4">
      <c r="X538"/>
      <c r="AO538"/>
      <c r="BX538"/>
    </row>
    <row r="539" spans="24:76" x14ac:dyDescent="0.4">
      <c r="X539"/>
      <c r="AO539"/>
      <c r="BX539"/>
    </row>
    <row r="540" spans="24:76" x14ac:dyDescent="0.4">
      <c r="X540"/>
      <c r="AO540"/>
      <c r="BX540"/>
    </row>
    <row r="541" spans="24:76" x14ac:dyDescent="0.4">
      <c r="X541"/>
      <c r="AO541"/>
      <c r="BX541"/>
    </row>
    <row r="542" spans="24:76" x14ac:dyDescent="0.4">
      <c r="X542"/>
      <c r="AO542"/>
      <c r="BX542"/>
    </row>
    <row r="543" spans="24:76" x14ac:dyDescent="0.4">
      <c r="X543"/>
      <c r="AO543"/>
      <c r="BX543"/>
    </row>
    <row r="544" spans="24:76" x14ac:dyDescent="0.4">
      <c r="X544"/>
      <c r="AO544"/>
      <c r="BX544"/>
    </row>
    <row r="545" spans="24:76" x14ac:dyDescent="0.4">
      <c r="X545"/>
      <c r="AO545"/>
      <c r="BX545"/>
    </row>
    <row r="546" spans="24:76" x14ac:dyDescent="0.4">
      <c r="X546"/>
      <c r="AO546"/>
      <c r="BX546"/>
    </row>
    <row r="547" spans="24:76" x14ac:dyDescent="0.4">
      <c r="X547"/>
      <c r="AO547"/>
      <c r="BX547"/>
    </row>
    <row r="548" spans="24:76" x14ac:dyDescent="0.4">
      <c r="X548"/>
      <c r="AO548"/>
      <c r="BX548"/>
    </row>
    <row r="549" spans="24:76" x14ac:dyDescent="0.4">
      <c r="X549"/>
      <c r="AO549"/>
      <c r="BX549"/>
    </row>
    <row r="550" spans="24:76" x14ac:dyDescent="0.4">
      <c r="X550"/>
      <c r="AO550"/>
      <c r="BX550"/>
    </row>
    <row r="551" spans="24:76" x14ac:dyDescent="0.4">
      <c r="X551"/>
      <c r="AO551"/>
      <c r="BX551"/>
    </row>
    <row r="552" spans="24:76" x14ac:dyDescent="0.4">
      <c r="X552"/>
      <c r="AO552"/>
      <c r="BX552"/>
    </row>
    <row r="553" spans="24:76" x14ac:dyDescent="0.4">
      <c r="X553"/>
      <c r="AO553"/>
      <c r="BX553"/>
    </row>
    <row r="554" spans="24:76" x14ac:dyDescent="0.4">
      <c r="X554"/>
      <c r="AO554"/>
      <c r="BX554"/>
    </row>
    <row r="555" spans="24:76" x14ac:dyDescent="0.4">
      <c r="X555"/>
      <c r="AO555"/>
      <c r="BX555"/>
    </row>
    <row r="556" spans="24:76" x14ac:dyDescent="0.4">
      <c r="X556"/>
      <c r="AO556"/>
      <c r="BX556"/>
    </row>
    <row r="557" spans="24:76" x14ac:dyDescent="0.4">
      <c r="X557"/>
      <c r="AO557"/>
      <c r="BX557"/>
    </row>
    <row r="558" spans="24:76" x14ac:dyDescent="0.4">
      <c r="X558"/>
      <c r="AO558"/>
      <c r="BX558"/>
    </row>
    <row r="559" spans="24:76" x14ac:dyDescent="0.4">
      <c r="X559"/>
      <c r="AO559"/>
      <c r="BX559"/>
    </row>
    <row r="560" spans="24:76" x14ac:dyDescent="0.4">
      <c r="X560"/>
      <c r="AO560"/>
      <c r="BX560"/>
    </row>
    <row r="561" spans="24:76" x14ac:dyDescent="0.4">
      <c r="X561"/>
      <c r="AO561"/>
      <c r="BX561"/>
    </row>
    <row r="562" spans="24:76" x14ac:dyDescent="0.4">
      <c r="X562"/>
      <c r="AO562"/>
      <c r="BX562"/>
    </row>
    <row r="563" spans="24:76" x14ac:dyDescent="0.4">
      <c r="X563"/>
      <c r="AO563"/>
      <c r="BX563"/>
    </row>
    <row r="564" spans="24:76" x14ac:dyDescent="0.4">
      <c r="X564"/>
      <c r="AO564"/>
      <c r="BX564"/>
    </row>
    <row r="565" spans="24:76" x14ac:dyDescent="0.4">
      <c r="X565"/>
      <c r="AO565"/>
      <c r="BX565"/>
    </row>
    <row r="566" spans="24:76" x14ac:dyDescent="0.4">
      <c r="X566"/>
      <c r="AO566"/>
      <c r="BX566"/>
    </row>
    <row r="567" spans="24:76" x14ac:dyDescent="0.4">
      <c r="X567"/>
      <c r="AO567"/>
      <c r="BX567"/>
    </row>
    <row r="568" spans="24:76" x14ac:dyDescent="0.4">
      <c r="X568"/>
      <c r="AO568"/>
      <c r="BX568"/>
    </row>
    <row r="569" spans="24:76" x14ac:dyDescent="0.4">
      <c r="X569"/>
      <c r="AO569"/>
      <c r="BX569"/>
    </row>
    <row r="570" spans="24:76" x14ac:dyDescent="0.4">
      <c r="X570"/>
      <c r="AO570"/>
      <c r="BX570"/>
    </row>
    <row r="571" spans="24:76" x14ac:dyDescent="0.4">
      <c r="X571"/>
      <c r="AO571"/>
      <c r="BX571"/>
    </row>
    <row r="572" spans="24:76" x14ac:dyDescent="0.4">
      <c r="X572"/>
      <c r="AO572"/>
      <c r="BX572"/>
    </row>
    <row r="573" spans="24:76" x14ac:dyDescent="0.4">
      <c r="X573"/>
      <c r="AO573"/>
      <c r="BX573"/>
    </row>
    <row r="574" spans="24:76" x14ac:dyDescent="0.4">
      <c r="X574"/>
      <c r="AO574"/>
      <c r="BX574"/>
    </row>
    <row r="575" spans="24:76" x14ac:dyDescent="0.4">
      <c r="X575"/>
      <c r="AO575"/>
      <c r="BX575"/>
    </row>
    <row r="576" spans="24:76" x14ac:dyDescent="0.4">
      <c r="X576"/>
      <c r="AO576"/>
      <c r="BX576"/>
    </row>
    <row r="577" spans="24:76" x14ac:dyDescent="0.4">
      <c r="X577"/>
      <c r="AO577"/>
      <c r="BX577"/>
    </row>
    <row r="578" spans="24:76" x14ac:dyDescent="0.4">
      <c r="X578"/>
      <c r="AO578"/>
      <c r="BX578"/>
    </row>
    <row r="579" spans="24:76" x14ac:dyDescent="0.4">
      <c r="X579"/>
      <c r="AO579"/>
      <c r="BX579"/>
    </row>
    <row r="580" spans="24:76" x14ac:dyDescent="0.4">
      <c r="X580"/>
      <c r="AO580"/>
      <c r="BX580"/>
    </row>
    <row r="581" spans="24:76" x14ac:dyDescent="0.4">
      <c r="X581"/>
      <c r="AO581"/>
      <c r="BX581"/>
    </row>
    <row r="582" spans="24:76" x14ac:dyDescent="0.4">
      <c r="X582"/>
      <c r="AO582"/>
      <c r="BX582"/>
    </row>
    <row r="583" spans="24:76" x14ac:dyDescent="0.4">
      <c r="X583"/>
      <c r="AO583"/>
      <c r="BX583"/>
    </row>
    <row r="584" spans="24:76" x14ac:dyDescent="0.4">
      <c r="X584"/>
      <c r="AO584"/>
      <c r="BX584"/>
    </row>
    <row r="585" spans="24:76" x14ac:dyDescent="0.4">
      <c r="X585"/>
      <c r="AO585"/>
      <c r="BX585"/>
    </row>
    <row r="586" spans="24:76" x14ac:dyDescent="0.4">
      <c r="X586"/>
      <c r="AO586"/>
      <c r="BX586"/>
    </row>
    <row r="587" spans="24:76" x14ac:dyDescent="0.4">
      <c r="X587"/>
      <c r="AO587"/>
      <c r="BX587"/>
    </row>
    <row r="588" spans="24:76" x14ac:dyDescent="0.4">
      <c r="X588"/>
      <c r="AO588"/>
      <c r="BX588"/>
    </row>
    <row r="589" spans="24:76" x14ac:dyDescent="0.4">
      <c r="X589"/>
      <c r="AO589"/>
      <c r="BX589"/>
    </row>
    <row r="590" spans="24:76" x14ac:dyDescent="0.4">
      <c r="X590"/>
      <c r="AO590"/>
      <c r="BX590"/>
    </row>
    <row r="591" spans="24:76" x14ac:dyDescent="0.4">
      <c r="X591"/>
      <c r="AO591"/>
      <c r="BX591"/>
    </row>
    <row r="592" spans="24:76" x14ac:dyDescent="0.4">
      <c r="X592"/>
      <c r="AO592"/>
      <c r="BX592"/>
    </row>
    <row r="593" spans="24:76" x14ac:dyDescent="0.4">
      <c r="X593"/>
      <c r="AO593"/>
      <c r="BX593"/>
    </row>
    <row r="594" spans="24:76" x14ac:dyDescent="0.4">
      <c r="X594"/>
      <c r="AO594"/>
      <c r="BX594"/>
    </row>
    <row r="595" spans="24:76" x14ac:dyDescent="0.4">
      <c r="X595"/>
      <c r="AO595"/>
      <c r="BX595"/>
    </row>
    <row r="596" spans="24:76" x14ac:dyDescent="0.4">
      <c r="X596"/>
      <c r="AO596"/>
      <c r="BX596"/>
    </row>
    <row r="597" spans="24:76" x14ac:dyDescent="0.4">
      <c r="X597"/>
      <c r="AO597"/>
      <c r="BX597"/>
    </row>
    <row r="598" spans="24:76" x14ac:dyDescent="0.4">
      <c r="X598"/>
      <c r="AO598"/>
      <c r="BX598"/>
    </row>
    <row r="599" spans="24:76" x14ac:dyDescent="0.4">
      <c r="X599"/>
      <c r="AO599"/>
      <c r="BX599"/>
    </row>
    <row r="600" spans="24:76" x14ac:dyDescent="0.4">
      <c r="X600"/>
      <c r="AO600"/>
      <c r="BX600"/>
    </row>
    <row r="601" spans="24:76" x14ac:dyDescent="0.4">
      <c r="X601"/>
      <c r="AO601"/>
      <c r="BX601"/>
    </row>
    <row r="602" spans="24:76" x14ac:dyDescent="0.4">
      <c r="X602"/>
      <c r="AO602"/>
      <c r="BX602"/>
    </row>
    <row r="603" spans="24:76" x14ac:dyDescent="0.4">
      <c r="X603"/>
      <c r="AO603"/>
      <c r="BX603"/>
    </row>
    <row r="604" spans="24:76" x14ac:dyDescent="0.4">
      <c r="X604"/>
      <c r="AO604"/>
      <c r="BX604"/>
    </row>
    <row r="605" spans="24:76" x14ac:dyDescent="0.4">
      <c r="X605"/>
      <c r="AO605"/>
      <c r="BX605"/>
    </row>
    <row r="606" spans="24:76" x14ac:dyDescent="0.4">
      <c r="X606"/>
      <c r="AO606"/>
      <c r="BX606"/>
    </row>
    <row r="607" spans="24:76" x14ac:dyDescent="0.4">
      <c r="X607"/>
      <c r="AO607"/>
      <c r="BX607"/>
    </row>
    <row r="608" spans="24:76" x14ac:dyDescent="0.4">
      <c r="X608"/>
      <c r="AO608"/>
      <c r="BX608"/>
    </row>
    <row r="609" spans="24:76" x14ac:dyDescent="0.4">
      <c r="X609"/>
      <c r="AO609"/>
      <c r="BX609"/>
    </row>
    <row r="610" spans="24:76" x14ac:dyDescent="0.4">
      <c r="X610"/>
      <c r="AO610"/>
      <c r="BX610"/>
    </row>
    <row r="611" spans="24:76" x14ac:dyDescent="0.4">
      <c r="X611"/>
      <c r="AO611"/>
      <c r="BX611"/>
    </row>
    <row r="612" spans="24:76" x14ac:dyDescent="0.4">
      <c r="X612"/>
      <c r="AO612"/>
      <c r="BX612"/>
    </row>
    <row r="613" spans="24:76" x14ac:dyDescent="0.4">
      <c r="X613"/>
      <c r="AO613"/>
      <c r="BX613"/>
    </row>
    <row r="614" spans="24:76" x14ac:dyDescent="0.4">
      <c r="X614"/>
      <c r="AO614"/>
      <c r="BX614"/>
    </row>
    <row r="615" spans="24:76" x14ac:dyDescent="0.4">
      <c r="X615"/>
      <c r="AO615"/>
      <c r="BX615"/>
    </row>
    <row r="616" spans="24:76" x14ac:dyDescent="0.4">
      <c r="X616"/>
      <c r="AO616"/>
      <c r="BX616"/>
    </row>
    <row r="617" spans="24:76" x14ac:dyDescent="0.4">
      <c r="X617"/>
      <c r="AO617"/>
      <c r="BX617"/>
    </row>
    <row r="618" spans="24:76" x14ac:dyDescent="0.4">
      <c r="X618"/>
      <c r="AO618"/>
      <c r="BX618"/>
    </row>
    <row r="619" spans="24:76" x14ac:dyDescent="0.4">
      <c r="X619"/>
      <c r="AO619"/>
      <c r="BX619"/>
    </row>
    <row r="620" spans="24:76" x14ac:dyDescent="0.4">
      <c r="X620"/>
      <c r="AO620"/>
      <c r="BX620"/>
    </row>
    <row r="621" spans="24:76" x14ac:dyDescent="0.4">
      <c r="X621"/>
      <c r="AO621"/>
      <c r="BX621"/>
    </row>
    <row r="622" spans="24:76" x14ac:dyDescent="0.4">
      <c r="X622"/>
      <c r="AO622"/>
      <c r="BX622"/>
    </row>
    <row r="623" spans="24:76" x14ac:dyDescent="0.4">
      <c r="X623"/>
      <c r="AO623"/>
      <c r="BX623"/>
    </row>
    <row r="624" spans="24:76" x14ac:dyDescent="0.4">
      <c r="X624"/>
      <c r="AO624"/>
      <c r="BX624"/>
    </row>
    <row r="625" spans="24:76" x14ac:dyDescent="0.4">
      <c r="X625"/>
      <c r="AO625"/>
      <c r="BX625"/>
    </row>
    <row r="626" spans="24:76" x14ac:dyDescent="0.4">
      <c r="X626"/>
      <c r="AO626"/>
      <c r="BX626"/>
    </row>
    <row r="627" spans="24:76" x14ac:dyDescent="0.4">
      <c r="X627"/>
      <c r="AO627"/>
      <c r="BX627"/>
    </row>
    <row r="628" spans="24:76" x14ac:dyDescent="0.4">
      <c r="X628"/>
      <c r="AO628"/>
      <c r="BX628"/>
    </row>
    <row r="629" spans="24:76" x14ac:dyDescent="0.4">
      <c r="X629"/>
      <c r="AO629"/>
      <c r="BX629"/>
    </row>
    <row r="630" spans="24:76" x14ac:dyDescent="0.4">
      <c r="X630"/>
      <c r="AO630"/>
      <c r="BX630"/>
    </row>
    <row r="631" spans="24:76" x14ac:dyDescent="0.4">
      <c r="X631"/>
      <c r="AO631"/>
      <c r="BX631"/>
    </row>
    <row r="632" spans="24:76" x14ac:dyDescent="0.4">
      <c r="X632"/>
      <c r="AO632"/>
      <c r="BX632"/>
    </row>
    <row r="633" spans="24:76" x14ac:dyDescent="0.4">
      <c r="X633"/>
      <c r="AO633"/>
      <c r="BX633"/>
    </row>
    <row r="634" spans="24:76" x14ac:dyDescent="0.4">
      <c r="X634"/>
      <c r="AO634"/>
      <c r="BX634"/>
    </row>
    <row r="635" spans="24:76" x14ac:dyDescent="0.4">
      <c r="X635"/>
      <c r="AO635"/>
      <c r="BX635"/>
    </row>
    <row r="636" spans="24:76" x14ac:dyDescent="0.4">
      <c r="X636"/>
      <c r="AO636"/>
      <c r="BX636"/>
    </row>
    <row r="637" spans="24:76" x14ac:dyDescent="0.4">
      <c r="X637"/>
      <c r="AO637"/>
      <c r="BX637"/>
    </row>
    <row r="638" spans="24:76" x14ac:dyDescent="0.4">
      <c r="X638"/>
      <c r="AO638"/>
      <c r="BX638"/>
    </row>
    <row r="639" spans="24:76" x14ac:dyDescent="0.4">
      <c r="X639"/>
      <c r="AO639"/>
      <c r="BX639"/>
    </row>
    <row r="640" spans="24:76" x14ac:dyDescent="0.4">
      <c r="X640"/>
      <c r="AO640"/>
      <c r="BX640"/>
    </row>
    <row r="641" spans="24:76" x14ac:dyDescent="0.4">
      <c r="X641"/>
      <c r="AO641"/>
      <c r="BX641"/>
    </row>
    <row r="642" spans="24:76" x14ac:dyDescent="0.4">
      <c r="X642"/>
      <c r="AO642"/>
      <c r="BX642"/>
    </row>
    <row r="643" spans="24:76" x14ac:dyDescent="0.4">
      <c r="X643"/>
      <c r="AO643"/>
      <c r="BX643"/>
    </row>
    <row r="644" spans="24:76" x14ac:dyDescent="0.4">
      <c r="X644"/>
      <c r="AO644"/>
      <c r="BX644"/>
    </row>
    <row r="645" spans="24:76" x14ac:dyDescent="0.4">
      <c r="X645"/>
      <c r="AO645"/>
      <c r="BX645"/>
    </row>
    <row r="646" spans="24:76" x14ac:dyDescent="0.4">
      <c r="X646"/>
      <c r="AO646"/>
      <c r="BX646"/>
    </row>
    <row r="647" spans="24:76" x14ac:dyDescent="0.4">
      <c r="X647"/>
      <c r="AO647"/>
      <c r="BX647"/>
    </row>
    <row r="648" spans="24:76" x14ac:dyDescent="0.4">
      <c r="X648"/>
      <c r="AO648"/>
      <c r="BX648"/>
    </row>
    <row r="649" spans="24:76" x14ac:dyDescent="0.4">
      <c r="X649"/>
      <c r="AO649"/>
      <c r="BX649"/>
    </row>
    <row r="650" spans="24:76" x14ac:dyDescent="0.4">
      <c r="X650"/>
      <c r="AO650"/>
      <c r="BX650"/>
    </row>
    <row r="651" spans="24:76" x14ac:dyDescent="0.4">
      <c r="X651"/>
      <c r="AO651"/>
      <c r="BX651"/>
    </row>
    <row r="652" spans="24:76" x14ac:dyDescent="0.4">
      <c r="X652"/>
      <c r="AO652"/>
      <c r="BX652"/>
    </row>
    <row r="653" spans="24:76" x14ac:dyDescent="0.4">
      <c r="X653"/>
      <c r="AO653"/>
      <c r="BX653"/>
    </row>
    <row r="654" spans="24:76" x14ac:dyDescent="0.4">
      <c r="X654"/>
      <c r="AO654"/>
      <c r="BX654"/>
    </row>
    <row r="655" spans="24:76" x14ac:dyDescent="0.4">
      <c r="X655"/>
      <c r="AO655"/>
      <c r="BX655"/>
    </row>
    <row r="656" spans="24:76" x14ac:dyDescent="0.4">
      <c r="X656"/>
      <c r="AO656"/>
      <c r="BX656"/>
    </row>
    <row r="657" spans="24:76" x14ac:dyDescent="0.4">
      <c r="X657"/>
      <c r="AO657"/>
      <c r="BX657"/>
    </row>
    <row r="658" spans="24:76" x14ac:dyDescent="0.4">
      <c r="X658"/>
      <c r="AO658"/>
      <c r="BX658"/>
    </row>
    <row r="659" spans="24:76" x14ac:dyDescent="0.4">
      <c r="X659"/>
      <c r="AO659"/>
      <c r="BX659"/>
    </row>
    <row r="660" spans="24:76" x14ac:dyDescent="0.4">
      <c r="X660"/>
      <c r="AO660"/>
      <c r="BX660"/>
    </row>
    <row r="661" spans="24:76" x14ac:dyDescent="0.4">
      <c r="X661"/>
      <c r="AO661"/>
      <c r="BX661"/>
    </row>
    <row r="662" spans="24:76" x14ac:dyDescent="0.4">
      <c r="X662"/>
      <c r="AO662"/>
      <c r="BX662"/>
    </row>
    <row r="663" spans="24:76" x14ac:dyDescent="0.4">
      <c r="X663"/>
      <c r="AO663"/>
      <c r="BX663"/>
    </row>
    <row r="664" spans="24:76" x14ac:dyDescent="0.4">
      <c r="X664"/>
      <c r="AO664"/>
      <c r="BX664"/>
    </row>
    <row r="665" spans="24:76" x14ac:dyDescent="0.4">
      <c r="X665"/>
      <c r="AO665"/>
      <c r="BX665"/>
    </row>
    <row r="666" spans="24:76" x14ac:dyDescent="0.4">
      <c r="X666"/>
      <c r="AO666"/>
      <c r="BX666"/>
    </row>
    <row r="667" spans="24:76" x14ac:dyDescent="0.4">
      <c r="X667"/>
      <c r="AO667"/>
      <c r="BX667"/>
    </row>
    <row r="668" spans="24:76" x14ac:dyDescent="0.4">
      <c r="X668"/>
      <c r="AO668"/>
      <c r="BX668"/>
    </row>
    <row r="669" spans="24:76" x14ac:dyDescent="0.4">
      <c r="X669"/>
      <c r="AO669"/>
      <c r="BX669"/>
    </row>
    <row r="670" spans="24:76" x14ac:dyDescent="0.4">
      <c r="X670"/>
      <c r="AO670"/>
      <c r="BX670"/>
    </row>
    <row r="671" spans="24:76" x14ac:dyDescent="0.4">
      <c r="X671"/>
      <c r="AO671"/>
      <c r="BX671"/>
    </row>
    <row r="672" spans="24:76" x14ac:dyDescent="0.4">
      <c r="X672"/>
      <c r="AO672"/>
      <c r="BX672"/>
    </row>
    <row r="673" spans="24:76" x14ac:dyDescent="0.4">
      <c r="X673"/>
      <c r="AO673"/>
      <c r="BX673"/>
    </row>
    <row r="674" spans="24:76" x14ac:dyDescent="0.4">
      <c r="X674"/>
      <c r="AO674"/>
      <c r="BX674"/>
    </row>
    <row r="675" spans="24:76" x14ac:dyDescent="0.4">
      <c r="X675"/>
      <c r="AO675"/>
      <c r="BX675"/>
    </row>
    <row r="676" spans="24:76" x14ac:dyDescent="0.4">
      <c r="X676"/>
      <c r="AO676"/>
      <c r="BX676"/>
    </row>
    <row r="677" spans="24:76" x14ac:dyDescent="0.4">
      <c r="X677"/>
      <c r="AO677"/>
      <c r="BX677"/>
    </row>
    <row r="678" spans="24:76" x14ac:dyDescent="0.4">
      <c r="X678"/>
      <c r="AO678"/>
      <c r="BX678"/>
    </row>
    <row r="679" spans="24:76" x14ac:dyDescent="0.4">
      <c r="X679"/>
      <c r="AO679"/>
      <c r="BX679"/>
    </row>
    <row r="680" spans="24:76" x14ac:dyDescent="0.4">
      <c r="X680"/>
      <c r="AO680"/>
      <c r="BX680"/>
    </row>
    <row r="681" spans="24:76" x14ac:dyDescent="0.4">
      <c r="X681"/>
      <c r="AO681"/>
      <c r="BX681"/>
    </row>
    <row r="682" spans="24:76" x14ac:dyDescent="0.4">
      <c r="X682"/>
      <c r="AO682"/>
      <c r="BX682"/>
    </row>
    <row r="683" spans="24:76" x14ac:dyDescent="0.4">
      <c r="X683"/>
      <c r="AO683"/>
      <c r="BX683"/>
    </row>
    <row r="684" spans="24:76" x14ac:dyDescent="0.4">
      <c r="X684"/>
      <c r="AO684"/>
      <c r="BX684"/>
    </row>
    <row r="685" spans="24:76" x14ac:dyDescent="0.4">
      <c r="X685"/>
      <c r="AO685"/>
      <c r="BX685"/>
    </row>
    <row r="686" spans="24:76" x14ac:dyDescent="0.4">
      <c r="X686"/>
      <c r="AO686"/>
      <c r="BX686"/>
    </row>
    <row r="687" spans="24:76" x14ac:dyDescent="0.4">
      <c r="X687"/>
      <c r="AO687"/>
      <c r="BX687"/>
    </row>
    <row r="688" spans="24:76" x14ac:dyDescent="0.4">
      <c r="X688"/>
      <c r="AO688"/>
      <c r="BX688"/>
    </row>
    <row r="689" spans="24:76" x14ac:dyDescent="0.4">
      <c r="X689"/>
      <c r="AO689"/>
      <c r="BX689"/>
    </row>
    <row r="690" spans="24:76" x14ac:dyDescent="0.4">
      <c r="X690"/>
      <c r="AO690"/>
      <c r="BX690"/>
    </row>
    <row r="691" spans="24:76" x14ac:dyDescent="0.4">
      <c r="X691"/>
      <c r="AO691"/>
      <c r="BX691"/>
    </row>
    <row r="692" spans="24:76" x14ac:dyDescent="0.4">
      <c r="X692"/>
      <c r="AO692"/>
      <c r="BX692"/>
    </row>
    <row r="693" spans="24:76" x14ac:dyDescent="0.4">
      <c r="X693"/>
      <c r="AO693"/>
      <c r="BX693"/>
    </row>
    <row r="694" spans="24:76" x14ac:dyDescent="0.4">
      <c r="X694"/>
      <c r="AO694"/>
      <c r="BX694"/>
    </row>
    <row r="695" spans="24:76" x14ac:dyDescent="0.4">
      <c r="X695"/>
      <c r="AO695"/>
      <c r="BX695"/>
    </row>
    <row r="696" spans="24:76" x14ac:dyDescent="0.4">
      <c r="X696"/>
      <c r="AO696"/>
      <c r="BX696"/>
    </row>
    <row r="697" spans="24:76" x14ac:dyDescent="0.4">
      <c r="X697"/>
      <c r="AO697"/>
      <c r="BX697"/>
    </row>
    <row r="698" spans="24:76" x14ac:dyDescent="0.4">
      <c r="X698"/>
      <c r="AO698"/>
      <c r="BX698"/>
    </row>
    <row r="699" spans="24:76" x14ac:dyDescent="0.4">
      <c r="X699"/>
      <c r="AO699"/>
      <c r="BX699"/>
    </row>
    <row r="700" spans="24:76" x14ac:dyDescent="0.4">
      <c r="X700"/>
      <c r="AO700"/>
      <c r="BX700"/>
    </row>
    <row r="701" spans="24:76" x14ac:dyDescent="0.4">
      <c r="X701"/>
      <c r="AO701"/>
      <c r="BX701"/>
    </row>
    <row r="702" spans="24:76" x14ac:dyDescent="0.4">
      <c r="X702"/>
      <c r="AO702"/>
      <c r="BX702"/>
    </row>
    <row r="703" spans="24:76" x14ac:dyDescent="0.4">
      <c r="X703"/>
      <c r="AO703"/>
      <c r="BX703"/>
    </row>
    <row r="704" spans="24:76" x14ac:dyDescent="0.4">
      <c r="X704"/>
      <c r="AO704"/>
      <c r="BX704"/>
    </row>
    <row r="705" spans="24:76" x14ac:dyDescent="0.4">
      <c r="X705"/>
      <c r="AO705"/>
      <c r="BX705"/>
    </row>
    <row r="706" spans="24:76" x14ac:dyDescent="0.4">
      <c r="X706"/>
      <c r="AO706"/>
      <c r="BX706"/>
    </row>
    <row r="707" spans="24:76" x14ac:dyDescent="0.4">
      <c r="X707"/>
      <c r="AO707"/>
      <c r="BX707"/>
    </row>
    <row r="708" spans="24:76" x14ac:dyDescent="0.4">
      <c r="X708"/>
      <c r="AO708"/>
      <c r="BX708"/>
    </row>
    <row r="709" spans="24:76" x14ac:dyDescent="0.4">
      <c r="X709"/>
      <c r="AO709"/>
      <c r="BX709"/>
    </row>
    <row r="710" spans="24:76" x14ac:dyDescent="0.4">
      <c r="X710"/>
      <c r="AO710"/>
      <c r="BX710"/>
    </row>
    <row r="711" spans="24:76" x14ac:dyDescent="0.4">
      <c r="X711"/>
      <c r="AO711"/>
      <c r="BX711"/>
    </row>
    <row r="712" spans="24:76" x14ac:dyDescent="0.4">
      <c r="X712"/>
      <c r="AO712"/>
      <c r="BX712"/>
    </row>
    <row r="713" spans="24:76" x14ac:dyDescent="0.4">
      <c r="X713"/>
      <c r="AO713"/>
      <c r="BX713"/>
    </row>
    <row r="714" spans="24:76" x14ac:dyDescent="0.4">
      <c r="X714"/>
      <c r="AO714"/>
      <c r="BX714"/>
    </row>
    <row r="715" spans="24:76" x14ac:dyDescent="0.4">
      <c r="X715"/>
      <c r="AO715"/>
      <c r="BX715"/>
    </row>
    <row r="716" spans="24:76" x14ac:dyDescent="0.4">
      <c r="X716"/>
      <c r="AO716"/>
      <c r="BX716"/>
    </row>
    <row r="717" spans="24:76" x14ac:dyDescent="0.4">
      <c r="X717"/>
      <c r="AO717"/>
      <c r="BX717"/>
    </row>
    <row r="718" spans="24:76" x14ac:dyDescent="0.4">
      <c r="X718"/>
      <c r="AO718"/>
      <c r="BX718"/>
    </row>
    <row r="719" spans="24:76" x14ac:dyDescent="0.4">
      <c r="X719"/>
      <c r="AO719"/>
      <c r="BX719"/>
    </row>
    <row r="720" spans="24:76" x14ac:dyDescent="0.4">
      <c r="X720"/>
      <c r="AO720"/>
      <c r="BX720"/>
    </row>
    <row r="721" spans="24:76" x14ac:dyDescent="0.4">
      <c r="X721"/>
      <c r="AO721"/>
      <c r="BX721"/>
    </row>
    <row r="722" spans="24:76" x14ac:dyDescent="0.4">
      <c r="X722"/>
      <c r="AO722"/>
      <c r="BX722"/>
    </row>
    <row r="723" spans="24:76" x14ac:dyDescent="0.4">
      <c r="X723"/>
      <c r="AO723"/>
      <c r="BX723"/>
    </row>
    <row r="724" spans="24:76" x14ac:dyDescent="0.4">
      <c r="X724"/>
      <c r="AO724"/>
      <c r="BX724"/>
    </row>
    <row r="725" spans="24:76" x14ac:dyDescent="0.4">
      <c r="X725"/>
      <c r="AO725"/>
      <c r="BX725"/>
    </row>
    <row r="726" spans="24:76" x14ac:dyDescent="0.4">
      <c r="X726"/>
      <c r="AO726"/>
      <c r="BX726"/>
    </row>
    <row r="727" spans="24:76" x14ac:dyDescent="0.4">
      <c r="X727"/>
      <c r="AO727"/>
      <c r="BX727"/>
    </row>
    <row r="728" spans="24:76" x14ac:dyDescent="0.4">
      <c r="X728"/>
      <c r="AO728"/>
      <c r="BX728"/>
    </row>
    <row r="729" spans="24:76" x14ac:dyDescent="0.4">
      <c r="X729"/>
      <c r="AO729"/>
      <c r="BX729"/>
    </row>
    <row r="730" spans="24:76" x14ac:dyDescent="0.4">
      <c r="X730"/>
      <c r="AO730"/>
      <c r="BX730"/>
    </row>
    <row r="731" spans="24:76" x14ac:dyDescent="0.4">
      <c r="X731"/>
      <c r="AO731"/>
      <c r="BX731"/>
    </row>
    <row r="732" spans="24:76" x14ac:dyDescent="0.4">
      <c r="X732"/>
      <c r="AO732"/>
      <c r="BX732"/>
    </row>
    <row r="733" spans="24:76" x14ac:dyDescent="0.4">
      <c r="X733"/>
      <c r="AO733"/>
      <c r="BX733"/>
    </row>
    <row r="734" spans="24:76" x14ac:dyDescent="0.4">
      <c r="X734"/>
      <c r="AO734"/>
      <c r="BX734"/>
    </row>
    <row r="735" spans="24:76" x14ac:dyDescent="0.4">
      <c r="X735"/>
      <c r="AO735"/>
      <c r="BX735"/>
    </row>
    <row r="736" spans="24:76" x14ac:dyDescent="0.4">
      <c r="X736"/>
      <c r="AO736"/>
      <c r="BX736"/>
    </row>
    <row r="737" spans="24:76" x14ac:dyDescent="0.4">
      <c r="X737"/>
      <c r="AO737"/>
      <c r="BX737"/>
    </row>
    <row r="738" spans="24:76" x14ac:dyDescent="0.4">
      <c r="X738"/>
      <c r="AO738"/>
      <c r="BX738"/>
    </row>
    <row r="739" spans="24:76" x14ac:dyDescent="0.4">
      <c r="X739"/>
      <c r="AO739"/>
      <c r="BX739"/>
    </row>
    <row r="740" spans="24:76" x14ac:dyDescent="0.4">
      <c r="X740"/>
      <c r="AO740"/>
      <c r="BX740"/>
    </row>
    <row r="741" spans="24:76" x14ac:dyDescent="0.4">
      <c r="X741"/>
      <c r="AO741"/>
      <c r="BX741"/>
    </row>
    <row r="742" spans="24:76" x14ac:dyDescent="0.4">
      <c r="X742"/>
      <c r="AO742"/>
      <c r="BX742"/>
    </row>
    <row r="743" spans="24:76" x14ac:dyDescent="0.4">
      <c r="X743"/>
      <c r="AO743"/>
      <c r="BX743"/>
    </row>
    <row r="744" spans="24:76" x14ac:dyDescent="0.4">
      <c r="X744"/>
      <c r="AO744"/>
      <c r="BX744"/>
    </row>
    <row r="745" spans="24:76" x14ac:dyDescent="0.4">
      <c r="X745"/>
      <c r="AO745"/>
      <c r="BX745"/>
    </row>
    <row r="746" spans="24:76" x14ac:dyDescent="0.4">
      <c r="X746"/>
      <c r="AO746"/>
      <c r="BX746"/>
    </row>
    <row r="747" spans="24:76" x14ac:dyDescent="0.4">
      <c r="X747"/>
      <c r="AO747"/>
      <c r="BX747"/>
    </row>
    <row r="748" spans="24:76" x14ac:dyDescent="0.4">
      <c r="X748"/>
      <c r="AO748"/>
      <c r="BX748"/>
    </row>
    <row r="749" spans="24:76" x14ac:dyDescent="0.4">
      <c r="X749"/>
      <c r="AO749"/>
      <c r="BX749"/>
    </row>
    <row r="750" spans="24:76" x14ac:dyDescent="0.4">
      <c r="X750"/>
      <c r="AO750"/>
      <c r="BX750"/>
    </row>
    <row r="751" spans="24:76" x14ac:dyDescent="0.4">
      <c r="X751"/>
      <c r="AO751"/>
      <c r="BX751"/>
    </row>
    <row r="752" spans="24:76" x14ac:dyDescent="0.4">
      <c r="X752"/>
      <c r="AO752"/>
      <c r="BX752"/>
    </row>
    <row r="753" spans="24:76" x14ac:dyDescent="0.4">
      <c r="X753"/>
      <c r="AO753"/>
      <c r="BX753"/>
    </row>
    <row r="754" spans="24:76" x14ac:dyDescent="0.4">
      <c r="X754"/>
      <c r="AO754"/>
      <c r="BX754"/>
    </row>
    <row r="755" spans="24:76" x14ac:dyDescent="0.4">
      <c r="X755"/>
      <c r="AO755"/>
      <c r="BX755"/>
    </row>
    <row r="756" spans="24:76" x14ac:dyDescent="0.4">
      <c r="X756"/>
      <c r="AO756"/>
      <c r="BX756"/>
    </row>
    <row r="757" spans="24:76" x14ac:dyDescent="0.4">
      <c r="X757"/>
      <c r="AO757"/>
      <c r="BX757"/>
    </row>
    <row r="758" spans="24:76" x14ac:dyDescent="0.4">
      <c r="X758"/>
      <c r="AO758"/>
      <c r="BX758"/>
    </row>
    <row r="759" spans="24:76" x14ac:dyDescent="0.4">
      <c r="X759"/>
      <c r="AO759"/>
      <c r="BX759"/>
    </row>
    <row r="760" spans="24:76" x14ac:dyDescent="0.4">
      <c r="X760"/>
      <c r="AO760"/>
      <c r="BX760"/>
    </row>
    <row r="761" spans="24:76" x14ac:dyDescent="0.4">
      <c r="X761"/>
      <c r="AO761"/>
      <c r="BX761"/>
    </row>
    <row r="762" spans="24:76" x14ac:dyDescent="0.4">
      <c r="X762"/>
      <c r="AO762"/>
      <c r="BX762"/>
    </row>
    <row r="763" spans="24:76" x14ac:dyDescent="0.4">
      <c r="X763"/>
      <c r="AO763"/>
      <c r="BX763"/>
    </row>
    <row r="764" spans="24:76" x14ac:dyDescent="0.4">
      <c r="X764"/>
      <c r="AO764"/>
      <c r="BX764"/>
    </row>
    <row r="765" spans="24:76" x14ac:dyDescent="0.4">
      <c r="X765"/>
      <c r="AO765"/>
      <c r="BX765"/>
    </row>
    <row r="766" spans="24:76" x14ac:dyDescent="0.4">
      <c r="X766"/>
      <c r="AO766"/>
      <c r="BX766"/>
    </row>
    <row r="767" spans="24:76" x14ac:dyDescent="0.4">
      <c r="X767"/>
      <c r="AO767"/>
      <c r="BX767"/>
    </row>
    <row r="768" spans="24:76" x14ac:dyDescent="0.4">
      <c r="X768"/>
      <c r="AO768"/>
      <c r="BX768"/>
    </row>
    <row r="769" spans="24:76" x14ac:dyDescent="0.4">
      <c r="X769"/>
      <c r="AO769"/>
      <c r="BX769"/>
    </row>
    <row r="770" spans="24:76" x14ac:dyDescent="0.4">
      <c r="X770"/>
      <c r="AO770"/>
      <c r="BX770"/>
    </row>
    <row r="771" spans="24:76" x14ac:dyDescent="0.4">
      <c r="X771"/>
      <c r="AO771"/>
      <c r="BX771"/>
    </row>
    <row r="772" spans="24:76" x14ac:dyDescent="0.4">
      <c r="X772"/>
      <c r="AO772"/>
      <c r="BX772"/>
    </row>
    <row r="773" spans="24:76" x14ac:dyDescent="0.4">
      <c r="X773"/>
      <c r="AO773"/>
      <c r="BX773"/>
    </row>
    <row r="774" spans="24:76" x14ac:dyDescent="0.4">
      <c r="X774"/>
      <c r="AO774"/>
      <c r="BX774"/>
    </row>
    <row r="775" spans="24:76" x14ac:dyDescent="0.4">
      <c r="X775"/>
      <c r="AO775"/>
      <c r="BX775"/>
    </row>
    <row r="776" spans="24:76" x14ac:dyDescent="0.4">
      <c r="X776"/>
      <c r="AO776"/>
      <c r="BX776"/>
    </row>
    <row r="777" spans="24:76" x14ac:dyDescent="0.4">
      <c r="X777"/>
      <c r="AO777"/>
      <c r="BX777"/>
    </row>
    <row r="778" spans="24:76" x14ac:dyDescent="0.4">
      <c r="X778"/>
      <c r="AO778"/>
      <c r="BX778"/>
    </row>
    <row r="779" spans="24:76" x14ac:dyDescent="0.4">
      <c r="X779"/>
      <c r="AO779"/>
      <c r="BX779"/>
    </row>
    <row r="780" spans="24:76" x14ac:dyDescent="0.4">
      <c r="X780"/>
      <c r="AO780"/>
      <c r="BX780"/>
    </row>
    <row r="781" spans="24:76" x14ac:dyDescent="0.4">
      <c r="X781"/>
      <c r="AO781"/>
      <c r="BX781"/>
    </row>
    <row r="782" spans="24:76" x14ac:dyDescent="0.4">
      <c r="X782"/>
      <c r="AO782"/>
      <c r="BX782"/>
    </row>
    <row r="783" spans="24:76" x14ac:dyDescent="0.4">
      <c r="X783"/>
      <c r="AO783"/>
      <c r="BX783"/>
    </row>
    <row r="784" spans="24:76" x14ac:dyDescent="0.4">
      <c r="X784"/>
      <c r="AO784"/>
      <c r="BX784"/>
    </row>
    <row r="785" spans="24:76" x14ac:dyDescent="0.4">
      <c r="X785"/>
      <c r="AO785"/>
      <c r="BX785"/>
    </row>
    <row r="786" spans="24:76" x14ac:dyDescent="0.4">
      <c r="X786"/>
      <c r="AO786"/>
      <c r="BX786"/>
    </row>
    <row r="787" spans="24:76" x14ac:dyDescent="0.4">
      <c r="X787"/>
      <c r="AO787"/>
      <c r="BX787"/>
    </row>
    <row r="788" spans="24:76" x14ac:dyDescent="0.4">
      <c r="X788"/>
      <c r="AO788"/>
      <c r="BX788"/>
    </row>
    <row r="789" spans="24:76" x14ac:dyDescent="0.4">
      <c r="X789"/>
      <c r="AO789"/>
      <c r="BX789"/>
    </row>
    <row r="790" spans="24:76" x14ac:dyDescent="0.4">
      <c r="X790"/>
      <c r="AO790"/>
      <c r="BX790"/>
    </row>
    <row r="791" spans="24:76" x14ac:dyDescent="0.4">
      <c r="X791"/>
      <c r="AO791"/>
      <c r="BX791"/>
    </row>
    <row r="792" spans="24:76" x14ac:dyDescent="0.4">
      <c r="X792"/>
      <c r="AO792"/>
      <c r="BX792"/>
    </row>
    <row r="793" spans="24:76" x14ac:dyDescent="0.4">
      <c r="X793"/>
      <c r="AO793"/>
      <c r="BX793"/>
    </row>
    <row r="794" spans="24:76" x14ac:dyDescent="0.4">
      <c r="X794"/>
      <c r="AO794"/>
      <c r="BX794"/>
    </row>
    <row r="795" spans="24:76" x14ac:dyDescent="0.4">
      <c r="X795"/>
      <c r="AO795"/>
      <c r="BX795"/>
    </row>
    <row r="796" spans="24:76" x14ac:dyDescent="0.4">
      <c r="X796"/>
      <c r="AO796"/>
      <c r="BX796"/>
    </row>
    <row r="797" spans="24:76" x14ac:dyDescent="0.4">
      <c r="X797"/>
      <c r="AO797"/>
      <c r="BX797"/>
    </row>
    <row r="798" spans="24:76" x14ac:dyDescent="0.4">
      <c r="X798"/>
      <c r="AO798"/>
      <c r="BX798"/>
    </row>
    <row r="799" spans="24:76" x14ac:dyDescent="0.4">
      <c r="X799"/>
      <c r="AO799"/>
      <c r="BX799"/>
    </row>
    <row r="800" spans="24:76" x14ac:dyDescent="0.4">
      <c r="X800"/>
      <c r="AO800"/>
      <c r="BX800"/>
    </row>
    <row r="801" spans="24:76" x14ac:dyDescent="0.4">
      <c r="X801"/>
      <c r="AO801"/>
      <c r="BX801"/>
    </row>
    <row r="802" spans="24:76" x14ac:dyDescent="0.4">
      <c r="X802"/>
      <c r="AO802"/>
      <c r="BX802"/>
    </row>
    <row r="803" spans="24:76" x14ac:dyDescent="0.4">
      <c r="X803"/>
      <c r="AO803"/>
      <c r="BX803"/>
    </row>
    <row r="804" spans="24:76" x14ac:dyDescent="0.4">
      <c r="X804"/>
      <c r="AO804"/>
      <c r="BX804"/>
    </row>
    <row r="805" spans="24:76" x14ac:dyDescent="0.4">
      <c r="X805"/>
      <c r="AO805"/>
      <c r="BX805"/>
    </row>
    <row r="806" spans="24:76" x14ac:dyDescent="0.4">
      <c r="X806"/>
      <c r="AO806"/>
      <c r="BX806"/>
    </row>
    <row r="807" spans="24:76" x14ac:dyDescent="0.4">
      <c r="X807"/>
      <c r="AO807"/>
      <c r="BX807"/>
    </row>
    <row r="808" spans="24:76" x14ac:dyDescent="0.4">
      <c r="X808"/>
      <c r="AO808"/>
      <c r="BX808"/>
    </row>
    <row r="809" spans="24:76" x14ac:dyDescent="0.4">
      <c r="X809"/>
      <c r="AO809"/>
      <c r="BX809"/>
    </row>
    <row r="810" spans="24:76" x14ac:dyDescent="0.4">
      <c r="X810"/>
      <c r="AO810"/>
      <c r="BX810"/>
    </row>
    <row r="811" spans="24:76" x14ac:dyDescent="0.4">
      <c r="X811"/>
      <c r="AO811"/>
      <c r="BX811"/>
    </row>
    <row r="812" spans="24:76" x14ac:dyDescent="0.4">
      <c r="X812"/>
      <c r="AO812"/>
      <c r="BX812"/>
    </row>
    <row r="813" spans="24:76" x14ac:dyDescent="0.4">
      <c r="X813"/>
      <c r="AO813"/>
      <c r="BX813"/>
    </row>
    <row r="814" spans="24:76" x14ac:dyDescent="0.4">
      <c r="X814"/>
      <c r="AO814"/>
      <c r="BX814"/>
    </row>
    <row r="815" spans="24:76" x14ac:dyDescent="0.4">
      <c r="X815"/>
      <c r="AO815"/>
      <c r="BX815"/>
    </row>
    <row r="816" spans="24:76" x14ac:dyDescent="0.4">
      <c r="X816"/>
      <c r="AO816"/>
      <c r="BX816"/>
    </row>
    <row r="817" spans="24:76" x14ac:dyDescent="0.4">
      <c r="X817"/>
      <c r="AO817"/>
      <c r="BX817"/>
    </row>
    <row r="818" spans="24:76" x14ac:dyDescent="0.4">
      <c r="X818"/>
      <c r="AO818"/>
      <c r="BX818"/>
    </row>
    <row r="819" spans="24:76" x14ac:dyDescent="0.4">
      <c r="X819"/>
      <c r="AO819"/>
      <c r="BX819"/>
    </row>
    <row r="820" spans="24:76" x14ac:dyDescent="0.4">
      <c r="X820"/>
      <c r="AO820"/>
      <c r="BX820"/>
    </row>
    <row r="821" spans="24:76" x14ac:dyDescent="0.4">
      <c r="X821"/>
      <c r="AO821"/>
      <c r="BX821"/>
    </row>
    <row r="822" spans="24:76" x14ac:dyDescent="0.4">
      <c r="X822"/>
      <c r="AO822"/>
      <c r="BX822"/>
    </row>
    <row r="823" spans="24:76" x14ac:dyDescent="0.4">
      <c r="X823"/>
      <c r="AO823"/>
      <c r="BX823"/>
    </row>
    <row r="824" spans="24:76" x14ac:dyDescent="0.4">
      <c r="X824"/>
      <c r="AO824"/>
      <c r="BX824"/>
    </row>
    <row r="825" spans="24:76" x14ac:dyDescent="0.4">
      <c r="X825"/>
      <c r="AO825"/>
      <c r="BX825"/>
    </row>
    <row r="826" spans="24:76" x14ac:dyDescent="0.4">
      <c r="X826"/>
      <c r="AO826"/>
      <c r="BX826"/>
    </row>
    <row r="827" spans="24:76" x14ac:dyDescent="0.4">
      <c r="X827"/>
      <c r="AO827"/>
      <c r="BX827"/>
    </row>
    <row r="828" spans="24:76" x14ac:dyDescent="0.4">
      <c r="X828"/>
      <c r="AO828"/>
      <c r="BX828"/>
    </row>
    <row r="829" spans="24:76" x14ac:dyDescent="0.4">
      <c r="X829"/>
      <c r="AO829"/>
      <c r="BX829"/>
    </row>
    <row r="830" spans="24:76" x14ac:dyDescent="0.4">
      <c r="X830"/>
      <c r="AO830"/>
      <c r="BX830"/>
    </row>
    <row r="831" spans="24:76" x14ac:dyDescent="0.4">
      <c r="X831"/>
      <c r="AO831"/>
      <c r="BX831"/>
    </row>
    <row r="832" spans="24:76" x14ac:dyDescent="0.4">
      <c r="X832"/>
      <c r="AO832"/>
      <c r="BX832"/>
    </row>
    <row r="833" spans="24:76" x14ac:dyDescent="0.4">
      <c r="X833"/>
      <c r="AO833"/>
      <c r="BX833"/>
    </row>
    <row r="834" spans="24:76" x14ac:dyDescent="0.4">
      <c r="X834"/>
      <c r="AO834"/>
      <c r="BX834"/>
    </row>
    <row r="835" spans="24:76" x14ac:dyDescent="0.4">
      <c r="X835"/>
      <c r="AO835"/>
      <c r="BX835"/>
    </row>
    <row r="836" spans="24:76" x14ac:dyDescent="0.4">
      <c r="X836"/>
      <c r="AO836"/>
      <c r="BX836"/>
    </row>
    <row r="837" spans="24:76" x14ac:dyDescent="0.4">
      <c r="X837"/>
      <c r="AO837"/>
      <c r="BX837"/>
    </row>
    <row r="838" spans="24:76" x14ac:dyDescent="0.4">
      <c r="X838"/>
      <c r="AO838"/>
      <c r="BX838"/>
    </row>
    <row r="839" spans="24:76" x14ac:dyDescent="0.4">
      <c r="X839"/>
      <c r="AO839"/>
      <c r="BX839"/>
    </row>
    <row r="840" spans="24:76" x14ac:dyDescent="0.4">
      <c r="X840"/>
      <c r="AO840"/>
      <c r="BX840"/>
    </row>
    <row r="841" spans="24:76" x14ac:dyDescent="0.4">
      <c r="X841"/>
      <c r="AO841"/>
      <c r="BX841"/>
    </row>
    <row r="842" spans="24:76" x14ac:dyDescent="0.4">
      <c r="X842"/>
      <c r="AO842"/>
      <c r="BX842"/>
    </row>
    <row r="843" spans="24:76" x14ac:dyDescent="0.4">
      <c r="X843"/>
      <c r="AO843"/>
      <c r="BX843"/>
    </row>
    <row r="844" spans="24:76" x14ac:dyDescent="0.4">
      <c r="X844"/>
      <c r="AO844"/>
      <c r="BX844"/>
    </row>
    <row r="845" spans="24:76" x14ac:dyDescent="0.4">
      <c r="X845"/>
      <c r="AO845"/>
      <c r="BX845"/>
    </row>
    <row r="846" spans="24:76" x14ac:dyDescent="0.4">
      <c r="X846"/>
      <c r="AO846"/>
      <c r="BX846"/>
    </row>
    <row r="847" spans="24:76" x14ac:dyDescent="0.4">
      <c r="X847"/>
      <c r="AO847"/>
      <c r="BX847"/>
    </row>
    <row r="848" spans="24:76" x14ac:dyDescent="0.4">
      <c r="X848"/>
      <c r="AO848"/>
      <c r="BX848"/>
    </row>
    <row r="849" spans="24:76" x14ac:dyDescent="0.4">
      <c r="X849"/>
      <c r="AO849"/>
      <c r="BX849"/>
    </row>
    <row r="850" spans="24:76" x14ac:dyDescent="0.4">
      <c r="X850"/>
      <c r="AO850"/>
      <c r="BX850"/>
    </row>
    <row r="851" spans="24:76" x14ac:dyDescent="0.4">
      <c r="X851"/>
      <c r="AO851"/>
      <c r="BX851"/>
    </row>
    <row r="852" spans="24:76" x14ac:dyDescent="0.4">
      <c r="X852"/>
      <c r="AO852"/>
      <c r="BX852"/>
    </row>
    <row r="853" spans="24:76" x14ac:dyDescent="0.4">
      <c r="X853"/>
      <c r="AO853"/>
      <c r="BX853"/>
    </row>
    <row r="854" spans="24:76" x14ac:dyDescent="0.4">
      <c r="X854"/>
      <c r="AO854"/>
      <c r="BX854"/>
    </row>
    <row r="855" spans="24:76" x14ac:dyDescent="0.4">
      <c r="X855"/>
      <c r="AO855"/>
      <c r="BX855"/>
    </row>
    <row r="856" spans="24:76" x14ac:dyDescent="0.4">
      <c r="X856"/>
      <c r="AO856"/>
      <c r="BX856"/>
    </row>
    <row r="857" spans="24:76" x14ac:dyDescent="0.4">
      <c r="X857"/>
      <c r="AO857"/>
      <c r="BX857"/>
    </row>
    <row r="858" spans="24:76" x14ac:dyDescent="0.4">
      <c r="X858"/>
      <c r="AO858"/>
      <c r="BX858"/>
    </row>
    <row r="859" spans="24:76" x14ac:dyDescent="0.4">
      <c r="X859"/>
      <c r="AO859"/>
      <c r="BX859"/>
    </row>
    <row r="860" spans="24:76" x14ac:dyDescent="0.4">
      <c r="X860"/>
      <c r="AO860"/>
      <c r="BX860"/>
    </row>
    <row r="861" spans="24:76" x14ac:dyDescent="0.4">
      <c r="X861"/>
      <c r="AO861"/>
      <c r="BX861"/>
    </row>
    <row r="862" spans="24:76" x14ac:dyDescent="0.4">
      <c r="X862"/>
      <c r="AO862"/>
      <c r="BX862"/>
    </row>
    <row r="863" spans="24:76" x14ac:dyDescent="0.4">
      <c r="X863"/>
      <c r="AO863"/>
      <c r="BX863"/>
    </row>
    <row r="864" spans="24:76" x14ac:dyDescent="0.4">
      <c r="X864"/>
      <c r="AO864"/>
      <c r="BX864"/>
    </row>
    <row r="865" spans="24:76" x14ac:dyDescent="0.4">
      <c r="X865"/>
      <c r="AO865"/>
      <c r="BX865"/>
    </row>
    <row r="866" spans="24:76" x14ac:dyDescent="0.4">
      <c r="X866"/>
      <c r="AO866"/>
      <c r="BX866"/>
    </row>
    <row r="867" spans="24:76" x14ac:dyDescent="0.4">
      <c r="X867"/>
      <c r="AO867"/>
      <c r="BX867"/>
    </row>
    <row r="868" spans="24:76" x14ac:dyDescent="0.4">
      <c r="X868"/>
      <c r="AO868"/>
      <c r="BX868"/>
    </row>
    <row r="869" spans="24:76" x14ac:dyDescent="0.4">
      <c r="X869"/>
      <c r="AO869"/>
      <c r="BX869"/>
    </row>
    <row r="870" spans="24:76" x14ac:dyDescent="0.4">
      <c r="X870"/>
      <c r="AO870"/>
      <c r="BX870"/>
    </row>
    <row r="871" spans="24:76" x14ac:dyDescent="0.4">
      <c r="X871"/>
      <c r="AO871"/>
      <c r="BX871"/>
    </row>
    <row r="872" spans="24:76" x14ac:dyDescent="0.4">
      <c r="X872"/>
      <c r="AO872"/>
      <c r="BX872"/>
    </row>
    <row r="873" spans="24:76" x14ac:dyDescent="0.4">
      <c r="X873"/>
      <c r="AO873"/>
      <c r="BX873"/>
    </row>
    <row r="874" spans="24:76" x14ac:dyDescent="0.4">
      <c r="X874"/>
      <c r="AO874"/>
      <c r="BX874"/>
    </row>
    <row r="875" spans="24:76" x14ac:dyDescent="0.4">
      <c r="X875"/>
      <c r="AO875"/>
      <c r="BX875"/>
    </row>
    <row r="876" spans="24:76" x14ac:dyDescent="0.4">
      <c r="X876"/>
      <c r="AO876"/>
      <c r="BX876"/>
    </row>
    <row r="877" spans="24:76" x14ac:dyDescent="0.4">
      <c r="X877"/>
      <c r="AO877"/>
      <c r="BX877"/>
    </row>
    <row r="878" spans="24:76" x14ac:dyDescent="0.4">
      <c r="X878"/>
      <c r="AO878"/>
      <c r="BX878"/>
    </row>
    <row r="879" spans="24:76" x14ac:dyDescent="0.4">
      <c r="X879"/>
      <c r="AO879"/>
      <c r="BX879"/>
    </row>
    <row r="880" spans="24:76" x14ac:dyDescent="0.4">
      <c r="X880"/>
      <c r="AO880"/>
      <c r="BX880"/>
    </row>
    <row r="881" spans="24:76" x14ac:dyDescent="0.4">
      <c r="X881"/>
      <c r="AO881"/>
      <c r="BX881"/>
    </row>
    <row r="882" spans="24:76" x14ac:dyDescent="0.4">
      <c r="X882"/>
      <c r="AO882"/>
      <c r="BX882"/>
    </row>
    <row r="883" spans="24:76" x14ac:dyDescent="0.4">
      <c r="X883"/>
      <c r="AO883"/>
      <c r="BX883"/>
    </row>
    <row r="884" spans="24:76" x14ac:dyDescent="0.4">
      <c r="X884"/>
      <c r="AO884"/>
      <c r="BX884"/>
    </row>
    <row r="885" spans="24:76" x14ac:dyDescent="0.4">
      <c r="X885"/>
      <c r="AO885"/>
      <c r="BX885"/>
    </row>
    <row r="886" spans="24:76" x14ac:dyDescent="0.4">
      <c r="X886"/>
      <c r="AO886"/>
      <c r="BX886"/>
    </row>
    <row r="887" spans="24:76" x14ac:dyDescent="0.4">
      <c r="X887"/>
      <c r="AO887"/>
      <c r="BX887"/>
    </row>
    <row r="888" spans="24:76" x14ac:dyDescent="0.4">
      <c r="X888"/>
      <c r="AO888"/>
      <c r="BX888"/>
    </row>
    <row r="889" spans="24:76" x14ac:dyDescent="0.4">
      <c r="X889"/>
      <c r="AO889"/>
      <c r="BX889"/>
    </row>
    <row r="890" spans="24:76" x14ac:dyDescent="0.4">
      <c r="X890"/>
      <c r="AO890"/>
      <c r="BX890"/>
    </row>
    <row r="891" spans="24:76" x14ac:dyDescent="0.4">
      <c r="X891"/>
      <c r="AO891"/>
      <c r="BX891"/>
    </row>
    <row r="892" spans="24:76" x14ac:dyDescent="0.4">
      <c r="X892"/>
      <c r="AO892"/>
      <c r="BX892"/>
    </row>
    <row r="893" spans="24:76" x14ac:dyDescent="0.4">
      <c r="X893"/>
      <c r="AO893"/>
      <c r="BX893"/>
    </row>
    <row r="894" spans="24:76" x14ac:dyDescent="0.4">
      <c r="X894"/>
      <c r="AO894"/>
      <c r="BX894"/>
    </row>
    <row r="895" spans="24:76" x14ac:dyDescent="0.4">
      <c r="X895"/>
      <c r="AO895"/>
      <c r="BX895"/>
    </row>
    <row r="896" spans="24:76" x14ac:dyDescent="0.4">
      <c r="X896"/>
      <c r="AO896"/>
      <c r="BX896"/>
    </row>
    <row r="897" spans="24:76" x14ac:dyDescent="0.4">
      <c r="X897"/>
      <c r="AO897"/>
      <c r="BX897"/>
    </row>
    <row r="898" spans="24:76" x14ac:dyDescent="0.4">
      <c r="X898"/>
      <c r="AO898"/>
      <c r="BX898"/>
    </row>
    <row r="899" spans="24:76" x14ac:dyDescent="0.4">
      <c r="X899"/>
      <c r="AO899"/>
      <c r="BX899"/>
    </row>
    <row r="900" spans="24:76" x14ac:dyDescent="0.4">
      <c r="X900"/>
      <c r="AO900"/>
      <c r="BX900"/>
    </row>
    <row r="901" spans="24:76" x14ac:dyDescent="0.4">
      <c r="X901"/>
      <c r="AO901"/>
      <c r="BX901"/>
    </row>
    <row r="902" spans="24:76" x14ac:dyDescent="0.4">
      <c r="X902"/>
      <c r="AO902"/>
      <c r="BX902"/>
    </row>
    <row r="903" spans="24:76" x14ac:dyDescent="0.4">
      <c r="X903"/>
      <c r="AO903"/>
      <c r="BX903"/>
    </row>
    <row r="904" spans="24:76" x14ac:dyDescent="0.4">
      <c r="X904"/>
      <c r="AO904"/>
      <c r="BX904"/>
    </row>
    <row r="905" spans="24:76" x14ac:dyDescent="0.4">
      <c r="X905"/>
      <c r="AO905"/>
      <c r="BX905"/>
    </row>
    <row r="906" spans="24:76" x14ac:dyDescent="0.4">
      <c r="X906"/>
      <c r="AO906"/>
      <c r="BX906"/>
    </row>
    <row r="907" spans="24:76" x14ac:dyDescent="0.4">
      <c r="X907"/>
      <c r="AO907"/>
      <c r="BX907"/>
    </row>
    <row r="908" spans="24:76" x14ac:dyDescent="0.4">
      <c r="X908"/>
      <c r="AO908"/>
      <c r="BX908"/>
    </row>
    <row r="909" spans="24:76" x14ac:dyDescent="0.4">
      <c r="X909"/>
      <c r="AO909"/>
      <c r="BX909"/>
    </row>
    <row r="910" spans="24:76" x14ac:dyDescent="0.4">
      <c r="X910"/>
      <c r="AO910"/>
      <c r="BX910"/>
    </row>
    <row r="911" spans="24:76" x14ac:dyDescent="0.4">
      <c r="X911"/>
      <c r="AO911"/>
      <c r="BX911"/>
    </row>
    <row r="912" spans="24:76" x14ac:dyDescent="0.4">
      <c r="X912"/>
      <c r="AO912"/>
      <c r="BX912"/>
    </row>
    <row r="913" spans="24:76" x14ac:dyDescent="0.4">
      <c r="X913"/>
      <c r="AO913"/>
      <c r="BX913"/>
    </row>
    <row r="914" spans="24:76" x14ac:dyDescent="0.4">
      <c r="X914"/>
      <c r="AO914"/>
      <c r="BX914"/>
    </row>
    <row r="915" spans="24:76" x14ac:dyDescent="0.4">
      <c r="X915"/>
      <c r="AO915"/>
      <c r="BX915"/>
    </row>
    <row r="916" spans="24:76" x14ac:dyDescent="0.4">
      <c r="X916"/>
      <c r="AO916"/>
      <c r="BX916"/>
    </row>
    <row r="917" spans="24:76" x14ac:dyDescent="0.4">
      <c r="X917"/>
      <c r="AO917"/>
      <c r="BX917"/>
    </row>
    <row r="918" spans="24:76" x14ac:dyDescent="0.4">
      <c r="X918"/>
      <c r="AO918"/>
      <c r="BX918"/>
    </row>
    <row r="919" spans="24:76" x14ac:dyDescent="0.4">
      <c r="X919"/>
      <c r="AO919"/>
      <c r="BX919"/>
    </row>
    <row r="920" spans="24:76" x14ac:dyDescent="0.4">
      <c r="X920"/>
      <c r="AO920"/>
      <c r="BX920"/>
    </row>
    <row r="921" spans="24:76" x14ac:dyDescent="0.4">
      <c r="X921"/>
      <c r="AO921"/>
      <c r="BX921"/>
    </row>
    <row r="922" spans="24:76" x14ac:dyDescent="0.4">
      <c r="X922"/>
      <c r="AO922"/>
      <c r="BX922"/>
    </row>
    <row r="923" spans="24:76" x14ac:dyDescent="0.4">
      <c r="X923"/>
      <c r="AO923"/>
      <c r="BX923"/>
    </row>
    <row r="924" spans="24:76" x14ac:dyDescent="0.4">
      <c r="X924"/>
      <c r="AO924"/>
      <c r="BX924"/>
    </row>
    <row r="925" spans="24:76" x14ac:dyDescent="0.4">
      <c r="X925"/>
      <c r="AO925"/>
      <c r="BX925"/>
    </row>
    <row r="926" spans="24:76" x14ac:dyDescent="0.4">
      <c r="X926"/>
      <c r="AO926"/>
      <c r="BX926"/>
    </row>
    <row r="927" spans="24:76" x14ac:dyDescent="0.4">
      <c r="X927"/>
      <c r="AO927"/>
      <c r="BX927"/>
    </row>
    <row r="928" spans="24:76" x14ac:dyDescent="0.4">
      <c r="X928"/>
      <c r="AO928"/>
      <c r="BX928"/>
    </row>
    <row r="929" spans="24:76" x14ac:dyDescent="0.4">
      <c r="X929"/>
      <c r="AO929"/>
      <c r="BX929"/>
    </row>
    <row r="930" spans="24:76" x14ac:dyDescent="0.4">
      <c r="X930"/>
      <c r="AO930"/>
      <c r="BX930"/>
    </row>
    <row r="931" spans="24:76" x14ac:dyDescent="0.4">
      <c r="X931"/>
      <c r="AO931"/>
      <c r="BX931"/>
    </row>
    <row r="932" spans="24:76" x14ac:dyDescent="0.4">
      <c r="X932"/>
      <c r="AO932"/>
      <c r="BX932"/>
    </row>
    <row r="933" spans="24:76" x14ac:dyDescent="0.4">
      <c r="X933"/>
      <c r="AO933"/>
      <c r="BX933"/>
    </row>
    <row r="934" spans="24:76" x14ac:dyDescent="0.4">
      <c r="X934"/>
      <c r="AO934"/>
      <c r="BX934"/>
    </row>
    <row r="935" spans="24:76" x14ac:dyDescent="0.4">
      <c r="X935"/>
      <c r="AO935"/>
      <c r="BX935"/>
    </row>
    <row r="936" spans="24:76" x14ac:dyDescent="0.4">
      <c r="X936"/>
      <c r="AO936"/>
      <c r="BX936"/>
    </row>
    <row r="937" spans="24:76" x14ac:dyDescent="0.4">
      <c r="X937"/>
      <c r="AO937"/>
      <c r="BX937"/>
    </row>
    <row r="938" spans="24:76" x14ac:dyDescent="0.4">
      <c r="X938"/>
      <c r="AO938"/>
      <c r="BX938"/>
    </row>
    <row r="939" spans="24:76" x14ac:dyDescent="0.4">
      <c r="X939"/>
      <c r="AO939"/>
      <c r="BX939"/>
    </row>
    <row r="940" spans="24:76" x14ac:dyDescent="0.4">
      <c r="X940"/>
      <c r="AO940"/>
      <c r="BX940"/>
    </row>
    <row r="941" spans="24:76" x14ac:dyDescent="0.4">
      <c r="X941"/>
      <c r="AO941"/>
      <c r="BX941"/>
    </row>
    <row r="942" spans="24:76" x14ac:dyDescent="0.4">
      <c r="X942"/>
      <c r="AO942"/>
      <c r="BX942"/>
    </row>
    <row r="943" spans="24:76" x14ac:dyDescent="0.4">
      <c r="X943"/>
      <c r="AO943"/>
      <c r="BX943"/>
    </row>
    <row r="944" spans="24:76" x14ac:dyDescent="0.4">
      <c r="X944"/>
      <c r="AO944"/>
      <c r="BX944"/>
    </row>
    <row r="945" spans="24:76" x14ac:dyDescent="0.4">
      <c r="X945"/>
      <c r="AO945"/>
      <c r="BX945"/>
    </row>
    <row r="946" spans="24:76" x14ac:dyDescent="0.4">
      <c r="X946"/>
      <c r="AO946"/>
      <c r="BX946"/>
    </row>
    <row r="947" spans="24:76" x14ac:dyDescent="0.4">
      <c r="X947"/>
      <c r="AO947"/>
      <c r="BX947"/>
    </row>
    <row r="948" spans="24:76" x14ac:dyDescent="0.4">
      <c r="X948"/>
      <c r="AO948"/>
      <c r="BX948"/>
    </row>
    <row r="949" spans="24:76" x14ac:dyDescent="0.4">
      <c r="X949"/>
      <c r="AO949"/>
      <c r="BX949"/>
    </row>
    <row r="950" spans="24:76" x14ac:dyDescent="0.4">
      <c r="X950"/>
      <c r="AO950"/>
      <c r="BX950"/>
    </row>
    <row r="951" spans="24:76" x14ac:dyDescent="0.4">
      <c r="X951"/>
      <c r="AO951"/>
      <c r="BX951"/>
    </row>
    <row r="952" spans="24:76" x14ac:dyDescent="0.4">
      <c r="X952"/>
      <c r="AO952"/>
      <c r="BX952"/>
    </row>
    <row r="953" spans="24:76" x14ac:dyDescent="0.4">
      <c r="X953"/>
      <c r="AO953"/>
      <c r="BX953"/>
    </row>
    <row r="954" spans="24:76" x14ac:dyDescent="0.4">
      <c r="X954"/>
      <c r="AO954"/>
      <c r="BX954"/>
    </row>
    <row r="955" spans="24:76" x14ac:dyDescent="0.4">
      <c r="X955"/>
      <c r="AO955"/>
      <c r="BX955"/>
    </row>
    <row r="956" spans="24:76" x14ac:dyDescent="0.4">
      <c r="X956"/>
      <c r="AO956"/>
      <c r="BX956"/>
    </row>
    <row r="957" spans="24:76" x14ac:dyDescent="0.4">
      <c r="X957"/>
      <c r="AO957"/>
      <c r="BX957"/>
    </row>
    <row r="958" spans="24:76" x14ac:dyDescent="0.4">
      <c r="X958"/>
      <c r="AO958"/>
      <c r="BX958"/>
    </row>
    <row r="959" spans="24:76" x14ac:dyDescent="0.4">
      <c r="X959"/>
      <c r="AO959"/>
      <c r="BX959"/>
    </row>
    <row r="960" spans="24:76" x14ac:dyDescent="0.4">
      <c r="X960"/>
      <c r="AO960"/>
      <c r="BX960"/>
    </row>
    <row r="961" spans="24:76" x14ac:dyDescent="0.4">
      <c r="X961"/>
      <c r="AO961"/>
      <c r="BX961"/>
    </row>
    <row r="962" spans="24:76" x14ac:dyDescent="0.4">
      <c r="X962"/>
      <c r="AO962"/>
      <c r="BX962"/>
    </row>
    <row r="963" spans="24:76" x14ac:dyDescent="0.4">
      <c r="X963"/>
      <c r="AO963"/>
      <c r="BX963"/>
    </row>
    <row r="964" spans="24:76" x14ac:dyDescent="0.4">
      <c r="X964"/>
      <c r="AO964"/>
      <c r="BX964"/>
    </row>
    <row r="965" spans="24:76" x14ac:dyDescent="0.4">
      <c r="X965"/>
      <c r="AO965"/>
      <c r="BX965"/>
    </row>
    <row r="966" spans="24:76" x14ac:dyDescent="0.4">
      <c r="X966"/>
      <c r="AO966"/>
      <c r="BX966"/>
    </row>
    <row r="967" spans="24:76" x14ac:dyDescent="0.4">
      <c r="X967"/>
      <c r="AO967"/>
      <c r="BX967"/>
    </row>
    <row r="968" spans="24:76" x14ac:dyDescent="0.4">
      <c r="X968"/>
      <c r="AO968"/>
      <c r="BX968"/>
    </row>
    <row r="969" spans="24:76" x14ac:dyDescent="0.4">
      <c r="X969"/>
      <c r="AO969"/>
      <c r="BX969"/>
    </row>
    <row r="970" spans="24:76" x14ac:dyDescent="0.4">
      <c r="X970"/>
      <c r="AO970"/>
      <c r="BX970"/>
    </row>
    <row r="971" spans="24:76" x14ac:dyDescent="0.4">
      <c r="X971"/>
      <c r="AO971"/>
      <c r="BX971"/>
    </row>
    <row r="972" spans="24:76" x14ac:dyDescent="0.4">
      <c r="X972"/>
      <c r="AO972"/>
      <c r="BX972"/>
    </row>
    <row r="973" spans="24:76" x14ac:dyDescent="0.4">
      <c r="X973"/>
      <c r="AO973"/>
      <c r="BX973"/>
    </row>
    <row r="974" spans="24:76" x14ac:dyDescent="0.4">
      <c r="X974"/>
      <c r="AO974"/>
      <c r="BX974"/>
    </row>
    <row r="975" spans="24:76" x14ac:dyDescent="0.4">
      <c r="X975"/>
      <c r="AO975"/>
      <c r="BX975"/>
    </row>
    <row r="976" spans="24:76" x14ac:dyDescent="0.4">
      <c r="X976"/>
      <c r="AO976"/>
      <c r="BX976"/>
    </row>
    <row r="977" spans="24:76" x14ac:dyDescent="0.4">
      <c r="X977"/>
      <c r="AO977"/>
      <c r="BX977"/>
    </row>
    <row r="978" spans="24:76" x14ac:dyDescent="0.4">
      <c r="X978"/>
      <c r="AO978"/>
      <c r="BX978"/>
    </row>
    <row r="979" spans="24:76" x14ac:dyDescent="0.4">
      <c r="X979"/>
      <c r="AO979"/>
      <c r="BX979"/>
    </row>
    <row r="980" spans="24:76" x14ac:dyDescent="0.4">
      <c r="X980"/>
      <c r="AO980"/>
      <c r="BX980"/>
    </row>
    <row r="981" spans="24:76" x14ac:dyDescent="0.4">
      <c r="X981"/>
      <c r="AO981"/>
      <c r="BX981"/>
    </row>
    <row r="982" spans="24:76" x14ac:dyDescent="0.4">
      <c r="X982"/>
      <c r="AO982"/>
      <c r="BX982"/>
    </row>
    <row r="983" spans="24:76" x14ac:dyDescent="0.4">
      <c r="X983"/>
      <c r="AO983"/>
      <c r="BX983"/>
    </row>
    <row r="984" spans="24:76" x14ac:dyDescent="0.4">
      <c r="X984"/>
      <c r="AO984"/>
      <c r="BX984"/>
    </row>
    <row r="985" spans="24:76" x14ac:dyDescent="0.4">
      <c r="X985"/>
      <c r="AO985"/>
      <c r="BX985"/>
    </row>
    <row r="986" spans="24:76" x14ac:dyDescent="0.4">
      <c r="X986"/>
      <c r="AO986"/>
      <c r="BX986"/>
    </row>
    <row r="987" spans="24:76" x14ac:dyDescent="0.4">
      <c r="X987"/>
      <c r="AO987"/>
      <c r="BX987"/>
    </row>
    <row r="988" spans="24:76" x14ac:dyDescent="0.4">
      <c r="X988"/>
      <c r="AO988"/>
      <c r="BX988"/>
    </row>
    <row r="989" spans="24:76" x14ac:dyDescent="0.4">
      <c r="X989"/>
      <c r="AO989"/>
      <c r="BX989"/>
    </row>
    <row r="990" spans="24:76" x14ac:dyDescent="0.4">
      <c r="X990"/>
      <c r="AO990"/>
      <c r="BX990"/>
    </row>
    <row r="991" spans="24:76" x14ac:dyDescent="0.4">
      <c r="X991"/>
      <c r="AO991"/>
      <c r="BX991"/>
    </row>
    <row r="992" spans="24:76" x14ac:dyDescent="0.4">
      <c r="X992"/>
      <c r="AO992"/>
      <c r="BX992"/>
    </row>
    <row r="993" spans="24:76" x14ac:dyDescent="0.4">
      <c r="X993"/>
      <c r="AO993"/>
      <c r="BX993"/>
    </row>
    <row r="994" spans="24:76" x14ac:dyDescent="0.4">
      <c r="X994"/>
      <c r="AO994"/>
      <c r="BX994"/>
    </row>
    <row r="995" spans="24:76" x14ac:dyDescent="0.4">
      <c r="X995"/>
      <c r="AO995"/>
      <c r="BX995"/>
    </row>
    <row r="996" spans="24:76" x14ac:dyDescent="0.4">
      <c r="X996"/>
      <c r="AO996"/>
      <c r="BX996"/>
    </row>
    <row r="997" spans="24:76" x14ac:dyDescent="0.4">
      <c r="X997"/>
      <c r="AO997"/>
      <c r="BX997"/>
    </row>
    <row r="998" spans="24:76" x14ac:dyDescent="0.4">
      <c r="X998"/>
      <c r="AO998"/>
      <c r="BX998"/>
    </row>
    <row r="999" spans="24:76" x14ac:dyDescent="0.4">
      <c r="X999"/>
      <c r="AO999"/>
      <c r="BX999"/>
    </row>
    <row r="1000" spans="24:76" x14ac:dyDescent="0.4">
      <c r="X1000"/>
      <c r="AO1000"/>
      <c r="BX1000"/>
    </row>
    <row r="1001" spans="24:76" x14ac:dyDescent="0.4">
      <c r="X1001"/>
      <c r="AO1001"/>
      <c r="BX1001"/>
    </row>
    <row r="1002" spans="24:76" x14ac:dyDescent="0.4">
      <c r="X1002"/>
      <c r="AO1002"/>
      <c r="BX1002"/>
    </row>
    <row r="1003" spans="24:76" x14ac:dyDescent="0.4">
      <c r="X1003"/>
      <c r="AO1003"/>
      <c r="BX1003"/>
    </row>
    <row r="1004" spans="24:76" x14ac:dyDescent="0.4">
      <c r="X1004"/>
      <c r="AO1004"/>
      <c r="BX1004"/>
    </row>
    <row r="1005" spans="24:76" x14ac:dyDescent="0.4">
      <c r="X1005"/>
      <c r="AO1005"/>
      <c r="BX1005"/>
    </row>
    <row r="1006" spans="24:76" x14ac:dyDescent="0.4">
      <c r="X1006"/>
      <c r="AO1006"/>
      <c r="BX1006"/>
    </row>
    <row r="1007" spans="24:76" x14ac:dyDescent="0.4">
      <c r="X1007"/>
      <c r="AO1007"/>
      <c r="BX1007"/>
    </row>
    <row r="1008" spans="24:76" x14ac:dyDescent="0.4">
      <c r="X1008"/>
      <c r="AO1008"/>
      <c r="BX1008"/>
    </row>
    <row r="1009" spans="24:76" x14ac:dyDescent="0.4">
      <c r="X1009"/>
      <c r="AO1009"/>
      <c r="BX1009"/>
    </row>
    <row r="1010" spans="24:76" x14ac:dyDescent="0.4">
      <c r="X1010"/>
      <c r="AO1010"/>
      <c r="BX1010"/>
    </row>
    <row r="1011" spans="24:76" x14ac:dyDescent="0.4">
      <c r="X1011"/>
      <c r="AO1011"/>
      <c r="BX1011"/>
    </row>
    <row r="1012" spans="24:76" x14ac:dyDescent="0.4">
      <c r="X1012"/>
      <c r="AO1012"/>
      <c r="BX1012"/>
    </row>
    <row r="1013" spans="24:76" x14ac:dyDescent="0.4">
      <c r="X1013"/>
      <c r="AO1013"/>
      <c r="BX1013"/>
    </row>
    <row r="1014" spans="24:76" x14ac:dyDescent="0.4">
      <c r="X1014"/>
      <c r="AO1014"/>
      <c r="BX1014"/>
    </row>
    <row r="1015" spans="24:76" x14ac:dyDescent="0.4">
      <c r="X1015"/>
      <c r="AO1015"/>
      <c r="BX1015"/>
    </row>
    <row r="1016" spans="24:76" x14ac:dyDescent="0.4">
      <c r="X1016"/>
      <c r="AO1016"/>
      <c r="BX1016"/>
    </row>
    <row r="1017" spans="24:76" x14ac:dyDescent="0.4">
      <c r="X1017"/>
      <c r="AO1017"/>
      <c r="BX1017"/>
    </row>
    <row r="1018" spans="24:76" x14ac:dyDescent="0.4">
      <c r="X1018"/>
      <c r="AO1018"/>
      <c r="BX1018"/>
    </row>
    <row r="1019" spans="24:76" x14ac:dyDescent="0.4">
      <c r="X1019"/>
      <c r="AO1019"/>
      <c r="BX1019"/>
    </row>
    <row r="1020" spans="24:76" x14ac:dyDescent="0.4">
      <c r="X1020"/>
      <c r="AO1020"/>
      <c r="BX1020"/>
    </row>
    <row r="1021" spans="24:76" x14ac:dyDescent="0.4">
      <c r="X1021"/>
      <c r="AO1021"/>
      <c r="BX1021"/>
    </row>
    <row r="1022" spans="24:76" x14ac:dyDescent="0.4">
      <c r="X1022"/>
      <c r="AO1022"/>
      <c r="BX1022"/>
    </row>
    <row r="1023" spans="24:76" x14ac:dyDescent="0.4">
      <c r="X1023"/>
      <c r="AO1023"/>
      <c r="BX1023"/>
    </row>
    <row r="1024" spans="24:76" x14ac:dyDescent="0.4">
      <c r="X1024"/>
      <c r="AO1024"/>
      <c r="BX1024"/>
    </row>
    <row r="1025" spans="24:76" x14ac:dyDescent="0.4">
      <c r="X1025"/>
      <c r="AO1025"/>
      <c r="BX1025"/>
    </row>
    <row r="1026" spans="24:76" x14ac:dyDescent="0.4">
      <c r="X1026"/>
      <c r="AO1026"/>
      <c r="BX1026"/>
    </row>
    <row r="1027" spans="24:76" x14ac:dyDescent="0.4">
      <c r="X1027"/>
      <c r="AO1027"/>
      <c r="BX1027"/>
    </row>
    <row r="1028" spans="24:76" x14ac:dyDescent="0.4">
      <c r="X1028"/>
      <c r="AO1028"/>
      <c r="BX1028"/>
    </row>
    <row r="1029" spans="24:76" x14ac:dyDescent="0.4">
      <c r="X1029"/>
      <c r="AO1029"/>
      <c r="BX1029"/>
    </row>
    <row r="1030" spans="24:76" x14ac:dyDescent="0.4">
      <c r="X1030"/>
      <c r="AO1030"/>
      <c r="BX1030"/>
    </row>
    <row r="1031" spans="24:76" x14ac:dyDescent="0.4">
      <c r="X1031"/>
      <c r="AO1031"/>
      <c r="BX1031"/>
    </row>
    <row r="1032" spans="24:76" x14ac:dyDescent="0.4">
      <c r="X1032"/>
      <c r="AO1032"/>
      <c r="BX1032"/>
    </row>
    <row r="1033" spans="24:76" x14ac:dyDescent="0.4">
      <c r="X1033"/>
      <c r="AO1033"/>
      <c r="BX1033"/>
    </row>
    <row r="1034" spans="24:76" x14ac:dyDescent="0.4">
      <c r="X1034"/>
      <c r="AO1034"/>
      <c r="BX1034"/>
    </row>
    <row r="1035" spans="24:76" x14ac:dyDescent="0.4">
      <c r="X1035"/>
      <c r="AO1035"/>
      <c r="BX1035"/>
    </row>
    <row r="1036" spans="24:76" x14ac:dyDescent="0.4">
      <c r="X1036"/>
      <c r="AO1036"/>
      <c r="BX1036"/>
    </row>
    <row r="1037" spans="24:76" x14ac:dyDescent="0.4">
      <c r="X1037"/>
      <c r="AO1037"/>
      <c r="BX1037"/>
    </row>
    <row r="1038" spans="24:76" x14ac:dyDescent="0.4">
      <c r="X1038"/>
      <c r="AO1038"/>
      <c r="BX1038"/>
    </row>
    <row r="1039" spans="24:76" x14ac:dyDescent="0.4">
      <c r="X1039"/>
      <c r="AO1039"/>
      <c r="BX1039"/>
    </row>
    <row r="1040" spans="24:76" x14ac:dyDescent="0.4">
      <c r="X1040"/>
      <c r="AO1040"/>
      <c r="BX1040"/>
    </row>
    <row r="1041" spans="24:76" x14ac:dyDescent="0.4">
      <c r="X1041"/>
      <c r="AO1041"/>
      <c r="BX1041"/>
    </row>
    <row r="1042" spans="24:76" x14ac:dyDescent="0.4">
      <c r="X1042"/>
      <c r="AO1042"/>
      <c r="BX1042"/>
    </row>
    <row r="1043" spans="24:76" x14ac:dyDescent="0.4">
      <c r="X1043"/>
      <c r="AO1043"/>
      <c r="BX1043"/>
    </row>
    <row r="1044" spans="24:76" x14ac:dyDescent="0.4">
      <c r="X1044"/>
      <c r="AO1044"/>
      <c r="BX1044"/>
    </row>
    <row r="1045" spans="24:76" x14ac:dyDescent="0.4">
      <c r="X1045"/>
      <c r="AO1045"/>
      <c r="BX1045"/>
    </row>
    <row r="1046" spans="24:76" x14ac:dyDescent="0.4">
      <c r="X1046"/>
      <c r="AO1046"/>
      <c r="BX1046"/>
    </row>
    <row r="1047" spans="24:76" x14ac:dyDescent="0.4">
      <c r="X1047"/>
      <c r="AO1047"/>
      <c r="BX1047"/>
    </row>
    <row r="1048" spans="24:76" x14ac:dyDescent="0.4">
      <c r="X1048"/>
      <c r="AO1048"/>
      <c r="BX1048"/>
    </row>
    <row r="1049" spans="24:76" x14ac:dyDescent="0.4">
      <c r="X1049"/>
      <c r="AO1049"/>
      <c r="BX1049"/>
    </row>
    <row r="1050" spans="24:76" x14ac:dyDescent="0.4">
      <c r="X1050"/>
      <c r="AO1050"/>
      <c r="BX1050"/>
    </row>
    <row r="1051" spans="24:76" x14ac:dyDescent="0.4">
      <c r="X1051"/>
      <c r="AO1051"/>
      <c r="BX1051"/>
    </row>
    <row r="1052" spans="24:76" x14ac:dyDescent="0.4">
      <c r="X1052"/>
      <c r="AO1052"/>
      <c r="BX1052"/>
    </row>
    <row r="1053" spans="24:76" x14ac:dyDescent="0.4">
      <c r="X1053"/>
      <c r="AO1053"/>
      <c r="BX1053"/>
    </row>
    <row r="1054" spans="24:76" x14ac:dyDescent="0.4">
      <c r="X1054"/>
      <c r="AO1054"/>
      <c r="BX1054"/>
    </row>
    <row r="1055" spans="24:76" x14ac:dyDescent="0.4">
      <c r="X1055"/>
      <c r="AO1055"/>
      <c r="BX1055"/>
    </row>
    <row r="1056" spans="24:76" x14ac:dyDescent="0.4">
      <c r="X1056"/>
      <c r="AO1056"/>
      <c r="BX1056"/>
    </row>
    <row r="1057" spans="24:76" x14ac:dyDescent="0.4">
      <c r="X1057"/>
      <c r="AO1057"/>
      <c r="BX1057"/>
    </row>
    <row r="1058" spans="24:76" x14ac:dyDescent="0.4">
      <c r="X1058"/>
      <c r="AO1058"/>
      <c r="BX1058"/>
    </row>
    <row r="1059" spans="24:76" x14ac:dyDescent="0.4">
      <c r="X1059"/>
      <c r="AO1059"/>
    </row>
    <row r="1060" spans="24:76" x14ac:dyDescent="0.4">
      <c r="X1060"/>
      <c r="AO1060"/>
    </row>
    <row r="1061" spans="24:76" x14ac:dyDescent="0.4">
      <c r="X1061"/>
      <c r="AO1061"/>
    </row>
    <row r="1062" spans="24:76" x14ac:dyDescent="0.4">
      <c r="X1062"/>
      <c r="AO1062"/>
    </row>
    <row r="1063" spans="24:76" x14ac:dyDescent="0.4">
      <c r="X1063"/>
      <c r="AO1063"/>
    </row>
    <row r="1064" spans="24:76" x14ac:dyDescent="0.4">
      <c r="X1064"/>
      <c r="AO1064"/>
    </row>
    <row r="1065" spans="24:76" x14ac:dyDescent="0.4">
      <c r="X1065"/>
      <c r="AO1065"/>
    </row>
    <row r="1066" spans="24:76" x14ac:dyDescent="0.4">
      <c r="X1066"/>
      <c r="AO1066"/>
    </row>
    <row r="1067" spans="24:76" x14ac:dyDescent="0.4">
      <c r="X1067"/>
      <c r="AO1067"/>
    </row>
    <row r="1068" spans="24:76" x14ac:dyDescent="0.4">
      <c r="X1068"/>
      <c r="AO1068"/>
    </row>
    <row r="1069" spans="24:76" x14ac:dyDescent="0.4">
      <c r="X1069"/>
      <c r="AO1069"/>
    </row>
    <row r="1070" spans="24:76" x14ac:dyDescent="0.4">
      <c r="X1070"/>
      <c r="AO1070"/>
    </row>
    <row r="1071" spans="24:76" x14ac:dyDescent="0.4">
      <c r="X1071"/>
      <c r="AO1071"/>
    </row>
    <row r="1072" spans="24:76" x14ac:dyDescent="0.4">
      <c r="X1072"/>
      <c r="AO1072"/>
    </row>
    <row r="1073" spans="24:41" x14ac:dyDescent="0.4">
      <c r="X1073"/>
      <c r="AO1073"/>
    </row>
    <row r="1074" spans="24:41" x14ac:dyDescent="0.4">
      <c r="X1074"/>
      <c r="AO1074"/>
    </row>
    <row r="1075" spans="24:41" x14ac:dyDescent="0.4">
      <c r="X1075"/>
      <c r="AO1075"/>
    </row>
    <row r="1076" spans="24:41" x14ac:dyDescent="0.4">
      <c r="X1076"/>
      <c r="AO1076"/>
    </row>
    <row r="1077" spans="24:41" x14ac:dyDescent="0.4">
      <c r="X1077"/>
      <c r="AO1077"/>
    </row>
    <row r="1078" spans="24:41" x14ac:dyDescent="0.4">
      <c r="X1078"/>
      <c r="AO1078"/>
    </row>
    <row r="1079" spans="24:41" x14ac:dyDescent="0.4">
      <c r="X1079"/>
      <c r="AO1079"/>
    </row>
    <row r="1080" spans="24:41" x14ac:dyDescent="0.4">
      <c r="X1080"/>
      <c r="AO1080"/>
    </row>
    <row r="1081" spans="24:41" x14ac:dyDescent="0.4">
      <c r="X1081"/>
      <c r="AO1081"/>
    </row>
    <row r="1082" spans="24:41" x14ac:dyDescent="0.4">
      <c r="X1082"/>
      <c r="AO1082"/>
    </row>
    <row r="1083" spans="24:41" x14ac:dyDescent="0.4">
      <c r="X1083"/>
      <c r="AO1083"/>
    </row>
    <row r="1084" spans="24:41" x14ac:dyDescent="0.4">
      <c r="X1084"/>
      <c r="AO1084"/>
    </row>
    <row r="1085" spans="24:41" x14ac:dyDescent="0.4">
      <c r="X1085"/>
      <c r="AO1085"/>
    </row>
    <row r="1086" spans="24:41" x14ac:dyDescent="0.4">
      <c r="X1086"/>
      <c r="AO1086"/>
    </row>
    <row r="1087" spans="24:41" x14ac:dyDescent="0.4">
      <c r="X1087"/>
      <c r="AO1087"/>
    </row>
    <row r="1088" spans="24:41" x14ac:dyDescent="0.4">
      <c r="X1088"/>
      <c r="AO1088"/>
    </row>
    <row r="1089" spans="24:41" x14ac:dyDescent="0.4">
      <c r="X1089"/>
      <c r="AO1089"/>
    </row>
    <row r="1090" spans="24:41" x14ac:dyDescent="0.4">
      <c r="X1090"/>
      <c r="AO1090"/>
    </row>
    <row r="1091" spans="24:41" x14ac:dyDescent="0.4">
      <c r="X1091"/>
      <c r="AO1091"/>
    </row>
    <row r="1092" spans="24:41" x14ac:dyDescent="0.4">
      <c r="X1092"/>
      <c r="AO1092"/>
    </row>
    <row r="1093" spans="24:41" x14ac:dyDescent="0.4">
      <c r="X1093"/>
      <c r="AO1093"/>
    </row>
    <row r="1094" spans="24:41" x14ac:dyDescent="0.4">
      <c r="X1094"/>
      <c r="AO1094"/>
    </row>
    <row r="1095" spans="24:41" x14ac:dyDescent="0.4">
      <c r="X1095"/>
      <c r="AO1095"/>
    </row>
    <row r="1096" spans="24:41" x14ac:dyDescent="0.4">
      <c r="X1096"/>
      <c r="AO1096"/>
    </row>
    <row r="1097" spans="24:41" x14ac:dyDescent="0.4">
      <c r="X1097"/>
      <c r="AO1097"/>
    </row>
    <row r="1098" spans="24:41" x14ac:dyDescent="0.4">
      <c r="X1098"/>
      <c r="AO1098"/>
    </row>
    <row r="1099" spans="24:41" x14ac:dyDescent="0.4">
      <c r="X1099"/>
      <c r="AO1099"/>
    </row>
    <row r="1100" spans="24:41" x14ac:dyDescent="0.4">
      <c r="X1100"/>
      <c r="AO1100"/>
    </row>
    <row r="1101" spans="24:41" x14ac:dyDescent="0.4">
      <c r="X1101"/>
      <c r="AO1101"/>
    </row>
    <row r="1102" spans="24:41" x14ac:dyDescent="0.4">
      <c r="X1102"/>
      <c r="AO1102"/>
    </row>
    <row r="1103" spans="24:41" x14ac:dyDescent="0.4">
      <c r="X1103"/>
      <c r="AO1103"/>
    </row>
    <row r="1104" spans="24:41" x14ac:dyDescent="0.4">
      <c r="X1104"/>
      <c r="AO1104"/>
    </row>
    <row r="1105" spans="24:41" x14ac:dyDescent="0.4">
      <c r="X1105"/>
      <c r="AO1105"/>
    </row>
    <row r="1106" spans="24:41" x14ac:dyDescent="0.4">
      <c r="X1106"/>
      <c r="AO1106"/>
    </row>
    <row r="1107" spans="24:41" x14ac:dyDescent="0.4">
      <c r="X1107"/>
      <c r="AO1107"/>
    </row>
    <row r="1108" spans="24:41" x14ac:dyDescent="0.4">
      <c r="X1108"/>
      <c r="AO1108"/>
    </row>
    <row r="1109" spans="24:41" x14ac:dyDescent="0.4">
      <c r="X1109"/>
      <c r="AO1109"/>
    </row>
    <row r="1110" spans="24:41" x14ac:dyDescent="0.4">
      <c r="X1110"/>
      <c r="AO1110"/>
    </row>
    <row r="1111" spans="24:41" x14ac:dyDescent="0.4">
      <c r="X1111"/>
      <c r="AO1111"/>
    </row>
    <row r="1112" spans="24:41" x14ac:dyDescent="0.4">
      <c r="X1112"/>
      <c r="AO1112"/>
    </row>
    <row r="1113" spans="24:41" x14ac:dyDescent="0.4">
      <c r="X1113"/>
      <c r="AO1113"/>
    </row>
    <row r="1114" spans="24:41" x14ac:dyDescent="0.4">
      <c r="X1114"/>
      <c r="AO1114"/>
    </row>
    <row r="1115" spans="24:41" x14ac:dyDescent="0.4">
      <c r="X1115"/>
      <c r="AO1115"/>
    </row>
    <row r="1116" spans="24:41" x14ac:dyDescent="0.4">
      <c r="X1116"/>
      <c r="AO1116"/>
    </row>
    <row r="1117" spans="24:41" x14ac:dyDescent="0.4">
      <c r="X1117"/>
      <c r="AO1117"/>
    </row>
    <row r="1118" spans="24:41" x14ac:dyDescent="0.4">
      <c r="X1118"/>
      <c r="AO1118"/>
    </row>
    <row r="1119" spans="24:41" x14ac:dyDescent="0.4">
      <c r="X1119"/>
      <c r="AO1119"/>
    </row>
    <row r="1120" spans="24:41" x14ac:dyDescent="0.4">
      <c r="X1120"/>
      <c r="AO1120"/>
    </row>
    <row r="1121" spans="24:41" x14ac:dyDescent="0.4">
      <c r="X1121"/>
      <c r="AO1121"/>
    </row>
    <row r="1122" spans="24:41" x14ac:dyDescent="0.4">
      <c r="X1122"/>
      <c r="AO1122"/>
    </row>
    <row r="1123" spans="24:41" x14ac:dyDescent="0.4">
      <c r="X1123"/>
      <c r="AO1123"/>
    </row>
    <row r="1124" spans="24:41" x14ac:dyDescent="0.4">
      <c r="X1124"/>
      <c r="AO1124"/>
    </row>
    <row r="1125" spans="24:41" x14ac:dyDescent="0.4">
      <c r="X1125"/>
      <c r="AO1125"/>
    </row>
    <row r="1126" spans="24:41" x14ac:dyDescent="0.4">
      <c r="X1126"/>
      <c r="AO1126"/>
    </row>
    <row r="1127" spans="24:41" x14ac:dyDescent="0.4">
      <c r="X1127"/>
      <c r="AO1127"/>
    </row>
    <row r="1128" spans="24:41" x14ac:dyDescent="0.4">
      <c r="X1128"/>
      <c r="AO1128"/>
    </row>
    <row r="1129" spans="24:41" x14ac:dyDescent="0.4">
      <c r="X1129"/>
      <c r="AO1129"/>
    </row>
    <row r="1130" spans="24:41" x14ac:dyDescent="0.4">
      <c r="X1130"/>
      <c r="AO1130"/>
    </row>
    <row r="1131" spans="24:41" x14ac:dyDescent="0.4">
      <c r="X1131"/>
      <c r="AO1131"/>
    </row>
    <row r="1132" spans="24:41" x14ac:dyDescent="0.4">
      <c r="X1132"/>
      <c r="AO1132"/>
    </row>
    <row r="1133" spans="24:41" x14ac:dyDescent="0.4">
      <c r="X1133"/>
      <c r="AO1133"/>
    </row>
    <row r="1134" spans="24:41" x14ac:dyDescent="0.4">
      <c r="X1134"/>
      <c r="AO1134"/>
    </row>
    <row r="1135" spans="24:41" x14ac:dyDescent="0.4">
      <c r="X1135"/>
      <c r="AO1135"/>
    </row>
    <row r="1136" spans="24:41" x14ac:dyDescent="0.4">
      <c r="X1136"/>
      <c r="AO1136"/>
    </row>
    <row r="1137" spans="24:41" x14ac:dyDescent="0.4">
      <c r="X1137"/>
      <c r="AO1137"/>
    </row>
    <row r="1138" spans="24:41" x14ac:dyDescent="0.4">
      <c r="X1138"/>
      <c r="AO1138"/>
    </row>
    <row r="1139" spans="24:41" x14ac:dyDescent="0.4">
      <c r="X1139"/>
      <c r="AO1139"/>
    </row>
    <row r="1140" spans="24:41" x14ac:dyDescent="0.4">
      <c r="X1140"/>
      <c r="AO1140"/>
    </row>
    <row r="1141" spans="24:41" x14ac:dyDescent="0.4">
      <c r="X1141"/>
      <c r="AO1141"/>
    </row>
    <row r="1142" spans="24:41" x14ac:dyDescent="0.4">
      <c r="X1142"/>
      <c r="AO1142"/>
    </row>
    <row r="1143" spans="24:41" x14ac:dyDescent="0.4">
      <c r="X1143"/>
      <c r="AO1143"/>
    </row>
    <row r="1144" spans="24:41" x14ac:dyDescent="0.4">
      <c r="X1144"/>
      <c r="AO1144"/>
    </row>
    <row r="1145" spans="24:41" x14ac:dyDescent="0.4">
      <c r="X1145"/>
      <c r="AO1145"/>
    </row>
    <row r="1146" spans="24:41" x14ac:dyDescent="0.4">
      <c r="X1146"/>
      <c r="AO1146"/>
    </row>
    <row r="1147" spans="24:41" x14ac:dyDescent="0.4">
      <c r="X1147"/>
      <c r="AO1147"/>
    </row>
    <row r="1148" spans="24:41" x14ac:dyDescent="0.4">
      <c r="X1148"/>
      <c r="AO1148"/>
    </row>
    <row r="1149" spans="24:41" x14ac:dyDescent="0.4">
      <c r="X1149"/>
      <c r="AO1149"/>
    </row>
    <row r="1150" spans="24:41" x14ac:dyDescent="0.4">
      <c r="X1150"/>
      <c r="AO1150"/>
    </row>
    <row r="1151" spans="24:41" x14ac:dyDescent="0.4">
      <c r="X1151"/>
      <c r="AO1151"/>
    </row>
    <row r="1152" spans="24:41" x14ac:dyDescent="0.4">
      <c r="X1152"/>
      <c r="AO1152"/>
    </row>
    <row r="1153" spans="24:41" x14ac:dyDescent="0.4">
      <c r="X1153"/>
      <c r="AO1153"/>
    </row>
    <row r="1154" spans="24:41" x14ac:dyDescent="0.4">
      <c r="X1154"/>
      <c r="AO1154"/>
    </row>
    <row r="1155" spans="24:41" x14ac:dyDescent="0.4">
      <c r="X1155"/>
      <c r="AO1155"/>
    </row>
    <row r="1156" spans="24:41" x14ac:dyDescent="0.4">
      <c r="X1156"/>
      <c r="AO1156"/>
    </row>
    <row r="1157" spans="24:41" x14ac:dyDescent="0.4">
      <c r="X1157"/>
      <c r="AO1157"/>
    </row>
    <row r="1158" spans="24:41" x14ac:dyDescent="0.4">
      <c r="X1158"/>
      <c r="AO1158"/>
    </row>
    <row r="1159" spans="24:41" x14ac:dyDescent="0.4">
      <c r="X1159"/>
      <c r="AO1159"/>
    </row>
    <row r="1160" spans="24:41" x14ac:dyDescent="0.4">
      <c r="X1160"/>
      <c r="AO1160"/>
    </row>
    <row r="1161" spans="24:41" x14ac:dyDescent="0.4">
      <c r="X1161"/>
      <c r="AO1161"/>
    </row>
    <row r="1162" spans="24:41" x14ac:dyDescent="0.4">
      <c r="X1162"/>
      <c r="AO1162"/>
    </row>
    <row r="1163" spans="24:41" x14ac:dyDescent="0.4">
      <c r="X1163"/>
      <c r="AO1163"/>
    </row>
    <row r="1164" spans="24:41" x14ac:dyDescent="0.4">
      <c r="X1164"/>
      <c r="AO1164"/>
    </row>
    <row r="1165" spans="24:41" x14ac:dyDescent="0.4">
      <c r="X1165"/>
      <c r="AO1165"/>
    </row>
    <row r="1166" spans="24:41" x14ac:dyDescent="0.4">
      <c r="X1166"/>
      <c r="AO1166"/>
    </row>
    <row r="1167" spans="24:41" x14ac:dyDescent="0.4">
      <c r="X1167"/>
      <c r="AO1167"/>
    </row>
    <row r="1168" spans="24:41" x14ac:dyDescent="0.4">
      <c r="X1168"/>
      <c r="AO1168"/>
    </row>
    <row r="1169" spans="24:41" x14ac:dyDescent="0.4">
      <c r="X1169"/>
      <c r="AO1169"/>
    </row>
    <row r="1170" spans="24:41" x14ac:dyDescent="0.4">
      <c r="X1170"/>
      <c r="AO1170"/>
    </row>
    <row r="1171" spans="24:41" x14ac:dyDescent="0.4">
      <c r="X1171"/>
      <c r="AO1171"/>
    </row>
    <row r="1172" spans="24:41" x14ac:dyDescent="0.4">
      <c r="X1172"/>
      <c r="AO1172"/>
    </row>
    <row r="1173" spans="24:41" x14ac:dyDescent="0.4">
      <c r="X1173"/>
      <c r="AO1173"/>
    </row>
    <row r="1174" spans="24:41" x14ac:dyDescent="0.4">
      <c r="X1174"/>
      <c r="AO1174"/>
    </row>
    <row r="1175" spans="24:41" x14ac:dyDescent="0.4">
      <c r="X1175"/>
      <c r="AO1175"/>
    </row>
    <row r="1176" spans="24:41" x14ac:dyDescent="0.4">
      <c r="X1176"/>
      <c r="AO1176"/>
    </row>
    <row r="1177" spans="24:41" x14ac:dyDescent="0.4">
      <c r="X1177"/>
      <c r="AO1177"/>
    </row>
    <row r="1178" spans="24:41" x14ac:dyDescent="0.4">
      <c r="X1178"/>
      <c r="AO1178"/>
    </row>
    <row r="1179" spans="24:41" x14ac:dyDescent="0.4">
      <c r="X1179"/>
      <c r="AO1179"/>
    </row>
    <row r="1180" spans="24:41" x14ac:dyDescent="0.4">
      <c r="X1180"/>
      <c r="AO1180"/>
    </row>
    <row r="1181" spans="24:41" x14ac:dyDescent="0.4">
      <c r="X1181"/>
      <c r="AO1181"/>
    </row>
    <row r="1182" spans="24:41" x14ac:dyDescent="0.4">
      <c r="X1182"/>
      <c r="AO1182"/>
    </row>
    <row r="1183" spans="24:41" x14ac:dyDescent="0.4">
      <c r="X1183"/>
      <c r="AO1183"/>
    </row>
    <row r="1184" spans="24:41" x14ac:dyDescent="0.4">
      <c r="X1184"/>
      <c r="AO1184"/>
    </row>
    <row r="1185" spans="24:41" x14ac:dyDescent="0.4">
      <c r="X1185"/>
      <c r="AO1185"/>
    </row>
    <row r="1186" spans="24:41" x14ac:dyDescent="0.4">
      <c r="X1186"/>
      <c r="AO1186"/>
    </row>
    <row r="1187" spans="24:41" x14ac:dyDescent="0.4">
      <c r="X1187"/>
      <c r="AO1187"/>
    </row>
    <row r="1188" spans="24:41" x14ac:dyDescent="0.4">
      <c r="X1188"/>
      <c r="AO1188"/>
    </row>
    <row r="1189" spans="24:41" x14ac:dyDescent="0.4">
      <c r="X1189"/>
      <c r="AO1189"/>
    </row>
    <row r="1190" spans="24:41" x14ac:dyDescent="0.4">
      <c r="X1190"/>
      <c r="AO1190"/>
    </row>
    <row r="1191" spans="24:41" x14ac:dyDescent="0.4">
      <c r="X1191"/>
      <c r="AO1191"/>
    </row>
    <row r="1192" spans="24:41" x14ac:dyDescent="0.4">
      <c r="X1192"/>
      <c r="AO1192"/>
    </row>
    <row r="1193" spans="24:41" x14ac:dyDescent="0.4">
      <c r="X1193"/>
      <c r="AO1193"/>
    </row>
    <row r="1194" spans="24:41" x14ac:dyDescent="0.4">
      <c r="X1194"/>
      <c r="AO1194"/>
    </row>
    <row r="1195" spans="24:41" x14ac:dyDescent="0.4">
      <c r="X1195"/>
      <c r="AO1195"/>
    </row>
    <row r="1196" spans="24:41" x14ac:dyDescent="0.4">
      <c r="X1196"/>
      <c r="AO1196"/>
    </row>
    <row r="1197" spans="24:41" x14ac:dyDescent="0.4">
      <c r="X1197"/>
      <c r="AO1197"/>
    </row>
    <row r="1198" spans="24:41" x14ac:dyDescent="0.4">
      <c r="X1198"/>
      <c r="AO1198"/>
    </row>
    <row r="1199" spans="24:41" x14ac:dyDescent="0.4">
      <c r="X1199"/>
      <c r="AO1199"/>
    </row>
    <row r="1200" spans="24:41" x14ac:dyDescent="0.4">
      <c r="X1200"/>
      <c r="AO1200"/>
    </row>
    <row r="1201" spans="24:41" x14ac:dyDescent="0.4">
      <c r="X1201"/>
      <c r="AO1201"/>
    </row>
    <row r="1202" spans="24:41" x14ac:dyDescent="0.4">
      <c r="X1202"/>
      <c r="AO1202"/>
    </row>
    <row r="1203" spans="24:41" x14ac:dyDescent="0.4">
      <c r="X1203"/>
      <c r="AO1203"/>
    </row>
    <row r="1204" spans="24:41" x14ac:dyDescent="0.4">
      <c r="X1204"/>
      <c r="AO1204"/>
    </row>
    <row r="1205" spans="24:41" x14ac:dyDescent="0.4">
      <c r="X1205"/>
      <c r="AO1205"/>
    </row>
    <row r="1206" spans="24:41" x14ac:dyDescent="0.4">
      <c r="X1206"/>
      <c r="AO1206"/>
    </row>
    <row r="1207" spans="24:41" x14ac:dyDescent="0.4">
      <c r="X1207"/>
      <c r="AO1207"/>
    </row>
    <row r="1208" spans="24:41" x14ac:dyDescent="0.4">
      <c r="X1208"/>
      <c r="AO1208"/>
    </row>
    <row r="1209" spans="24:41" x14ac:dyDescent="0.4">
      <c r="X1209"/>
      <c r="AO1209"/>
    </row>
    <row r="1210" spans="24:41" x14ac:dyDescent="0.4">
      <c r="X1210"/>
      <c r="AO1210"/>
    </row>
    <row r="1211" spans="24:41" x14ac:dyDescent="0.4">
      <c r="X1211"/>
      <c r="AO1211"/>
    </row>
    <row r="1212" spans="24:41" x14ac:dyDescent="0.4">
      <c r="X1212"/>
      <c r="AO1212"/>
    </row>
    <row r="1213" spans="24:41" x14ac:dyDescent="0.4">
      <c r="X1213"/>
      <c r="AO1213"/>
    </row>
    <row r="1214" spans="24:41" x14ac:dyDescent="0.4">
      <c r="X1214"/>
      <c r="AO1214"/>
    </row>
    <row r="1215" spans="24:41" x14ac:dyDescent="0.4">
      <c r="X1215"/>
      <c r="AO1215"/>
    </row>
    <row r="1216" spans="24:41" x14ac:dyDescent="0.4">
      <c r="X1216"/>
      <c r="AO1216"/>
    </row>
    <row r="1217" spans="24:41" x14ac:dyDescent="0.4">
      <c r="X1217"/>
      <c r="AO1217"/>
    </row>
    <row r="1218" spans="24:41" x14ac:dyDescent="0.4">
      <c r="X1218"/>
      <c r="AO1218"/>
    </row>
    <row r="1219" spans="24:41" x14ac:dyDescent="0.4">
      <c r="X1219"/>
      <c r="AO1219"/>
    </row>
    <row r="1220" spans="24:41" x14ac:dyDescent="0.4">
      <c r="X1220"/>
      <c r="AO1220"/>
    </row>
    <row r="1221" spans="24:41" x14ac:dyDescent="0.4">
      <c r="X1221"/>
      <c r="AO1221"/>
    </row>
    <row r="1222" spans="24:41" x14ac:dyDescent="0.4">
      <c r="X1222"/>
      <c r="AO1222"/>
    </row>
    <row r="1223" spans="24:41" x14ac:dyDescent="0.4">
      <c r="X1223"/>
      <c r="AO1223"/>
    </row>
    <row r="1224" spans="24:41" x14ac:dyDescent="0.4">
      <c r="X1224"/>
      <c r="AO1224"/>
    </row>
    <row r="1225" spans="24:41" x14ac:dyDescent="0.4">
      <c r="X1225"/>
      <c r="AO1225"/>
    </row>
    <row r="1226" spans="24:41" x14ac:dyDescent="0.4">
      <c r="X1226"/>
      <c r="AO1226"/>
    </row>
    <row r="1227" spans="24:41" x14ac:dyDescent="0.4">
      <c r="X1227"/>
      <c r="AO1227"/>
    </row>
    <row r="1228" spans="24:41" x14ac:dyDescent="0.4">
      <c r="X1228"/>
      <c r="AO1228"/>
    </row>
    <row r="1229" spans="24:41" x14ac:dyDescent="0.4">
      <c r="X1229"/>
      <c r="AO1229"/>
    </row>
    <row r="1230" spans="24:41" x14ac:dyDescent="0.4">
      <c r="X1230"/>
      <c r="AO1230"/>
    </row>
    <row r="1231" spans="24:41" x14ac:dyDescent="0.4">
      <c r="X1231"/>
      <c r="AO1231"/>
    </row>
    <row r="1232" spans="24:41" x14ac:dyDescent="0.4">
      <c r="X1232"/>
      <c r="AO1232"/>
    </row>
    <row r="1233" spans="24:41" x14ac:dyDescent="0.4">
      <c r="X1233"/>
      <c r="AO1233"/>
    </row>
    <row r="1234" spans="24:41" x14ac:dyDescent="0.4">
      <c r="X1234"/>
      <c r="AO1234"/>
    </row>
    <row r="1235" spans="24:41" x14ac:dyDescent="0.4">
      <c r="X1235"/>
      <c r="AO1235"/>
    </row>
    <row r="1236" spans="24:41" x14ac:dyDescent="0.4">
      <c r="X1236"/>
      <c r="AO1236"/>
    </row>
    <row r="1237" spans="24:41" x14ac:dyDescent="0.4">
      <c r="X1237"/>
      <c r="AO1237"/>
    </row>
    <row r="1238" spans="24:41" x14ac:dyDescent="0.4">
      <c r="X1238"/>
      <c r="AO1238"/>
    </row>
    <row r="1239" spans="24:41" x14ac:dyDescent="0.4">
      <c r="X1239"/>
      <c r="AO1239"/>
    </row>
    <row r="1240" spans="24:41" x14ac:dyDescent="0.4">
      <c r="X1240"/>
      <c r="AO1240"/>
    </row>
    <row r="1241" spans="24:41" x14ac:dyDescent="0.4">
      <c r="X1241"/>
      <c r="AO1241"/>
    </row>
    <row r="1242" spans="24:41" x14ac:dyDescent="0.4">
      <c r="X1242"/>
      <c r="AO1242"/>
    </row>
    <row r="1243" spans="24:41" x14ac:dyDescent="0.4">
      <c r="X1243"/>
      <c r="AO1243"/>
    </row>
    <row r="1244" spans="24:41" x14ac:dyDescent="0.4">
      <c r="X1244"/>
      <c r="AO1244"/>
    </row>
    <row r="1245" spans="24:41" x14ac:dyDescent="0.4">
      <c r="X1245"/>
      <c r="AO1245"/>
    </row>
    <row r="1246" spans="24:41" x14ac:dyDescent="0.4">
      <c r="X1246"/>
      <c r="AO1246"/>
    </row>
    <row r="1247" spans="24:41" x14ac:dyDescent="0.4">
      <c r="X1247"/>
      <c r="AO1247"/>
    </row>
    <row r="1248" spans="24:41" x14ac:dyDescent="0.4">
      <c r="X1248"/>
      <c r="AO1248"/>
    </row>
    <row r="1249" spans="24:41" x14ac:dyDescent="0.4">
      <c r="X1249"/>
      <c r="AO1249"/>
    </row>
    <row r="1250" spans="24:41" x14ac:dyDescent="0.4">
      <c r="X1250"/>
      <c r="AO1250"/>
    </row>
    <row r="1251" spans="24:41" x14ac:dyDescent="0.4">
      <c r="X1251"/>
      <c r="AO1251"/>
    </row>
    <row r="1252" spans="24:41" x14ac:dyDescent="0.4">
      <c r="X1252"/>
      <c r="AO1252"/>
    </row>
    <row r="1253" spans="24:41" x14ac:dyDescent="0.4">
      <c r="X1253"/>
      <c r="AO1253"/>
    </row>
    <row r="1254" spans="24:41" x14ac:dyDescent="0.4">
      <c r="X1254"/>
      <c r="AO1254"/>
    </row>
    <row r="1255" spans="24:41" x14ac:dyDescent="0.4">
      <c r="X1255"/>
      <c r="AO1255"/>
    </row>
    <row r="1256" spans="24:41" x14ac:dyDescent="0.4">
      <c r="X1256"/>
      <c r="AO1256"/>
    </row>
    <row r="1257" spans="24:41" x14ac:dyDescent="0.4">
      <c r="X1257"/>
      <c r="AO1257"/>
    </row>
    <row r="1258" spans="24:41" x14ac:dyDescent="0.4">
      <c r="X1258"/>
      <c r="AO1258"/>
    </row>
    <row r="1259" spans="24:41" x14ac:dyDescent="0.4">
      <c r="X1259"/>
      <c r="AO1259"/>
    </row>
    <row r="1260" spans="24:41" x14ac:dyDescent="0.4">
      <c r="X1260"/>
      <c r="AO1260"/>
    </row>
    <row r="1261" spans="24:41" x14ac:dyDescent="0.4">
      <c r="X1261"/>
      <c r="AO1261"/>
    </row>
    <row r="1262" spans="24:41" x14ac:dyDescent="0.4">
      <c r="X1262"/>
      <c r="AO1262"/>
    </row>
    <row r="1263" spans="24:41" x14ac:dyDescent="0.4">
      <c r="X1263"/>
      <c r="AO1263"/>
    </row>
    <row r="1264" spans="24:41" x14ac:dyDescent="0.4">
      <c r="X1264"/>
      <c r="AO1264"/>
    </row>
    <row r="1265" spans="24:41" x14ac:dyDescent="0.4">
      <c r="X1265"/>
      <c r="AO1265"/>
    </row>
    <row r="1266" spans="24:41" x14ac:dyDescent="0.4">
      <c r="X1266"/>
      <c r="AO1266"/>
    </row>
    <row r="1267" spans="24:41" x14ac:dyDescent="0.4">
      <c r="X1267"/>
      <c r="AO1267"/>
    </row>
    <row r="1268" spans="24:41" x14ac:dyDescent="0.4">
      <c r="X1268"/>
      <c r="AO1268"/>
    </row>
    <row r="1269" spans="24:41" x14ac:dyDescent="0.4">
      <c r="X1269"/>
      <c r="AO1269"/>
    </row>
    <row r="1270" spans="24:41" x14ac:dyDescent="0.4">
      <c r="X1270"/>
      <c r="AO1270"/>
    </row>
    <row r="1271" spans="24:41" x14ac:dyDescent="0.4">
      <c r="X1271"/>
      <c r="AO1271"/>
    </row>
    <row r="1272" spans="24:41" x14ac:dyDescent="0.4">
      <c r="X1272"/>
      <c r="AO1272"/>
    </row>
    <row r="1273" spans="24:41" x14ac:dyDescent="0.4">
      <c r="X1273"/>
      <c r="AO1273"/>
    </row>
    <row r="1274" spans="24:41" x14ac:dyDescent="0.4">
      <c r="X1274"/>
      <c r="AO1274"/>
    </row>
    <row r="1275" spans="24:41" x14ac:dyDescent="0.4">
      <c r="X1275"/>
      <c r="AO1275"/>
    </row>
    <row r="1276" spans="24:41" x14ac:dyDescent="0.4">
      <c r="X1276"/>
      <c r="AO1276"/>
    </row>
    <row r="1277" spans="24:41" x14ac:dyDescent="0.4">
      <c r="X1277"/>
      <c r="AO1277"/>
    </row>
    <row r="1278" spans="24:41" x14ac:dyDescent="0.4">
      <c r="X1278"/>
      <c r="AO1278"/>
    </row>
    <row r="1279" spans="24:41" x14ac:dyDescent="0.4">
      <c r="X1279"/>
      <c r="AO1279"/>
    </row>
    <row r="1280" spans="24:41" x14ac:dyDescent="0.4">
      <c r="X1280"/>
      <c r="AO1280"/>
    </row>
    <row r="1281" spans="24:41" x14ac:dyDescent="0.4">
      <c r="X1281"/>
      <c r="AO1281"/>
    </row>
    <row r="1282" spans="24:41" x14ac:dyDescent="0.4">
      <c r="X1282"/>
      <c r="AO1282"/>
    </row>
    <row r="1283" spans="24:41" x14ac:dyDescent="0.4">
      <c r="X1283"/>
      <c r="AO1283"/>
    </row>
    <row r="1284" spans="24:41" x14ac:dyDescent="0.4">
      <c r="X1284"/>
      <c r="AO1284"/>
    </row>
    <row r="1285" spans="24:41" x14ac:dyDescent="0.4">
      <c r="X1285"/>
      <c r="AO1285"/>
    </row>
    <row r="1286" spans="24:41" x14ac:dyDescent="0.4">
      <c r="X1286"/>
      <c r="AO1286"/>
    </row>
    <row r="1287" spans="24:41" x14ac:dyDescent="0.4">
      <c r="X1287"/>
      <c r="AO1287"/>
    </row>
    <row r="1288" spans="24:41" x14ac:dyDescent="0.4">
      <c r="X1288"/>
      <c r="AO1288"/>
    </row>
    <row r="1289" spans="24:41" x14ac:dyDescent="0.4">
      <c r="X1289"/>
      <c r="AO1289"/>
    </row>
    <row r="1290" spans="24:41" x14ac:dyDescent="0.4">
      <c r="X1290"/>
      <c r="AO1290"/>
    </row>
    <row r="1291" spans="24:41" x14ac:dyDescent="0.4">
      <c r="X1291"/>
      <c r="AO1291"/>
    </row>
    <row r="1292" spans="24:41" x14ac:dyDescent="0.4">
      <c r="X1292"/>
      <c r="AO1292"/>
    </row>
    <row r="1293" spans="24:41" x14ac:dyDescent="0.4">
      <c r="X1293"/>
      <c r="AO1293"/>
    </row>
    <row r="1294" spans="24:41" x14ac:dyDescent="0.4">
      <c r="X1294"/>
      <c r="AO1294"/>
    </row>
    <row r="1295" spans="24:41" x14ac:dyDescent="0.4">
      <c r="X1295"/>
      <c r="AO1295"/>
    </row>
    <row r="1296" spans="24:41" x14ac:dyDescent="0.4">
      <c r="X1296"/>
      <c r="AO1296"/>
    </row>
    <row r="1297" spans="24:41" x14ac:dyDescent="0.4">
      <c r="X1297"/>
      <c r="AO1297"/>
    </row>
    <row r="1298" spans="24:41" x14ac:dyDescent="0.4">
      <c r="X1298"/>
      <c r="AO1298"/>
    </row>
    <row r="1299" spans="24:41" x14ac:dyDescent="0.4">
      <c r="X1299"/>
      <c r="AO1299"/>
    </row>
    <row r="1300" spans="24:41" x14ac:dyDescent="0.4">
      <c r="X1300"/>
      <c r="AO1300"/>
    </row>
    <row r="1301" spans="24:41" x14ac:dyDescent="0.4">
      <c r="X1301"/>
      <c r="AO1301"/>
    </row>
    <row r="1302" spans="24:41" x14ac:dyDescent="0.4">
      <c r="X1302"/>
      <c r="AO1302"/>
    </row>
    <row r="1303" spans="24:41" x14ac:dyDescent="0.4">
      <c r="X1303"/>
      <c r="AO1303"/>
    </row>
    <row r="1304" spans="24:41" x14ac:dyDescent="0.4">
      <c r="X1304"/>
      <c r="AO1304"/>
    </row>
    <row r="1305" spans="24:41" x14ac:dyDescent="0.4">
      <c r="X1305"/>
      <c r="AO1305"/>
    </row>
    <row r="1306" spans="24:41" x14ac:dyDescent="0.4">
      <c r="X1306"/>
      <c r="AO1306"/>
    </row>
    <row r="1307" spans="24:41" x14ac:dyDescent="0.4">
      <c r="X1307"/>
      <c r="AO1307"/>
    </row>
    <row r="1308" spans="24:41" x14ac:dyDescent="0.4">
      <c r="X1308"/>
      <c r="AO1308"/>
    </row>
    <row r="1309" spans="24:41" x14ac:dyDescent="0.4">
      <c r="X1309"/>
      <c r="AO1309"/>
    </row>
    <row r="1310" spans="24:41" x14ac:dyDescent="0.4">
      <c r="X1310"/>
      <c r="AO1310"/>
    </row>
    <row r="1311" spans="24:41" x14ac:dyDescent="0.4">
      <c r="X1311"/>
      <c r="AO1311"/>
    </row>
    <row r="1312" spans="24:41" x14ac:dyDescent="0.4">
      <c r="X1312"/>
      <c r="AO1312"/>
    </row>
    <row r="1313" spans="24:41" x14ac:dyDescent="0.4">
      <c r="X1313"/>
      <c r="AO1313"/>
    </row>
    <row r="1314" spans="24:41" x14ac:dyDescent="0.4">
      <c r="X1314"/>
      <c r="AO1314"/>
    </row>
    <row r="1315" spans="24:41" x14ac:dyDescent="0.4">
      <c r="X1315"/>
      <c r="AO1315"/>
    </row>
    <row r="1316" spans="24:41" x14ac:dyDescent="0.4">
      <c r="X1316"/>
      <c r="AO1316"/>
    </row>
    <row r="1317" spans="24:41" x14ac:dyDescent="0.4">
      <c r="X1317"/>
      <c r="AO1317"/>
    </row>
    <row r="1318" spans="24:41" x14ac:dyDescent="0.4">
      <c r="X1318"/>
      <c r="AO1318"/>
    </row>
    <row r="1319" spans="24:41" x14ac:dyDescent="0.4">
      <c r="X1319"/>
      <c r="AO1319"/>
    </row>
    <row r="1320" spans="24:41" x14ac:dyDescent="0.4">
      <c r="X1320"/>
      <c r="AO1320"/>
    </row>
    <row r="1321" spans="24:41" x14ac:dyDescent="0.4">
      <c r="X1321"/>
      <c r="AO1321"/>
    </row>
    <row r="1322" spans="24:41" x14ac:dyDescent="0.4">
      <c r="X1322"/>
      <c r="AO1322"/>
    </row>
    <row r="1323" spans="24:41" x14ac:dyDescent="0.4">
      <c r="X1323"/>
      <c r="AO1323"/>
    </row>
    <row r="1324" spans="24:41" x14ac:dyDescent="0.4">
      <c r="X1324"/>
      <c r="AO1324"/>
    </row>
    <row r="1325" spans="24:41" x14ac:dyDescent="0.4">
      <c r="X1325"/>
      <c r="AO1325"/>
    </row>
    <row r="1326" spans="24:41" x14ac:dyDescent="0.4">
      <c r="X1326"/>
      <c r="AO1326"/>
    </row>
    <row r="1327" spans="24:41" x14ac:dyDescent="0.4">
      <c r="X1327"/>
      <c r="AO1327"/>
    </row>
    <row r="1328" spans="24:41" x14ac:dyDescent="0.4">
      <c r="X1328"/>
      <c r="AO1328"/>
    </row>
    <row r="1329" spans="24:41" x14ac:dyDescent="0.4">
      <c r="X1329"/>
      <c r="AO1329"/>
    </row>
    <row r="1330" spans="24:41" x14ac:dyDescent="0.4">
      <c r="X1330"/>
      <c r="AO1330"/>
    </row>
    <row r="1331" spans="24:41" x14ac:dyDescent="0.4">
      <c r="X1331"/>
      <c r="AO1331"/>
    </row>
    <row r="1332" spans="24:41" x14ac:dyDescent="0.4">
      <c r="X1332"/>
      <c r="AO1332"/>
    </row>
    <row r="1333" spans="24:41" x14ac:dyDescent="0.4">
      <c r="X1333"/>
      <c r="AO1333"/>
    </row>
    <row r="1334" spans="24:41" x14ac:dyDescent="0.4">
      <c r="X1334"/>
      <c r="AO1334"/>
    </row>
    <row r="1335" spans="24:41" x14ac:dyDescent="0.4">
      <c r="X1335"/>
      <c r="AO1335"/>
    </row>
    <row r="1336" spans="24:41" x14ac:dyDescent="0.4">
      <c r="X1336"/>
      <c r="AO1336"/>
    </row>
    <row r="1337" spans="24:41" x14ac:dyDescent="0.4">
      <c r="X1337"/>
      <c r="AO1337"/>
    </row>
    <row r="1338" spans="24:41" x14ac:dyDescent="0.4">
      <c r="X1338"/>
      <c r="AO1338"/>
    </row>
    <row r="1339" spans="24:41" x14ac:dyDescent="0.4">
      <c r="X1339"/>
      <c r="AO1339"/>
    </row>
    <row r="1340" spans="24:41" x14ac:dyDescent="0.4">
      <c r="X1340"/>
      <c r="AO1340"/>
    </row>
    <row r="1341" spans="24:41" x14ac:dyDescent="0.4">
      <c r="X1341"/>
      <c r="AO1341"/>
    </row>
    <row r="1342" spans="24:41" x14ac:dyDescent="0.4">
      <c r="X1342"/>
      <c r="AO1342"/>
    </row>
    <row r="1343" spans="24:41" x14ac:dyDescent="0.4">
      <c r="X1343"/>
      <c r="AO1343"/>
    </row>
    <row r="1344" spans="24:41" x14ac:dyDescent="0.4">
      <c r="X1344"/>
      <c r="AO1344"/>
    </row>
    <row r="1345" spans="24:41" x14ac:dyDescent="0.4">
      <c r="X1345"/>
      <c r="AO1345"/>
    </row>
    <row r="1346" spans="24:41" x14ac:dyDescent="0.4">
      <c r="X1346"/>
      <c r="AO1346"/>
    </row>
    <row r="1347" spans="24:41" x14ac:dyDescent="0.4">
      <c r="X1347"/>
      <c r="AO1347"/>
    </row>
    <row r="1348" spans="24:41" x14ac:dyDescent="0.4">
      <c r="X1348"/>
      <c r="AO1348"/>
    </row>
    <row r="1349" spans="24:41" x14ac:dyDescent="0.4">
      <c r="X1349"/>
      <c r="AO1349"/>
    </row>
    <row r="1350" spans="24:41" x14ac:dyDescent="0.4">
      <c r="X1350"/>
      <c r="AO1350"/>
    </row>
    <row r="1351" spans="24:41" x14ac:dyDescent="0.4">
      <c r="X1351"/>
      <c r="AO1351"/>
    </row>
    <row r="1352" spans="24:41" x14ac:dyDescent="0.4">
      <c r="X1352"/>
      <c r="AO1352"/>
    </row>
    <row r="1353" spans="24:41" x14ac:dyDescent="0.4">
      <c r="X1353"/>
      <c r="AO1353"/>
    </row>
    <row r="1354" spans="24:41" x14ac:dyDescent="0.4">
      <c r="X1354"/>
      <c r="AO1354"/>
    </row>
    <row r="1355" spans="24:41" x14ac:dyDescent="0.4">
      <c r="X1355"/>
      <c r="AO1355"/>
    </row>
    <row r="1356" spans="24:41" x14ac:dyDescent="0.4">
      <c r="X1356"/>
      <c r="AO1356"/>
    </row>
    <row r="1357" spans="24:41" x14ac:dyDescent="0.4">
      <c r="X1357"/>
      <c r="AO1357"/>
    </row>
    <row r="1358" spans="24:41" x14ac:dyDescent="0.4">
      <c r="X1358"/>
      <c r="AO1358"/>
    </row>
    <row r="1359" spans="24:41" x14ac:dyDescent="0.4">
      <c r="X1359"/>
      <c r="AO1359"/>
    </row>
    <row r="1360" spans="24:41" x14ac:dyDescent="0.4">
      <c r="X1360"/>
      <c r="AO1360"/>
    </row>
    <row r="1361" spans="24:41" x14ac:dyDescent="0.4">
      <c r="X1361"/>
      <c r="AO1361"/>
    </row>
    <row r="1362" spans="24:41" x14ac:dyDescent="0.4">
      <c r="X1362"/>
      <c r="AO1362"/>
    </row>
    <row r="1363" spans="24:41" x14ac:dyDescent="0.4">
      <c r="X1363"/>
      <c r="AO1363"/>
    </row>
    <row r="1364" spans="24:41" x14ac:dyDescent="0.4">
      <c r="X1364"/>
      <c r="AO1364"/>
    </row>
    <row r="1365" spans="24:41" x14ac:dyDescent="0.4">
      <c r="X1365"/>
      <c r="AO1365"/>
    </row>
    <row r="1366" spans="24:41" x14ac:dyDescent="0.4">
      <c r="X1366"/>
      <c r="AO1366"/>
    </row>
    <row r="1367" spans="24:41" x14ac:dyDescent="0.4">
      <c r="X1367"/>
      <c r="AO1367"/>
    </row>
    <row r="1368" spans="24:41" x14ac:dyDescent="0.4">
      <c r="X1368"/>
      <c r="AO1368"/>
    </row>
    <row r="1369" spans="24:41" x14ac:dyDescent="0.4">
      <c r="X1369"/>
      <c r="AO1369"/>
    </row>
    <row r="1370" spans="24:41" x14ac:dyDescent="0.4">
      <c r="X1370"/>
      <c r="AO1370"/>
    </row>
    <row r="1371" spans="24:41" x14ac:dyDescent="0.4">
      <c r="X1371"/>
      <c r="AO1371"/>
    </row>
    <row r="1372" spans="24:41" x14ac:dyDescent="0.4">
      <c r="X1372"/>
      <c r="AO1372"/>
    </row>
    <row r="1373" spans="24:41" x14ac:dyDescent="0.4">
      <c r="X1373"/>
      <c r="AO1373"/>
    </row>
    <row r="1374" spans="24:41" x14ac:dyDescent="0.4">
      <c r="X1374"/>
      <c r="AO1374"/>
    </row>
    <row r="1375" spans="24:41" x14ac:dyDescent="0.4">
      <c r="X1375"/>
      <c r="AO1375"/>
    </row>
    <row r="1376" spans="24:41" x14ac:dyDescent="0.4">
      <c r="X1376"/>
      <c r="AO1376"/>
    </row>
    <row r="1377" spans="24:41" x14ac:dyDescent="0.4">
      <c r="X1377"/>
      <c r="AO1377"/>
    </row>
    <row r="1378" spans="24:41" x14ac:dyDescent="0.4">
      <c r="X1378"/>
      <c r="AO1378"/>
    </row>
    <row r="1379" spans="24:41" x14ac:dyDescent="0.4">
      <c r="X1379"/>
      <c r="AO1379"/>
    </row>
    <row r="1380" spans="24:41" x14ac:dyDescent="0.4">
      <c r="X1380"/>
      <c r="AO1380"/>
    </row>
    <row r="1381" spans="24:41" x14ac:dyDescent="0.4">
      <c r="X1381"/>
      <c r="AO1381"/>
    </row>
    <row r="1382" spans="24:41" x14ac:dyDescent="0.4">
      <c r="X1382"/>
      <c r="AO1382"/>
    </row>
    <row r="1383" spans="24:41" x14ac:dyDescent="0.4">
      <c r="X1383"/>
      <c r="AO1383"/>
    </row>
    <row r="1384" spans="24:41" x14ac:dyDescent="0.4">
      <c r="X1384"/>
      <c r="AO1384"/>
    </row>
    <row r="1385" spans="24:41" x14ac:dyDescent="0.4">
      <c r="X1385"/>
      <c r="AO1385"/>
    </row>
    <row r="1386" spans="24:41" x14ac:dyDescent="0.4">
      <c r="X1386"/>
      <c r="AO1386"/>
    </row>
    <row r="1387" spans="24:41" x14ac:dyDescent="0.4">
      <c r="X1387"/>
      <c r="AO1387"/>
    </row>
    <row r="1388" spans="24:41" x14ac:dyDescent="0.4">
      <c r="X1388"/>
      <c r="AO1388"/>
    </row>
    <row r="1389" spans="24:41" x14ac:dyDescent="0.4">
      <c r="X1389"/>
      <c r="AO1389"/>
    </row>
    <row r="1390" spans="24:41" x14ac:dyDescent="0.4">
      <c r="X1390"/>
      <c r="AO1390"/>
    </row>
    <row r="1391" spans="24:41" x14ac:dyDescent="0.4">
      <c r="X1391"/>
      <c r="AO1391"/>
    </row>
    <row r="1392" spans="24:41" x14ac:dyDescent="0.4">
      <c r="X1392"/>
      <c r="AO1392"/>
    </row>
    <row r="1393" spans="24:41" x14ac:dyDescent="0.4">
      <c r="X1393"/>
      <c r="AO1393"/>
    </row>
    <row r="1394" spans="24:41" x14ac:dyDescent="0.4">
      <c r="X1394"/>
      <c r="AO1394"/>
    </row>
    <row r="1395" spans="24:41" x14ac:dyDescent="0.4">
      <c r="X1395"/>
      <c r="AO1395"/>
    </row>
    <row r="1396" spans="24:41" x14ac:dyDescent="0.4">
      <c r="X1396"/>
      <c r="AO1396"/>
    </row>
    <row r="1397" spans="24:41" x14ac:dyDescent="0.4">
      <c r="X1397"/>
      <c r="AO1397"/>
    </row>
    <row r="1398" spans="24:41" x14ac:dyDescent="0.4">
      <c r="X1398"/>
      <c r="AO1398"/>
    </row>
    <row r="1399" spans="24:41" x14ac:dyDescent="0.4">
      <c r="X1399"/>
      <c r="AO1399"/>
    </row>
    <row r="1400" spans="24:41" x14ac:dyDescent="0.4">
      <c r="X1400"/>
      <c r="AO1400"/>
    </row>
    <row r="1401" spans="24:41" x14ac:dyDescent="0.4">
      <c r="X1401"/>
      <c r="AO1401"/>
    </row>
    <row r="1402" spans="24:41" x14ac:dyDescent="0.4">
      <c r="X1402"/>
      <c r="AO1402"/>
    </row>
    <row r="1403" spans="24:41" x14ac:dyDescent="0.4">
      <c r="X1403"/>
      <c r="AO1403"/>
    </row>
    <row r="1404" spans="24:41" x14ac:dyDescent="0.4">
      <c r="X1404"/>
      <c r="AO1404"/>
    </row>
    <row r="1405" spans="24:41" x14ac:dyDescent="0.4">
      <c r="X1405"/>
      <c r="AO1405"/>
    </row>
    <row r="1406" spans="24:41" x14ac:dyDescent="0.4">
      <c r="X1406"/>
      <c r="AO1406"/>
    </row>
    <row r="1407" spans="24:41" x14ac:dyDescent="0.4">
      <c r="X1407"/>
      <c r="AO1407"/>
    </row>
    <row r="1408" spans="24:41" x14ac:dyDescent="0.4">
      <c r="X1408"/>
      <c r="AO1408"/>
    </row>
    <row r="1409" spans="24:41" x14ac:dyDescent="0.4">
      <c r="X1409"/>
      <c r="AO1409"/>
    </row>
    <row r="1410" spans="24:41" x14ac:dyDescent="0.4">
      <c r="X1410"/>
      <c r="AO1410"/>
    </row>
    <row r="1411" spans="24:41" x14ac:dyDescent="0.4">
      <c r="X1411"/>
      <c r="AO1411"/>
    </row>
    <row r="1412" spans="24:41" x14ac:dyDescent="0.4">
      <c r="X1412"/>
      <c r="AO1412"/>
    </row>
    <row r="1413" spans="24:41" x14ac:dyDescent="0.4">
      <c r="X1413"/>
      <c r="AO1413"/>
    </row>
    <row r="1414" spans="24:41" x14ac:dyDescent="0.4">
      <c r="X1414"/>
      <c r="AO1414"/>
    </row>
    <row r="1415" spans="24:41" x14ac:dyDescent="0.4">
      <c r="X1415"/>
      <c r="AO1415"/>
    </row>
    <row r="1416" spans="24:41" x14ac:dyDescent="0.4">
      <c r="X1416"/>
      <c r="AO1416"/>
    </row>
    <row r="1417" spans="24:41" x14ac:dyDescent="0.4">
      <c r="X1417"/>
      <c r="AO1417"/>
    </row>
    <row r="1418" spans="24:41" x14ac:dyDescent="0.4">
      <c r="X1418"/>
      <c r="AO1418"/>
    </row>
    <row r="1419" spans="24:41" x14ac:dyDescent="0.4">
      <c r="X1419"/>
      <c r="AO1419"/>
    </row>
    <row r="1420" spans="24:41" x14ac:dyDescent="0.4">
      <c r="X1420"/>
      <c r="AO1420"/>
    </row>
    <row r="1421" spans="24:41" x14ac:dyDescent="0.4">
      <c r="X1421"/>
      <c r="AO1421"/>
    </row>
    <row r="1422" spans="24:41" x14ac:dyDescent="0.4">
      <c r="X1422"/>
      <c r="AO1422"/>
    </row>
    <row r="1423" spans="24:41" x14ac:dyDescent="0.4">
      <c r="X1423"/>
      <c r="AO1423"/>
    </row>
    <row r="1424" spans="24:41" x14ac:dyDescent="0.4">
      <c r="X1424"/>
      <c r="AO1424"/>
    </row>
    <row r="1425" spans="24:41" x14ac:dyDescent="0.4">
      <c r="X1425"/>
      <c r="AO1425"/>
    </row>
    <row r="1426" spans="24:41" x14ac:dyDescent="0.4">
      <c r="X1426"/>
      <c r="AO1426"/>
    </row>
    <row r="1427" spans="24:41" x14ac:dyDescent="0.4">
      <c r="X1427"/>
      <c r="AO1427"/>
    </row>
    <row r="1428" spans="24:41" x14ac:dyDescent="0.4">
      <c r="X1428"/>
      <c r="AO1428"/>
    </row>
    <row r="1429" spans="24:41" x14ac:dyDescent="0.4">
      <c r="X1429"/>
      <c r="AO1429"/>
    </row>
    <row r="1430" spans="24:41" x14ac:dyDescent="0.4">
      <c r="X1430"/>
      <c r="AO1430"/>
    </row>
    <row r="1431" spans="24:41" x14ac:dyDescent="0.4">
      <c r="X1431"/>
      <c r="AO1431"/>
    </row>
    <row r="1432" spans="24:41" x14ac:dyDescent="0.4">
      <c r="X1432"/>
      <c r="AO1432"/>
    </row>
    <row r="1433" spans="24:41" x14ac:dyDescent="0.4">
      <c r="X1433"/>
      <c r="AO1433"/>
    </row>
    <row r="1434" spans="24:41" x14ac:dyDescent="0.4">
      <c r="X1434"/>
      <c r="AO1434"/>
    </row>
    <row r="1435" spans="24:41" x14ac:dyDescent="0.4">
      <c r="X1435"/>
      <c r="AO1435"/>
    </row>
    <row r="1436" spans="24:41" x14ac:dyDescent="0.4">
      <c r="X1436"/>
      <c r="AO1436"/>
    </row>
    <row r="1437" spans="24:41" x14ac:dyDescent="0.4">
      <c r="X1437"/>
      <c r="AO1437"/>
    </row>
    <row r="1438" spans="24:41" x14ac:dyDescent="0.4">
      <c r="X1438"/>
      <c r="AO1438"/>
    </row>
    <row r="1439" spans="24:41" x14ac:dyDescent="0.4">
      <c r="X1439"/>
      <c r="AO1439"/>
    </row>
    <row r="1440" spans="24:41" x14ac:dyDescent="0.4">
      <c r="X1440"/>
      <c r="AO1440"/>
    </row>
    <row r="1441" spans="24:41" x14ac:dyDescent="0.4">
      <c r="X1441"/>
      <c r="AO1441"/>
    </row>
    <row r="1442" spans="24:41" x14ac:dyDescent="0.4">
      <c r="X1442"/>
      <c r="AO1442"/>
    </row>
    <row r="1443" spans="24:41" x14ac:dyDescent="0.4">
      <c r="X1443"/>
      <c r="AO1443"/>
    </row>
    <row r="1444" spans="24:41" x14ac:dyDescent="0.4">
      <c r="X1444"/>
      <c r="AO1444"/>
    </row>
    <row r="1445" spans="24:41" x14ac:dyDescent="0.4">
      <c r="X1445"/>
      <c r="AO1445"/>
    </row>
    <row r="1446" spans="24:41" x14ac:dyDescent="0.4">
      <c r="X1446"/>
      <c r="AO1446"/>
    </row>
    <row r="1447" spans="24:41" x14ac:dyDescent="0.4">
      <c r="X1447"/>
      <c r="AO1447"/>
    </row>
    <row r="1448" spans="24:41" x14ac:dyDescent="0.4">
      <c r="X1448"/>
      <c r="AO1448"/>
    </row>
    <row r="1449" spans="24:41" x14ac:dyDescent="0.4">
      <c r="X1449"/>
      <c r="AO1449"/>
    </row>
    <row r="1450" spans="24:41" x14ac:dyDescent="0.4">
      <c r="X1450"/>
      <c r="AO1450"/>
    </row>
    <row r="1451" spans="24:41" x14ac:dyDescent="0.4">
      <c r="X1451"/>
      <c r="AO1451"/>
    </row>
    <row r="1452" spans="24:41" x14ac:dyDescent="0.4">
      <c r="X1452"/>
      <c r="AO1452"/>
    </row>
    <row r="1453" spans="24:41" x14ac:dyDescent="0.4">
      <c r="X1453"/>
      <c r="AO1453"/>
    </row>
    <row r="1454" spans="24:41" x14ac:dyDescent="0.4">
      <c r="X1454"/>
      <c r="AO1454"/>
    </row>
    <row r="1455" spans="24:41" x14ac:dyDescent="0.4">
      <c r="X1455"/>
      <c r="AO1455"/>
    </row>
    <row r="1456" spans="24:41" x14ac:dyDescent="0.4">
      <c r="X1456"/>
      <c r="AO1456"/>
    </row>
    <row r="1457" spans="24:41" x14ac:dyDescent="0.4">
      <c r="X1457"/>
      <c r="AO1457"/>
    </row>
    <row r="1458" spans="24:41" x14ac:dyDescent="0.4">
      <c r="X1458"/>
      <c r="AO1458"/>
    </row>
    <row r="1459" spans="24:41" x14ac:dyDescent="0.4">
      <c r="X1459"/>
      <c r="AO1459"/>
    </row>
    <row r="1460" spans="24:41" x14ac:dyDescent="0.4">
      <c r="X1460"/>
      <c r="AO1460"/>
    </row>
    <row r="1461" spans="24:41" x14ac:dyDescent="0.4">
      <c r="X1461"/>
      <c r="AO1461"/>
    </row>
    <row r="1462" spans="24:41" x14ac:dyDescent="0.4">
      <c r="X1462"/>
      <c r="AO1462"/>
    </row>
    <row r="1463" spans="24:41" x14ac:dyDescent="0.4">
      <c r="X1463"/>
      <c r="AO1463"/>
    </row>
    <row r="1464" spans="24:41" x14ac:dyDescent="0.4">
      <c r="X1464"/>
      <c r="AO1464"/>
    </row>
    <row r="1465" spans="24:41" x14ac:dyDescent="0.4">
      <c r="X1465"/>
      <c r="AO1465"/>
    </row>
    <row r="1466" spans="24:41" x14ac:dyDescent="0.4">
      <c r="X1466"/>
      <c r="AO1466"/>
    </row>
    <row r="1467" spans="24:41" x14ac:dyDescent="0.4">
      <c r="X1467"/>
      <c r="AO1467"/>
    </row>
    <row r="1468" spans="24:41" x14ac:dyDescent="0.4">
      <c r="X1468"/>
      <c r="AO1468"/>
    </row>
    <row r="1469" spans="24:41" x14ac:dyDescent="0.4">
      <c r="X1469"/>
      <c r="AO1469"/>
    </row>
    <row r="1470" spans="24:41" x14ac:dyDescent="0.4">
      <c r="X1470"/>
      <c r="AO1470"/>
    </row>
    <row r="1471" spans="24:41" x14ac:dyDescent="0.4">
      <c r="X1471"/>
      <c r="AO1471"/>
    </row>
    <row r="1472" spans="24:41" x14ac:dyDescent="0.4">
      <c r="X1472"/>
      <c r="AO1472"/>
    </row>
    <row r="1473" spans="24:41" x14ac:dyDescent="0.4">
      <c r="X1473"/>
      <c r="AO1473"/>
    </row>
    <row r="1474" spans="24:41" x14ac:dyDescent="0.4">
      <c r="X1474"/>
      <c r="AO1474"/>
    </row>
    <row r="1475" spans="24:41" x14ac:dyDescent="0.4">
      <c r="X1475"/>
      <c r="AO1475"/>
    </row>
    <row r="1476" spans="24:41" x14ac:dyDescent="0.4">
      <c r="X1476"/>
      <c r="AO1476"/>
    </row>
    <row r="1477" spans="24:41" x14ac:dyDescent="0.4">
      <c r="X1477"/>
      <c r="AO1477"/>
    </row>
    <row r="1478" spans="24:41" x14ac:dyDescent="0.4">
      <c r="X1478"/>
      <c r="AO1478"/>
    </row>
    <row r="1479" spans="24:41" x14ac:dyDescent="0.4">
      <c r="X1479"/>
      <c r="AO1479"/>
    </row>
    <row r="1480" spans="24:41" x14ac:dyDescent="0.4">
      <c r="X1480"/>
      <c r="AO1480"/>
    </row>
    <row r="1481" spans="24:41" x14ac:dyDescent="0.4">
      <c r="X1481"/>
      <c r="AO1481"/>
    </row>
    <row r="1482" spans="24:41" x14ac:dyDescent="0.4">
      <c r="X1482"/>
      <c r="AO1482"/>
    </row>
    <row r="1483" spans="24:41" x14ac:dyDescent="0.4">
      <c r="X1483"/>
      <c r="AO1483"/>
    </row>
    <row r="1484" spans="24:41" x14ac:dyDescent="0.4">
      <c r="X1484"/>
      <c r="AO1484"/>
    </row>
    <row r="1485" spans="24:41" x14ac:dyDescent="0.4">
      <c r="X1485"/>
      <c r="AO1485"/>
    </row>
    <row r="1486" spans="24:41" x14ac:dyDescent="0.4">
      <c r="X1486"/>
      <c r="AO1486"/>
    </row>
    <row r="1487" spans="24:41" x14ac:dyDescent="0.4">
      <c r="X1487"/>
      <c r="AO1487"/>
    </row>
    <row r="1488" spans="24:41" x14ac:dyDescent="0.4">
      <c r="X1488"/>
      <c r="AO1488"/>
    </row>
    <row r="1489" spans="24:41" x14ac:dyDescent="0.4">
      <c r="X1489"/>
      <c r="AO1489"/>
    </row>
    <row r="1490" spans="24:41" x14ac:dyDescent="0.4">
      <c r="X1490"/>
      <c r="AO1490"/>
    </row>
    <row r="1491" spans="24:41" x14ac:dyDescent="0.4">
      <c r="X1491"/>
      <c r="AO1491"/>
    </row>
    <row r="1492" spans="24:41" x14ac:dyDescent="0.4">
      <c r="X1492"/>
      <c r="AO1492"/>
    </row>
    <row r="1493" spans="24:41" x14ac:dyDescent="0.4">
      <c r="X1493"/>
      <c r="AO1493"/>
    </row>
    <row r="1494" spans="24:41" x14ac:dyDescent="0.4">
      <c r="X1494"/>
      <c r="AO1494"/>
    </row>
    <row r="1495" spans="24:41" x14ac:dyDescent="0.4">
      <c r="X1495"/>
      <c r="AO1495"/>
    </row>
    <row r="1496" spans="24:41" x14ac:dyDescent="0.4">
      <c r="X1496"/>
      <c r="AO1496"/>
    </row>
    <row r="1497" spans="24:41" x14ac:dyDescent="0.4">
      <c r="X1497"/>
      <c r="AO1497"/>
    </row>
    <row r="1498" spans="24:41" x14ac:dyDescent="0.4">
      <c r="X1498"/>
      <c r="AO1498"/>
    </row>
    <row r="1499" spans="24:41" x14ac:dyDescent="0.4">
      <c r="X1499"/>
      <c r="AO1499"/>
    </row>
    <row r="1500" spans="24:41" x14ac:dyDescent="0.4">
      <c r="X1500"/>
      <c r="AO1500"/>
    </row>
    <row r="1501" spans="24:41" x14ac:dyDescent="0.4">
      <c r="X1501"/>
      <c r="AO1501"/>
    </row>
    <row r="1502" spans="24:41" x14ac:dyDescent="0.4">
      <c r="X1502"/>
      <c r="AO1502"/>
    </row>
    <row r="1503" spans="24:41" x14ac:dyDescent="0.4">
      <c r="X1503"/>
      <c r="AO1503"/>
    </row>
    <row r="1504" spans="24:41" x14ac:dyDescent="0.4">
      <c r="X1504"/>
      <c r="AO1504"/>
    </row>
    <row r="1505" spans="24:41" x14ac:dyDescent="0.4">
      <c r="X1505"/>
      <c r="AO1505"/>
    </row>
    <row r="1506" spans="24:41" x14ac:dyDescent="0.4">
      <c r="X1506"/>
      <c r="AO1506"/>
    </row>
    <row r="1507" spans="24:41" x14ac:dyDescent="0.4">
      <c r="X1507"/>
      <c r="AO1507"/>
    </row>
    <row r="1508" spans="24:41" x14ac:dyDescent="0.4">
      <c r="X1508"/>
      <c r="AO1508"/>
    </row>
    <row r="1509" spans="24:41" x14ac:dyDescent="0.4">
      <c r="X1509"/>
      <c r="AO1509"/>
    </row>
    <row r="1510" spans="24:41" x14ac:dyDescent="0.4">
      <c r="X1510"/>
      <c r="AO1510"/>
    </row>
    <row r="1511" spans="24:41" x14ac:dyDescent="0.4">
      <c r="X1511"/>
      <c r="AO1511"/>
    </row>
    <row r="1512" spans="24:41" x14ac:dyDescent="0.4">
      <c r="X1512"/>
      <c r="AO1512"/>
    </row>
    <row r="1513" spans="24:41" x14ac:dyDescent="0.4">
      <c r="X1513"/>
      <c r="AO1513"/>
    </row>
    <row r="1514" spans="24:41" x14ac:dyDescent="0.4">
      <c r="X1514"/>
      <c r="AO1514"/>
    </row>
    <row r="1515" spans="24:41" x14ac:dyDescent="0.4">
      <c r="X1515"/>
      <c r="AO1515"/>
    </row>
    <row r="1516" spans="24:41" x14ac:dyDescent="0.4">
      <c r="X1516"/>
      <c r="AO1516"/>
    </row>
    <row r="1517" spans="24:41" x14ac:dyDescent="0.4">
      <c r="X1517"/>
      <c r="AO1517"/>
    </row>
    <row r="1518" spans="24:41" x14ac:dyDescent="0.4">
      <c r="X1518"/>
      <c r="AO1518"/>
    </row>
    <row r="1519" spans="24:41" x14ac:dyDescent="0.4">
      <c r="X1519"/>
      <c r="AO1519"/>
    </row>
    <row r="1520" spans="24:41" x14ac:dyDescent="0.4">
      <c r="X1520"/>
      <c r="AO1520"/>
    </row>
    <row r="1521" spans="24:41" x14ac:dyDescent="0.4">
      <c r="X1521"/>
      <c r="AO1521"/>
    </row>
    <row r="1522" spans="24:41" x14ac:dyDescent="0.4">
      <c r="X1522"/>
      <c r="AO1522"/>
    </row>
    <row r="1523" spans="24:41" x14ac:dyDescent="0.4">
      <c r="X1523"/>
      <c r="AO1523"/>
    </row>
    <row r="1524" spans="24:41" x14ac:dyDescent="0.4">
      <c r="X1524"/>
      <c r="AO1524"/>
    </row>
    <row r="1525" spans="24:41" x14ac:dyDescent="0.4">
      <c r="X1525"/>
      <c r="AO1525"/>
    </row>
    <row r="1526" spans="24:41" x14ac:dyDescent="0.4">
      <c r="X1526"/>
      <c r="AO1526"/>
    </row>
    <row r="1527" spans="24:41" x14ac:dyDescent="0.4">
      <c r="X1527"/>
      <c r="AO1527"/>
    </row>
    <row r="1528" spans="24:41" x14ac:dyDescent="0.4">
      <c r="X1528"/>
      <c r="AO1528"/>
    </row>
    <row r="1529" spans="24:41" x14ac:dyDescent="0.4">
      <c r="X1529"/>
      <c r="AO1529"/>
    </row>
    <row r="1530" spans="24:41" x14ac:dyDescent="0.4">
      <c r="X1530"/>
      <c r="AO1530"/>
    </row>
    <row r="1531" spans="24:41" x14ac:dyDescent="0.4">
      <c r="X1531"/>
      <c r="AO1531"/>
    </row>
    <row r="1532" spans="24:41" x14ac:dyDescent="0.4">
      <c r="X1532"/>
      <c r="AO1532"/>
    </row>
    <row r="1533" spans="24:41" x14ac:dyDescent="0.4">
      <c r="X1533"/>
      <c r="AO1533"/>
    </row>
    <row r="1534" spans="24:41" x14ac:dyDescent="0.4">
      <c r="X1534"/>
      <c r="AO1534"/>
    </row>
    <row r="1535" spans="24:41" x14ac:dyDescent="0.4">
      <c r="X1535"/>
      <c r="AO1535"/>
    </row>
    <row r="1536" spans="24:41" x14ac:dyDescent="0.4">
      <c r="X1536"/>
      <c r="AO1536"/>
    </row>
    <row r="1537" spans="24:41" x14ac:dyDescent="0.4">
      <c r="X1537"/>
      <c r="AO1537"/>
    </row>
    <row r="1538" spans="24:41" x14ac:dyDescent="0.4">
      <c r="X1538"/>
      <c r="AO1538"/>
    </row>
    <row r="1539" spans="24:41" x14ac:dyDescent="0.4">
      <c r="X1539"/>
      <c r="AO1539"/>
    </row>
    <row r="1540" spans="24:41" x14ac:dyDescent="0.4">
      <c r="X1540"/>
      <c r="AO1540"/>
    </row>
    <row r="1541" spans="24:41" x14ac:dyDescent="0.4">
      <c r="X1541"/>
      <c r="AO1541"/>
    </row>
    <row r="1542" spans="24:41" x14ac:dyDescent="0.4">
      <c r="X1542"/>
      <c r="AO1542"/>
    </row>
    <row r="1543" spans="24:41" x14ac:dyDescent="0.4">
      <c r="X1543"/>
      <c r="AO1543"/>
    </row>
    <row r="1544" spans="24:41" x14ac:dyDescent="0.4">
      <c r="X1544"/>
      <c r="AO1544"/>
    </row>
    <row r="1545" spans="24:41" x14ac:dyDescent="0.4">
      <c r="X1545"/>
      <c r="AO1545"/>
    </row>
    <row r="1546" spans="24:41" x14ac:dyDescent="0.4">
      <c r="X1546"/>
      <c r="AO1546"/>
    </row>
    <row r="1547" spans="24:41" x14ac:dyDescent="0.4">
      <c r="X1547"/>
      <c r="AO1547"/>
    </row>
    <row r="1548" spans="24:41" x14ac:dyDescent="0.4">
      <c r="X1548"/>
      <c r="AO1548"/>
    </row>
    <row r="1549" spans="24:41" x14ac:dyDescent="0.4">
      <c r="X1549"/>
      <c r="AO1549"/>
    </row>
    <row r="1550" spans="24:41" x14ac:dyDescent="0.4">
      <c r="X1550"/>
      <c r="AO1550"/>
    </row>
    <row r="1551" spans="24:41" x14ac:dyDescent="0.4">
      <c r="X1551"/>
      <c r="AO1551"/>
    </row>
    <row r="1552" spans="24:41" x14ac:dyDescent="0.4">
      <c r="X1552"/>
      <c r="AO1552"/>
    </row>
    <row r="1553" spans="24:41" x14ac:dyDescent="0.4">
      <c r="X1553"/>
      <c r="AO1553"/>
    </row>
    <row r="1554" spans="24:41" x14ac:dyDescent="0.4">
      <c r="X1554"/>
      <c r="AO1554"/>
    </row>
    <row r="1555" spans="24:41" x14ac:dyDescent="0.4">
      <c r="X1555"/>
      <c r="AO1555"/>
    </row>
    <row r="1556" spans="24:41" x14ac:dyDescent="0.4">
      <c r="X1556"/>
      <c r="AO1556"/>
    </row>
    <row r="1557" spans="24:41" x14ac:dyDescent="0.4">
      <c r="X1557"/>
      <c r="AO1557"/>
    </row>
    <row r="1558" spans="24:41" x14ac:dyDescent="0.4">
      <c r="X1558"/>
      <c r="AO1558"/>
    </row>
    <row r="1559" spans="24:41" x14ac:dyDescent="0.4">
      <c r="X1559"/>
      <c r="AO1559"/>
    </row>
    <row r="1560" spans="24:41" x14ac:dyDescent="0.4">
      <c r="X1560"/>
      <c r="AO1560"/>
    </row>
    <row r="1561" spans="24:41" x14ac:dyDescent="0.4">
      <c r="X1561"/>
      <c r="AO1561"/>
    </row>
    <row r="1562" spans="24:41" x14ac:dyDescent="0.4">
      <c r="X1562"/>
      <c r="AO1562"/>
    </row>
    <row r="1563" spans="24:41" x14ac:dyDescent="0.4">
      <c r="X1563"/>
      <c r="AO1563"/>
    </row>
    <row r="1564" spans="24:41" x14ac:dyDescent="0.4">
      <c r="X1564"/>
      <c r="AO1564"/>
    </row>
    <row r="1565" spans="24:41" x14ac:dyDescent="0.4">
      <c r="X1565"/>
      <c r="AO1565"/>
    </row>
    <row r="1566" spans="24:41" x14ac:dyDescent="0.4">
      <c r="X1566"/>
      <c r="AO1566"/>
    </row>
    <row r="1567" spans="24:41" x14ac:dyDescent="0.4">
      <c r="X1567"/>
      <c r="AO1567"/>
    </row>
    <row r="1568" spans="24:41" x14ac:dyDescent="0.4">
      <c r="X1568"/>
      <c r="AO1568"/>
    </row>
    <row r="1569" spans="24:41" x14ac:dyDescent="0.4">
      <c r="X1569"/>
      <c r="AO1569"/>
    </row>
    <row r="1570" spans="24:41" x14ac:dyDescent="0.4">
      <c r="X1570"/>
      <c r="AO1570"/>
    </row>
    <row r="1571" spans="24:41" x14ac:dyDescent="0.4">
      <c r="X1571"/>
      <c r="AO1571"/>
    </row>
    <row r="1572" spans="24:41" x14ac:dyDescent="0.4">
      <c r="X1572"/>
      <c r="AO1572"/>
    </row>
    <row r="1573" spans="24:41" x14ac:dyDescent="0.4">
      <c r="X1573"/>
      <c r="AO1573"/>
    </row>
    <row r="1574" spans="24:41" x14ac:dyDescent="0.4">
      <c r="X1574"/>
      <c r="AO1574"/>
    </row>
    <row r="1575" spans="24:41" x14ac:dyDescent="0.4">
      <c r="X1575"/>
      <c r="AO1575"/>
    </row>
    <row r="1576" spans="24:41" x14ac:dyDescent="0.4">
      <c r="X1576"/>
      <c r="AO1576"/>
    </row>
    <row r="1577" spans="24:41" x14ac:dyDescent="0.4">
      <c r="X1577"/>
      <c r="AO1577"/>
    </row>
    <row r="1578" spans="24:41" x14ac:dyDescent="0.4">
      <c r="X1578"/>
      <c r="AO1578"/>
    </row>
    <row r="1579" spans="24:41" x14ac:dyDescent="0.4">
      <c r="X1579"/>
      <c r="AO1579"/>
    </row>
    <row r="1580" spans="24:41" x14ac:dyDescent="0.4">
      <c r="X1580"/>
      <c r="AO1580"/>
    </row>
    <row r="1581" spans="24:41" x14ac:dyDescent="0.4">
      <c r="X1581"/>
      <c r="AO1581"/>
    </row>
    <row r="1582" spans="24:41" x14ac:dyDescent="0.4">
      <c r="X1582"/>
      <c r="AO1582"/>
    </row>
    <row r="1583" spans="24:41" x14ac:dyDescent="0.4">
      <c r="X1583"/>
      <c r="AO1583"/>
    </row>
    <row r="1584" spans="24:41" x14ac:dyDescent="0.4">
      <c r="X1584"/>
      <c r="AO1584"/>
    </row>
    <row r="1585" spans="24:41" x14ac:dyDescent="0.4">
      <c r="X1585"/>
      <c r="AO1585"/>
    </row>
    <row r="1586" spans="24:41" x14ac:dyDescent="0.4">
      <c r="X1586"/>
      <c r="AO1586"/>
    </row>
    <row r="1587" spans="24:41" x14ac:dyDescent="0.4">
      <c r="X1587"/>
      <c r="AO1587"/>
    </row>
    <row r="1588" spans="24:41" x14ac:dyDescent="0.4">
      <c r="X1588"/>
      <c r="AO1588"/>
    </row>
    <row r="1589" spans="24:41" x14ac:dyDescent="0.4">
      <c r="X1589"/>
      <c r="AO1589"/>
    </row>
    <row r="1590" spans="24:41" x14ac:dyDescent="0.4">
      <c r="X1590"/>
      <c r="AO1590"/>
    </row>
    <row r="1591" spans="24:41" x14ac:dyDescent="0.4">
      <c r="X1591"/>
      <c r="AO1591"/>
    </row>
    <row r="1592" spans="24:41" x14ac:dyDescent="0.4">
      <c r="X1592"/>
      <c r="AO1592"/>
    </row>
    <row r="1593" spans="24:41" x14ac:dyDescent="0.4">
      <c r="X1593"/>
      <c r="AO1593"/>
    </row>
    <row r="1594" spans="24:41" x14ac:dyDescent="0.4">
      <c r="X1594"/>
      <c r="AO1594"/>
    </row>
    <row r="1595" spans="24:41" x14ac:dyDescent="0.4">
      <c r="X1595"/>
      <c r="AO1595"/>
    </row>
    <row r="1596" spans="24:41" x14ac:dyDescent="0.4">
      <c r="X1596"/>
      <c r="AO1596"/>
    </row>
    <row r="1597" spans="24:41" x14ac:dyDescent="0.4">
      <c r="X1597"/>
      <c r="AO1597"/>
    </row>
    <row r="1598" spans="24:41" x14ac:dyDescent="0.4">
      <c r="X1598"/>
      <c r="AO1598"/>
    </row>
    <row r="1599" spans="24:41" x14ac:dyDescent="0.4">
      <c r="X1599"/>
      <c r="AO1599"/>
    </row>
    <row r="1600" spans="24:41" x14ac:dyDescent="0.4">
      <c r="X1600"/>
      <c r="AO1600"/>
    </row>
    <row r="1601" spans="24:41" x14ac:dyDescent="0.4">
      <c r="X1601"/>
      <c r="AO1601"/>
    </row>
    <row r="1602" spans="24:41" x14ac:dyDescent="0.4">
      <c r="X1602"/>
      <c r="AO1602"/>
    </row>
    <row r="1603" spans="24:41" x14ac:dyDescent="0.4">
      <c r="X1603"/>
      <c r="AO1603"/>
    </row>
    <row r="1604" spans="24:41" x14ac:dyDescent="0.4">
      <c r="X1604"/>
      <c r="AO1604"/>
    </row>
    <row r="1605" spans="24:41" x14ac:dyDescent="0.4">
      <c r="X1605"/>
      <c r="AO1605"/>
    </row>
    <row r="1606" spans="24:41" x14ac:dyDescent="0.4">
      <c r="X1606"/>
      <c r="AO1606"/>
    </row>
    <row r="1607" spans="24:41" x14ac:dyDescent="0.4">
      <c r="X1607"/>
      <c r="AO1607"/>
    </row>
    <row r="1608" spans="24:41" x14ac:dyDescent="0.4">
      <c r="X1608"/>
      <c r="AO1608"/>
    </row>
    <row r="1609" spans="24:41" x14ac:dyDescent="0.4">
      <c r="X1609"/>
      <c r="AO1609"/>
    </row>
    <row r="1610" spans="24:41" x14ac:dyDescent="0.4">
      <c r="X1610"/>
      <c r="AO1610"/>
    </row>
    <row r="1611" spans="24:41" x14ac:dyDescent="0.4">
      <c r="X1611"/>
      <c r="AO1611"/>
    </row>
    <row r="1612" spans="24:41" x14ac:dyDescent="0.4">
      <c r="X1612"/>
      <c r="AO1612"/>
    </row>
    <row r="1613" spans="24:41" x14ac:dyDescent="0.4">
      <c r="X1613"/>
      <c r="AO1613"/>
    </row>
    <row r="1614" spans="24:41" x14ac:dyDescent="0.4">
      <c r="X1614"/>
      <c r="AO1614"/>
    </row>
    <row r="1615" spans="24:41" x14ac:dyDescent="0.4">
      <c r="X1615"/>
      <c r="AO1615"/>
    </row>
    <row r="1616" spans="24:41" x14ac:dyDescent="0.4">
      <c r="X1616"/>
      <c r="AO1616"/>
    </row>
    <row r="1617" spans="24:41" x14ac:dyDescent="0.4">
      <c r="X1617"/>
      <c r="AO1617"/>
    </row>
    <row r="1618" spans="24:41" x14ac:dyDescent="0.4">
      <c r="X1618"/>
      <c r="AO1618"/>
    </row>
    <row r="1619" spans="24:41" x14ac:dyDescent="0.4">
      <c r="X1619"/>
      <c r="AO1619"/>
    </row>
    <row r="1620" spans="24:41" x14ac:dyDescent="0.4">
      <c r="X1620"/>
      <c r="AO1620"/>
    </row>
    <row r="1621" spans="24:41" x14ac:dyDescent="0.4">
      <c r="X1621"/>
      <c r="AO1621"/>
    </row>
    <row r="1622" spans="24:41" x14ac:dyDescent="0.4">
      <c r="X1622"/>
      <c r="AO1622"/>
    </row>
    <row r="1623" spans="24:41" x14ac:dyDescent="0.4">
      <c r="X1623"/>
      <c r="AO1623"/>
    </row>
    <row r="1624" spans="24:41" x14ac:dyDescent="0.4">
      <c r="X1624"/>
      <c r="AO1624"/>
    </row>
    <row r="1625" spans="24:41" x14ac:dyDescent="0.4">
      <c r="X1625"/>
      <c r="AO1625"/>
    </row>
    <row r="1626" spans="24:41" x14ac:dyDescent="0.4">
      <c r="X1626"/>
      <c r="AO1626"/>
    </row>
    <row r="1627" spans="24:41" x14ac:dyDescent="0.4">
      <c r="X1627"/>
      <c r="AO1627"/>
    </row>
    <row r="1628" spans="24:41" x14ac:dyDescent="0.4">
      <c r="X1628"/>
      <c r="AO1628"/>
    </row>
    <row r="1629" spans="24:41" x14ac:dyDescent="0.4">
      <c r="X1629"/>
      <c r="AO1629"/>
    </row>
    <row r="1630" spans="24:41" x14ac:dyDescent="0.4">
      <c r="X1630"/>
      <c r="AO1630"/>
    </row>
    <row r="1631" spans="24:41" x14ac:dyDescent="0.4">
      <c r="X1631"/>
      <c r="AO1631"/>
    </row>
    <row r="1632" spans="24:41" x14ac:dyDescent="0.4">
      <c r="X1632"/>
      <c r="AO1632"/>
    </row>
    <row r="1633" spans="24:41" x14ac:dyDescent="0.4">
      <c r="X1633"/>
      <c r="AO1633"/>
    </row>
    <row r="1634" spans="24:41" x14ac:dyDescent="0.4">
      <c r="X1634"/>
      <c r="AO1634"/>
    </row>
    <row r="1635" spans="24:41" x14ac:dyDescent="0.4">
      <c r="X1635"/>
      <c r="AO1635"/>
    </row>
    <row r="1636" spans="24:41" x14ac:dyDescent="0.4">
      <c r="X1636"/>
      <c r="AO1636"/>
    </row>
    <row r="1637" spans="24:41" x14ac:dyDescent="0.4">
      <c r="X1637"/>
      <c r="AO1637"/>
    </row>
    <row r="1638" spans="24:41" x14ac:dyDescent="0.4">
      <c r="X1638"/>
      <c r="AO1638"/>
    </row>
    <row r="1639" spans="24:41" x14ac:dyDescent="0.4">
      <c r="X1639"/>
      <c r="AO1639"/>
    </row>
    <row r="1640" spans="24:41" x14ac:dyDescent="0.4">
      <c r="X1640"/>
      <c r="AO1640"/>
    </row>
    <row r="1641" spans="24:41" x14ac:dyDescent="0.4">
      <c r="X1641"/>
      <c r="AO1641"/>
    </row>
    <row r="1642" spans="24:41" x14ac:dyDescent="0.4">
      <c r="X1642"/>
      <c r="AO1642"/>
    </row>
    <row r="1643" spans="24:41" x14ac:dyDescent="0.4">
      <c r="X1643"/>
      <c r="AO1643"/>
    </row>
    <row r="1644" spans="24:41" x14ac:dyDescent="0.4">
      <c r="X1644"/>
      <c r="AO1644"/>
    </row>
    <row r="1645" spans="24:41" x14ac:dyDescent="0.4">
      <c r="X1645"/>
      <c r="AO1645"/>
    </row>
    <row r="1646" spans="24:41" x14ac:dyDescent="0.4">
      <c r="X1646"/>
      <c r="AO1646"/>
    </row>
    <row r="1647" spans="24:41" x14ac:dyDescent="0.4">
      <c r="X1647"/>
      <c r="AO1647"/>
    </row>
    <row r="1648" spans="24:41" x14ac:dyDescent="0.4">
      <c r="X1648"/>
      <c r="AO1648"/>
    </row>
    <row r="1649" spans="24:41" x14ac:dyDescent="0.4">
      <c r="X1649"/>
      <c r="AO1649"/>
    </row>
    <row r="1650" spans="24:41" x14ac:dyDescent="0.4">
      <c r="X1650"/>
      <c r="AO1650"/>
    </row>
    <row r="1651" spans="24:41" x14ac:dyDescent="0.4">
      <c r="X1651"/>
      <c r="AO1651"/>
    </row>
    <row r="1652" spans="24:41" x14ac:dyDescent="0.4">
      <c r="X1652"/>
      <c r="AO1652"/>
    </row>
    <row r="1653" spans="24:41" x14ac:dyDescent="0.4">
      <c r="X1653"/>
      <c r="AO1653"/>
    </row>
    <row r="1654" spans="24:41" x14ac:dyDescent="0.4">
      <c r="X1654"/>
      <c r="AO1654"/>
    </row>
    <row r="1655" spans="24:41" x14ac:dyDescent="0.4">
      <c r="X1655"/>
      <c r="AO1655"/>
    </row>
    <row r="1656" spans="24:41" x14ac:dyDescent="0.4">
      <c r="X1656"/>
      <c r="AO1656"/>
    </row>
    <row r="1657" spans="24:41" x14ac:dyDescent="0.4">
      <c r="X1657"/>
      <c r="AO1657"/>
    </row>
    <row r="1658" spans="24:41" x14ac:dyDescent="0.4">
      <c r="X1658"/>
      <c r="AO1658"/>
    </row>
    <row r="1659" spans="24:41" x14ac:dyDescent="0.4">
      <c r="X1659"/>
      <c r="AO1659"/>
    </row>
    <row r="1660" spans="24:41" x14ac:dyDescent="0.4">
      <c r="X1660"/>
      <c r="AO1660"/>
    </row>
    <row r="1661" spans="24:41" x14ac:dyDescent="0.4">
      <c r="X1661"/>
      <c r="AO1661"/>
    </row>
    <row r="1662" spans="24:41" x14ac:dyDescent="0.4">
      <c r="X1662"/>
      <c r="AO1662"/>
    </row>
    <row r="1663" spans="24:41" x14ac:dyDescent="0.4">
      <c r="X1663"/>
      <c r="AO1663"/>
    </row>
    <row r="1664" spans="24:41" x14ac:dyDescent="0.4">
      <c r="X1664"/>
      <c r="AO1664"/>
    </row>
    <row r="1665" spans="24:41" x14ac:dyDescent="0.4">
      <c r="X1665"/>
      <c r="AO1665"/>
    </row>
    <row r="1666" spans="24:41" x14ac:dyDescent="0.4">
      <c r="X1666"/>
      <c r="AO1666"/>
    </row>
    <row r="1667" spans="24:41" x14ac:dyDescent="0.4">
      <c r="X1667"/>
      <c r="AO1667"/>
    </row>
    <row r="1668" spans="24:41" x14ac:dyDescent="0.4">
      <c r="X1668"/>
      <c r="AO1668"/>
    </row>
    <row r="1669" spans="24:41" x14ac:dyDescent="0.4">
      <c r="X1669"/>
      <c r="AO1669"/>
    </row>
    <row r="1670" spans="24:41" x14ac:dyDescent="0.4">
      <c r="X1670"/>
      <c r="AO1670"/>
    </row>
    <row r="1671" spans="24:41" x14ac:dyDescent="0.4">
      <c r="X1671"/>
      <c r="AO1671"/>
    </row>
    <row r="1672" spans="24:41" x14ac:dyDescent="0.4">
      <c r="X1672"/>
      <c r="AO1672"/>
    </row>
    <row r="1673" spans="24:41" x14ac:dyDescent="0.4">
      <c r="X1673"/>
      <c r="AO1673"/>
    </row>
    <row r="1674" spans="24:41" x14ac:dyDescent="0.4">
      <c r="X1674"/>
      <c r="AO1674"/>
    </row>
    <row r="1675" spans="24:41" x14ac:dyDescent="0.4">
      <c r="X1675"/>
      <c r="AO1675"/>
    </row>
    <row r="1676" spans="24:41" x14ac:dyDescent="0.4">
      <c r="X1676"/>
      <c r="AO1676"/>
    </row>
    <row r="1677" spans="24:41" x14ac:dyDescent="0.4">
      <c r="X1677"/>
      <c r="AO1677"/>
    </row>
    <row r="1678" spans="24:41" x14ac:dyDescent="0.4">
      <c r="X1678"/>
      <c r="AO1678"/>
    </row>
    <row r="1679" spans="24:41" x14ac:dyDescent="0.4">
      <c r="X1679"/>
      <c r="AO1679"/>
    </row>
    <row r="1680" spans="24:41" x14ac:dyDescent="0.4">
      <c r="X1680"/>
      <c r="AO1680"/>
    </row>
    <row r="1681" spans="24:41" x14ac:dyDescent="0.4">
      <c r="X1681"/>
      <c r="AO1681"/>
    </row>
    <row r="1682" spans="24:41" x14ac:dyDescent="0.4">
      <c r="X1682"/>
      <c r="AO1682"/>
    </row>
    <row r="1683" spans="24:41" x14ac:dyDescent="0.4">
      <c r="X1683"/>
      <c r="AO1683"/>
    </row>
    <row r="1684" spans="24:41" x14ac:dyDescent="0.4">
      <c r="X1684"/>
      <c r="AO1684"/>
    </row>
    <row r="1685" spans="24:41" x14ac:dyDescent="0.4">
      <c r="X1685"/>
      <c r="AO1685"/>
    </row>
    <row r="1686" spans="24:41" x14ac:dyDescent="0.4">
      <c r="X1686"/>
      <c r="AO1686"/>
    </row>
    <row r="1687" spans="24:41" x14ac:dyDescent="0.4">
      <c r="X1687"/>
      <c r="AO1687"/>
    </row>
    <row r="1688" spans="24:41" x14ac:dyDescent="0.4">
      <c r="X1688"/>
      <c r="AO1688"/>
    </row>
    <row r="1689" spans="24:41" x14ac:dyDescent="0.4">
      <c r="X1689"/>
      <c r="AO1689"/>
    </row>
    <row r="1690" spans="24:41" x14ac:dyDescent="0.4">
      <c r="X1690"/>
      <c r="AO1690"/>
    </row>
    <row r="1691" spans="24:41" x14ac:dyDescent="0.4">
      <c r="X1691"/>
      <c r="AO1691"/>
    </row>
    <row r="1692" spans="24:41" x14ac:dyDescent="0.4">
      <c r="X1692"/>
      <c r="AO1692"/>
    </row>
    <row r="1693" spans="24:41" x14ac:dyDescent="0.4">
      <c r="X1693"/>
      <c r="AO1693"/>
    </row>
    <row r="1694" spans="24:41" x14ac:dyDescent="0.4">
      <c r="X1694"/>
      <c r="AO1694"/>
    </row>
    <row r="1695" spans="24:41" x14ac:dyDescent="0.4">
      <c r="X1695"/>
      <c r="AO1695"/>
    </row>
    <row r="1696" spans="24:41" x14ac:dyDescent="0.4">
      <c r="X1696"/>
      <c r="AO1696"/>
    </row>
    <row r="1697" spans="24:41" x14ac:dyDescent="0.4">
      <c r="X1697"/>
      <c r="AO1697"/>
    </row>
    <row r="1698" spans="24:41" x14ac:dyDescent="0.4">
      <c r="X1698"/>
      <c r="AO1698"/>
    </row>
    <row r="1699" spans="24:41" x14ac:dyDescent="0.4">
      <c r="X1699"/>
      <c r="AO1699"/>
    </row>
    <row r="1700" spans="24:41" x14ac:dyDescent="0.4">
      <c r="X1700"/>
      <c r="AO1700"/>
    </row>
    <row r="1701" spans="24:41" x14ac:dyDescent="0.4">
      <c r="X1701"/>
      <c r="AO1701"/>
    </row>
    <row r="1702" spans="24:41" x14ac:dyDescent="0.4">
      <c r="X1702"/>
      <c r="AO1702"/>
    </row>
    <row r="1703" spans="24:41" x14ac:dyDescent="0.4">
      <c r="X1703"/>
      <c r="AO1703"/>
    </row>
    <row r="1704" spans="24:41" x14ac:dyDescent="0.4">
      <c r="X1704"/>
      <c r="AO1704"/>
    </row>
    <row r="1705" spans="24:41" x14ac:dyDescent="0.4">
      <c r="X1705"/>
      <c r="AO1705"/>
    </row>
    <row r="1706" spans="24:41" x14ac:dyDescent="0.4">
      <c r="X1706"/>
      <c r="AO1706"/>
    </row>
    <row r="1707" spans="24:41" x14ac:dyDescent="0.4">
      <c r="X1707"/>
      <c r="AO1707"/>
    </row>
    <row r="1708" spans="24:41" x14ac:dyDescent="0.4">
      <c r="X1708"/>
      <c r="AO1708"/>
    </row>
    <row r="1709" spans="24:41" x14ac:dyDescent="0.4">
      <c r="X1709"/>
      <c r="AO1709"/>
    </row>
    <row r="1710" spans="24:41" x14ac:dyDescent="0.4">
      <c r="X1710"/>
      <c r="AO1710"/>
    </row>
    <row r="1711" spans="24:41" x14ac:dyDescent="0.4">
      <c r="X1711"/>
      <c r="AO1711"/>
    </row>
    <row r="1712" spans="24:41" x14ac:dyDescent="0.4">
      <c r="X1712"/>
      <c r="AO1712"/>
    </row>
    <row r="1713" spans="24:41" x14ac:dyDescent="0.4">
      <c r="X1713"/>
      <c r="AO1713"/>
    </row>
    <row r="1714" spans="24:41" x14ac:dyDescent="0.4">
      <c r="X1714"/>
      <c r="AO1714"/>
    </row>
    <row r="1715" spans="24:41" x14ac:dyDescent="0.4">
      <c r="X1715"/>
      <c r="AO1715"/>
    </row>
    <row r="1716" spans="24:41" x14ac:dyDescent="0.4">
      <c r="X1716"/>
      <c r="AO1716"/>
    </row>
    <row r="1717" spans="24:41" x14ac:dyDescent="0.4">
      <c r="X1717"/>
      <c r="AO1717"/>
    </row>
    <row r="1718" spans="24:41" x14ac:dyDescent="0.4">
      <c r="X1718"/>
      <c r="AO1718"/>
    </row>
    <row r="1719" spans="24:41" x14ac:dyDescent="0.4">
      <c r="X1719"/>
      <c r="AO1719"/>
    </row>
    <row r="1720" spans="24:41" x14ac:dyDescent="0.4">
      <c r="X1720"/>
      <c r="AO1720"/>
    </row>
    <row r="1721" spans="24:41" x14ac:dyDescent="0.4">
      <c r="X1721"/>
      <c r="AO1721"/>
    </row>
    <row r="1722" spans="24:41" x14ac:dyDescent="0.4">
      <c r="X1722"/>
      <c r="AO1722"/>
    </row>
    <row r="1723" spans="24:41" x14ac:dyDescent="0.4">
      <c r="X1723"/>
      <c r="AO1723"/>
    </row>
    <row r="1724" spans="24:41" x14ac:dyDescent="0.4">
      <c r="X1724"/>
      <c r="AO1724"/>
    </row>
    <row r="1725" spans="24:41" x14ac:dyDescent="0.4">
      <c r="X1725"/>
      <c r="AO1725"/>
    </row>
    <row r="1726" spans="24:41" x14ac:dyDescent="0.4">
      <c r="X1726"/>
      <c r="AO1726"/>
    </row>
    <row r="1727" spans="24:41" x14ac:dyDescent="0.4">
      <c r="X1727"/>
      <c r="AO1727"/>
    </row>
    <row r="1728" spans="24:41" x14ac:dyDescent="0.4">
      <c r="X1728"/>
      <c r="AO1728"/>
    </row>
    <row r="1729" spans="24:41" x14ac:dyDescent="0.4">
      <c r="X1729"/>
      <c r="AO1729"/>
    </row>
    <row r="1730" spans="24:41" x14ac:dyDescent="0.4">
      <c r="X1730"/>
      <c r="AO1730"/>
    </row>
    <row r="1731" spans="24:41" x14ac:dyDescent="0.4">
      <c r="X1731"/>
      <c r="AO1731"/>
    </row>
    <row r="1732" spans="24:41" x14ac:dyDescent="0.4">
      <c r="X1732"/>
      <c r="AO1732"/>
    </row>
    <row r="1733" spans="24:41" x14ac:dyDescent="0.4">
      <c r="X1733"/>
      <c r="AO1733"/>
    </row>
    <row r="1734" spans="24:41" x14ac:dyDescent="0.4">
      <c r="X1734"/>
      <c r="AO1734"/>
    </row>
    <row r="1735" spans="24:41" x14ac:dyDescent="0.4">
      <c r="X1735"/>
      <c r="AO1735"/>
    </row>
    <row r="1736" spans="24:41" x14ac:dyDescent="0.4">
      <c r="X1736"/>
      <c r="AO1736"/>
    </row>
    <row r="1737" spans="24:41" x14ac:dyDescent="0.4">
      <c r="X1737"/>
      <c r="AO1737"/>
    </row>
    <row r="1738" spans="24:41" x14ac:dyDescent="0.4">
      <c r="X1738"/>
      <c r="AO1738"/>
    </row>
    <row r="1739" spans="24:41" x14ac:dyDescent="0.4">
      <c r="X1739"/>
      <c r="AO1739"/>
    </row>
    <row r="1740" spans="24:41" x14ac:dyDescent="0.4">
      <c r="X1740"/>
      <c r="AO1740"/>
    </row>
    <row r="1741" spans="24:41" x14ac:dyDescent="0.4">
      <c r="X1741"/>
      <c r="AO1741"/>
    </row>
    <row r="1742" spans="24:41" x14ac:dyDescent="0.4">
      <c r="X1742"/>
      <c r="AO1742"/>
    </row>
    <row r="1743" spans="24:41" x14ac:dyDescent="0.4">
      <c r="X1743"/>
      <c r="AO1743"/>
    </row>
    <row r="1744" spans="24:41" x14ac:dyDescent="0.4">
      <c r="X1744"/>
      <c r="AO1744"/>
    </row>
    <row r="1745" spans="24:41" x14ac:dyDescent="0.4">
      <c r="X1745"/>
      <c r="AO1745"/>
    </row>
    <row r="1746" spans="24:41" x14ac:dyDescent="0.4">
      <c r="X1746"/>
      <c r="AO1746"/>
    </row>
    <row r="1747" spans="24:41" x14ac:dyDescent="0.4">
      <c r="X1747"/>
      <c r="AO1747"/>
    </row>
    <row r="1748" spans="24:41" x14ac:dyDescent="0.4">
      <c r="X1748"/>
      <c r="AO1748"/>
    </row>
    <row r="1749" spans="24:41" x14ac:dyDescent="0.4">
      <c r="X1749"/>
      <c r="AO1749"/>
    </row>
    <row r="1750" spans="24:41" x14ac:dyDescent="0.4">
      <c r="X1750"/>
      <c r="AO1750"/>
    </row>
    <row r="1751" spans="24:41" x14ac:dyDescent="0.4">
      <c r="X1751"/>
      <c r="AO1751"/>
    </row>
    <row r="1752" spans="24:41" x14ac:dyDescent="0.4">
      <c r="X1752"/>
      <c r="AO1752"/>
    </row>
    <row r="1753" spans="24:41" x14ac:dyDescent="0.4">
      <c r="X1753"/>
      <c r="AO1753"/>
    </row>
    <row r="1754" spans="24:41" x14ac:dyDescent="0.4">
      <c r="X1754"/>
      <c r="AO1754"/>
    </row>
    <row r="1755" spans="24:41" x14ac:dyDescent="0.4">
      <c r="X1755"/>
      <c r="AO1755"/>
    </row>
    <row r="1756" spans="24:41" x14ac:dyDescent="0.4">
      <c r="X1756"/>
      <c r="AO1756"/>
    </row>
    <row r="1757" spans="24:41" x14ac:dyDescent="0.4">
      <c r="X1757"/>
      <c r="AO1757"/>
    </row>
    <row r="1758" spans="24:41" x14ac:dyDescent="0.4">
      <c r="X1758"/>
      <c r="AO1758"/>
    </row>
    <row r="1759" spans="24:41" x14ac:dyDescent="0.4">
      <c r="X1759"/>
      <c r="AO1759"/>
    </row>
    <row r="1760" spans="24:41" x14ac:dyDescent="0.4">
      <c r="X1760"/>
      <c r="AO1760"/>
    </row>
    <row r="1761" spans="24:41" x14ac:dyDescent="0.4">
      <c r="X1761"/>
      <c r="AO1761"/>
    </row>
    <row r="1762" spans="24:41" x14ac:dyDescent="0.4">
      <c r="X1762"/>
      <c r="AO1762"/>
    </row>
    <row r="1763" spans="24:41" x14ac:dyDescent="0.4">
      <c r="X1763"/>
      <c r="AO1763"/>
    </row>
    <row r="1764" spans="24:41" x14ac:dyDescent="0.4">
      <c r="X1764"/>
      <c r="AO1764"/>
    </row>
    <row r="1765" spans="24:41" x14ac:dyDescent="0.4">
      <c r="X1765"/>
      <c r="AO1765"/>
    </row>
    <row r="1766" spans="24:41" x14ac:dyDescent="0.4">
      <c r="X1766"/>
      <c r="AO1766"/>
    </row>
    <row r="1767" spans="24:41" x14ac:dyDescent="0.4">
      <c r="X1767"/>
      <c r="AO1767"/>
    </row>
    <row r="1768" spans="24:41" x14ac:dyDescent="0.4">
      <c r="X1768"/>
      <c r="AO1768"/>
    </row>
    <row r="1769" spans="24:41" x14ac:dyDescent="0.4">
      <c r="X1769"/>
      <c r="AO1769"/>
    </row>
    <row r="1770" spans="24:41" x14ac:dyDescent="0.4">
      <c r="X1770"/>
      <c r="AO1770"/>
    </row>
    <row r="1771" spans="24:41" x14ac:dyDescent="0.4">
      <c r="X1771"/>
      <c r="AO1771"/>
    </row>
    <row r="1772" spans="24:41" x14ac:dyDescent="0.4">
      <c r="X1772"/>
      <c r="AO1772"/>
    </row>
    <row r="1773" spans="24:41" x14ac:dyDescent="0.4">
      <c r="X1773"/>
      <c r="AO1773"/>
    </row>
    <row r="1774" spans="24:41" x14ac:dyDescent="0.4">
      <c r="X1774"/>
      <c r="AO1774"/>
    </row>
    <row r="1775" spans="24:41" x14ac:dyDescent="0.4">
      <c r="X1775"/>
      <c r="AO1775"/>
    </row>
    <row r="1776" spans="24:41" x14ac:dyDescent="0.4">
      <c r="X1776"/>
      <c r="AO1776"/>
    </row>
    <row r="1777" spans="24:41" x14ac:dyDescent="0.4">
      <c r="X1777"/>
      <c r="AO1777"/>
    </row>
    <row r="1778" spans="24:41" x14ac:dyDescent="0.4">
      <c r="X1778"/>
      <c r="AO1778"/>
    </row>
    <row r="1779" spans="24:41" x14ac:dyDescent="0.4">
      <c r="X1779"/>
      <c r="AO1779"/>
    </row>
    <row r="1780" spans="24:41" x14ac:dyDescent="0.4">
      <c r="X1780"/>
      <c r="AO1780"/>
    </row>
    <row r="1781" spans="24:41" x14ac:dyDescent="0.4">
      <c r="X1781"/>
      <c r="AO1781"/>
    </row>
    <row r="1782" spans="24:41" x14ac:dyDescent="0.4">
      <c r="X1782"/>
      <c r="AO1782"/>
    </row>
    <row r="1783" spans="24:41" x14ac:dyDescent="0.4">
      <c r="X1783"/>
      <c r="AO1783"/>
    </row>
    <row r="1784" spans="24:41" x14ac:dyDescent="0.4">
      <c r="X1784"/>
      <c r="AO1784"/>
    </row>
    <row r="1785" spans="24:41" x14ac:dyDescent="0.4">
      <c r="X1785"/>
      <c r="AO1785"/>
    </row>
    <row r="1786" spans="24:41" x14ac:dyDescent="0.4">
      <c r="X1786"/>
      <c r="AO1786"/>
    </row>
    <row r="1787" spans="24:41" x14ac:dyDescent="0.4">
      <c r="X1787"/>
      <c r="AO1787"/>
    </row>
    <row r="1788" spans="24:41" x14ac:dyDescent="0.4">
      <c r="X1788"/>
      <c r="AO1788"/>
    </row>
    <row r="1789" spans="24:41" x14ac:dyDescent="0.4">
      <c r="X1789"/>
      <c r="AO1789"/>
    </row>
    <row r="1790" spans="24:41" x14ac:dyDescent="0.4">
      <c r="X1790"/>
      <c r="AO1790"/>
    </row>
    <row r="1791" spans="24:41" x14ac:dyDescent="0.4">
      <c r="X1791"/>
      <c r="AO1791"/>
    </row>
    <row r="1792" spans="24:41" x14ac:dyDescent="0.4">
      <c r="X1792"/>
      <c r="AO1792"/>
    </row>
    <row r="1793" spans="24:41" x14ac:dyDescent="0.4">
      <c r="X1793"/>
      <c r="AO1793"/>
    </row>
    <row r="1794" spans="24:41" x14ac:dyDescent="0.4">
      <c r="X1794"/>
      <c r="AO1794"/>
    </row>
    <row r="1795" spans="24:41" x14ac:dyDescent="0.4">
      <c r="X1795"/>
      <c r="AO1795"/>
    </row>
    <row r="1796" spans="24:41" x14ac:dyDescent="0.4">
      <c r="X1796"/>
      <c r="AO1796"/>
    </row>
    <row r="1797" spans="24:41" x14ac:dyDescent="0.4">
      <c r="X1797"/>
      <c r="AO1797"/>
    </row>
    <row r="1798" spans="24:41" x14ac:dyDescent="0.4">
      <c r="X1798"/>
      <c r="AO1798"/>
    </row>
    <row r="1799" spans="24:41" x14ac:dyDescent="0.4">
      <c r="X1799"/>
      <c r="AO1799"/>
    </row>
    <row r="1800" spans="24:41" x14ac:dyDescent="0.4">
      <c r="X1800"/>
      <c r="AO1800"/>
    </row>
    <row r="1801" spans="24:41" x14ac:dyDescent="0.4">
      <c r="X1801"/>
      <c r="AO1801"/>
    </row>
    <row r="1802" spans="24:41" x14ac:dyDescent="0.4">
      <c r="X1802"/>
      <c r="AO1802"/>
    </row>
    <row r="1803" spans="24:41" x14ac:dyDescent="0.4">
      <c r="X1803"/>
      <c r="AO1803"/>
    </row>
    <row r="1804" spans="24:41" x14ac:dyDescent="0.4">
      <c r="X1804"/>
      <c r="AO1804"/>
    </row>
    <row r="1805" spans="24:41" x14ac:dyDescent="0.4">
      <c r="X1805"/>
      <c r="AO1805"/>
    </row>
    <row r="1806" spans="24:41" x14ac:dyDescent="0.4">
      <c r="X1806"/>
      <c r="AO1806"/>
    </row>
    <row r="1807" spans="24:41" x14ac:dyDescent="0.4">
      <c r="X1807"/>
      <c r="AO1807"/>
    </row>
    <row r="1808" spans="24:41" x14ac:dyDescent="0.4">
      <c r="X1808"/>
      <c r="AO1808"/>
    </row>
    <row r="1809" spans="24:41" x14ac:dyDescent="0.4">
      <c r="X1809"/>
      <c r="AO1809"/>
    </row>
    <row r="1810" spans="24:41" x14ac:dyDescent="0.4">
      <c r="X1810"/>
      <c r="AO1810"/>
    </row>
    <row r="1811" spans="24:41" x14ac:dyDescent="0.4">
      <c r="X1811"/>
      <c r="AO1811"/>
    </row>
    <row r="1812" spans="24:41" x14ac:dyDescent="0.4">
      <c r="X1812"/>
      <c r="AO1812"/>
    </row>
    <row r="1813" spans="24:41" x14ac:dyDescent="0.4">
      <c r="X1813"/>
      <c r="AO1813"/>
    </row>
    <row r="1814" spans="24:41" x14ac:dyDescent="0.4">
      <c r="X1814"/>
      <c r="AO1814"/>
    </row>
    <row r="1815" spans="24:41" x14ac:dyDescent="0.4">
      <c r="X1815"/>
      <c r="AO1815"/>
    </row>
    <row r="1816" spans="24:41" x14ac:dyDescent="0.4">
      <c r="X1816"/>
      <c r="AO1816"/>
    </row>
    <row r="1817" spans="24:41" x14ac:dyDescent="0.4">
      <c r="X1817"/>
      <c r="AO1817"/>
    </row>
    <row r="1818" spans="24:41" x14ac:dyDescent="0.4">
      <c r="X1818"/>
      <c r="AO1818"/>
    </row>
    <row r="1819" spans="24:41" x14ac:dyDescent="0.4">
      <c r="X1819"/>
      <c r="AO1819"/>
    </row>
    <row r="1820" spans="24:41" x14ac:dyDescent="0.4">
      <c r="X1820"/>
      <c r="AO1820"/>
    </row>
    <row r="1821" spans="24:41" x14ac:dyDescent="0.4">
      <c r="X1821"/>
      <c r="AO1821"/>
    </row>
    <row r="1822" spans="24:41" x14ac:dyDescent="0.4">
      <c r="X1822"/>
      <c r="AO1822"/>
    </row>
    <row r="1823" spans="24:41" x14ac:dyDescent="0.4">
      <c r="X1823"/>
      <c r="AO1823"/>
    </row>
    <row r="1824" spans="24:41" x14ac:dyDescent="0.4">
      <c r="X1824"/>
      <c r="AO1824"/>
    </row>
    <row r="1825" spans="24:41" x14ac:dyDescent="0.4">
      <c r="X1825"/>
      <c r="AO1825"/>
    </row>
    <row r="1826" spans="24:41" x14ac:dyDescent="0.4">
      <c r="X1826"/>
      <c r="AO1826"/>
    </row>
    <row r="1827" spans="24:41" x14ac:dyDescent="0.4">
      <c r="X1827"/>
      <c r="AO1827"/>
    </row>
    <row r="1828" spans="24:41" x14ac:dyDescent="0.4">
      <c r="X1828"/>
      <c r="AO1828"/>
    </row>
    <row r="1829" spans="24:41" x14ac:dyDescent="0.4">
      <c r="X1829"/>
      <c r="AO1829"/>
    </row>
    <row r="1830" spans="24:41" x14ac:dyDescent="0.4">
      <c r="X1830"/>
      <c r="AO1830"/>
    </row>
    <row r="1831" spans="24:41" x14ac:dyDescent="0.4">
      <c r="X1831"/>
      <c r="AO1831"/>
    </row>
    <row r="1832" spans="24:41" x14ac:dyDescent="0.4">
      <c r="X1832"/>
      <c r="AO1832"/>
    </row>
    <row r="1833" spans="24:41" x14ac:dyDescent="0.4">
      <c r="X1833"/>
      <c r="AO1833"/>
    </row>
    <row r="1834" spans="24:41" x14ac:dyDescent="0.4">
      <c r="X1834"/>
      <c r="AO1834"/>
    </row>
    <row r="1835" spans="24:41" x14ac:dyDescent="0.4">
      <c r="X1835"/>
      <c r="AO1835"/>
    </row>
    <row r="1836" spans="24:41" x14ac:dyDescent="0.4">
      <c r="X1836"/>
      <c r="AO1836"/>
    </row>
    <row r="1837" spans="24:41" x14ac:dyDescent="0.4">
      <c r="X1837"/>
      <c r="AO1837"/>
    </row>
    <row r="1838" spans="24:41" x14ac:dyDescent="0.4">
      <c r="X1838"/>
      <c r="AO1838"/>
    </row>
    <row r="1839" spans="24:41" x14ac:dyDescent="0.4">
      <c r="X1839"/>
      <c r="AO1839"/>
    </row>
    <row r="1840" spans="24:41" x14ac:dyDescent="0.4">
      <c r="X1840"/>
      <c r="AO1840"/>
    </row>
    <row r="1841" spans="24:41" x14ac:dyDescent="0.4">
      <c r="X1841"/>
      <c r="AO1841"/>
    </row>
    <row r="1842" spans="24:41" x14ac:dyDescent="0.4">
      <c r="X1842"/>
      <c r="AO1842"/>
    </row>
    <row r="1843" spans="24:41" x14ac:dyDescent="0.4">
      <c r="X1843"/>
      <c r="AO1843"/>
    </row>
    <row r="1844" spans="24:41" x14ac:dyDescent="0.4">
      <c r="X1844"/>
      <c r="AO1844"/>
    </row>
    <row r="1845" spans="24:41" x14ac:dyDescent="0.4">
      <c r="X1845"/>
      <c r="AO1845"/>
    </row>
    <row r="1846" spans="24:41" x14ac:dyDescent="0.4">
      <c r="X1846"/>
      <c r="AO1846"/>
    </row>
    <row r="1847" spans="24:41" x14ac:dyDescent="0.4">
      <c r="X1847"/>
      <c r="AO1847"/>
    </row>
    <row r="1848" spans="24:41" x14ac:dyDescent="0.4">
      <c r="X1848"/>
      <c r="AO1848"/>
    </row>
    <row r="1849" spans="24:41" x14ac:dyDescent="0.4">
      <c r="X1849"/>
      <c r="AO1849"/>
    </row>
    <row r="1850" spans="24:41" x14ac:dyDescent="0.4">
      <c r="X1850"/>
      <c r="AO1850"/>
    </row>
    <row r="1851" spans="24:41" x14ac:dyDescent="0.4">
      <c r="X1851"/>
      <c r="AO1851"/>
    </row>
    <row r="1852" spans="24:41" x14ac:dyDescent="0.4">
      <c r="X1852"/>
      <c r="AO1852"/>
    </row>
    <row r="1853" spans="24:41" x14ac:dyDescent="0.4">
      <c r="X1853"/>
      <c r="AO1853"/>
    </row>
    <row r="1854" spans="24:41" x14ac:dyDescent="0.4">
      <c r="X1854"/>
      <c r="AO1854"/>
    </row>
    <row r="1855" spans="24:41" x14ac:dyDescent="0.4">
      <c r="X1855"/>
      <c r="AO1855"/>
    </row>
    <row r="1856" spans="24:41" x14ac:dyDescent="0.4">
      <c r="X1856"/>
      <c r="AO1856"/>
    </row>
    <row r="1857" spans="24:41" x14ac:dyDescent="0.4">
      <c r="X1857"/>
      <c r="AO1857"/>
    </row>
    <row r="1858" spans="24:41" x14ac:dyDescent="0.4">
      <c r="X1858"/>
      <c r="AO1858"/>
    </row>
    <row r="1859" spans="24:41" x14ac:dyDescent="0.4">
      <c r="X1859"/>
      <c r="AO1859"/>
    </row>
    <row r="1860" spans="24:41" x14ac:dyDescent="0.4">
      <c r="X1860"/>
      <c r="AO1860"/>
    </row>
    <row r="1861" spans="24:41" x14ac:dyDescent="0.4">
      <c r="X1861"/>
      <c r="AO1861"/>
    </row>
    <row r="1862" spans="24:41" x14ac:dyDescent="0.4">
      <c r="X1862"/>
      <c r="AO1862"/>
    </row>
    <row r="1863" spans="24:41" x14ac:dyDescent="0.4">
      <c r="X1863"/>
      <c r="AO1863"/>
    </row>
    <row r="1864" spans="24:41" x14ac:dyDescent="0.4">
      <c r="X1864"/>
      <c r="AO1864"/>
    </row>
    <row r="1865" spans="24:41" x14ac:dyDescent="0.4">
      <c r="X1865"/>
      <c r="AO1865"/>
    </row>
    <row r="1866" spans="24:41" x14ac:dyDescent="0.4">
      <c r="X1866"/>
      <c r="AO1866"/>
    </row>
    <row r="1867" spans="24:41" x14ac:dyDescent="0.4">
      <c r="X1867"/>
      <c r="AO1867"/>
    </row>
    <row r="1868" spans="24:41" x14ac:dyDescent="0.4">
      <c r="X1868"/>
      <c r="AO1868"/>
    </row>
    <row r="1869" spans="24:41" x14ac:dyDescent="0.4">
      <c r="X1869"/>
      <c r="AO1869"/>
    </row>
    <row r="1870" spans="24:41" x14ac:dyDescent="0.4">
      <c r="X1870"/>
      <c r="AO1870"/>
    </row>
    <row r="1871" spans="24:41" x14ac:dyDescent="0.4">
      <c r="X1871"/>
      <c r="AO1871"/>
    </row>
    <row r="1872" spans="24:41" x14ac:dyDescent="0.4">
      <c r="X1872"/>
      <c r="AO1872"/>
    </row>
    <row r="1873" spans="24:41" x14ac:dyDescent="0.4">
      <c r="X1873"/>
      <c r="AO1873"/>
    </row>
    <row r="1874" spans="24:41" x14ac:dyDescent="0.4">
      <c r="X1874"/>
      <c r="AO1874"/>
    </row>
    <row r="1875" spans="24:41" x14ac:dyDescent="0.4">
      <c r="X1875"/>
      <c r="AO1875"/>
    </row>
    <row r="1876" spans="24:41" x14ac:dyDescent="0.4">
      <c r="X1876"/>
      <c r="AO1876"/>
    </row>
    <row r="1877" spans="24:41" x14ac:dyDescent="0.4">
      <c r="X1877"/>
      <c r="AO1877"/>
    </row>
    <row r="1878" spans="24:41" x14ac:dyDescent="0.4">
      <c r="X1878"/>
      <c r="AO1878"/>
    </row>
    <row r="1879" spans="24:41" x14ac:dyDescent="0.4">
      <c r="X1879"/>
      <c r="AO1879"/>
    </row>
    <row r="1880" spans="24:41" x14ac:dyDescent="0.4">
      <c r="X1880"/>
      <c r="AO1880"/>
    </row>
    <row r="1881" spans="24:41" x14ac:dyDescent="0.4">
      <c r="X1881"/>
      <c r="AO1881"/>
    </row>
    <row r="1882" spans="24:41" x14ac:dyDescent="0.4">
      <c r="X1882"/>
      <c r="AO1882"/>
    </row>
    <row r="1883" spans="24:41" x14ac:dyDescent="0.4">
      <c r="X1883"/>
      <c r="AO1883"/>
    </row>
    <row r="1884" spans="24:41" x14ac:dyDescent="0.4">
      <c r="X1884"/>
      <c r="AO1884"/>
    </row>
    <row r="1885" spans="24:41" x14ac:dyDescent="0.4">
      <c r="X1885"/>
      <c r="AO1885"/>
    </row>
    <row r="1886" spans="24:41" x14ac:dyDescent="0.4">
      <c r="X1886"/>
      <c r="AO1886"/>
    </row>
    <row r="1887" spans="24:41" x14ac:dyDescent="0.4">
      <c r="X1887"/>
      <c r="AO1887"/>
    </row>
    <row r="1888" spans="24:41" x14ac:dyDescent="0.4">
      <c r="X1888"/>
      <c r="AO1888"/>
    </row>
    <row r="1889" spans="24:41" x14ac:dyDescent="0.4">
      <c r="X1889"/>
      <c r="AO1889"/>
    </row>
    <row r="1890" spans="24:41" x14ac:dyDescent="0.4">
      <c r="X1890"/>
      <c r="AO1890"/>
    </row>
    <row r="1891" spans="24:41" x14ac:dyDescent="0.4">
      <c r="X1891"/>
      <c r="AO1891"/>
    </row>
    <row r="1892" spans="24:41" x14ac:dyDescent="0.4">
      <c r="X1892"/>
      <c r="AO1892"/>
    </row>
    <row r="1893" spans="24:41" x14ac:dyDescent="0.4">
      <c r="X1893"/>
      <c r="AO1893"/>
    </row>
    <row r="1894" spans="24:41" x14ac:dyDescent="0.4">
      <c r="X1894"/>
      <c r="AO1894"/>
    </row>
    <row r="1895" spans="24:41" x14ac:dyDescent="0.4">
      <c r="X1895"/>
      <c r="AO1895"/>
    </row>
    <row r="1896" spans="24:41" x14ac:dyDescent="0.4">
      <c r="X1896"/>
      <c r="AO1896"/>
    </row>
    <row r="1897" spans="24:41" x14ac:dyDescent="0.4">
      <c r="X1897"/>
      <c r="AO1897"/>
    </row>
    <row r="1898" spans="24:41" x14ac:dyDescent="0.4">
      <c r="X1898"/>
      <c r="AO1898"/>
    </row>
    <row r="1899" spans="24:41" x14ac:dyDescent="0.4">
      <c r="X1899"/>
      <c r="AO1899"/>
    </row>
    <row r="1900" spans="24:41" x14ac:dyDescent="0.4">
      <c r="X1900"/>
      <c r="AO1900"/>
    </row>
    <row r="1901" spans="24:41" x14ac:dyDescent="0.4">
      <c r="X1901"/>
      <c r="AO1901"/>
    </row>
    <row r="1902" spans="24:41" x14ac:dyDescent="0.4">
      <c r="X1902"/>
      <c r="AO1902"/>
    </row>
    <row r="1903" spans="24:41" x14ac:dyDescent="0.4">
      <c r="X1903"/>
      <c r="AO1903"/>
    </row>
    <row r="1904" spans="24:41" x14ac:dyDescent="0.4">
      <c r="X1904"/>
      <c r="AO1904"/>
    </row>
    <row r="1905" spans="24:41" x14ac:dyDescent="0.4">
      <c r="X1905"/>
      <c r="AO1905"/>
    </row>
    <row r="1906" spans="24:41" x14ac:dyDescent="0.4">
      <c r="X1906"/>
      <c r="AO1906"/>
    </row>
    <row r="1907" spans="24:41" x14ac:dyDescent="0.4">
      <c r="X1907"/>
      <c r="AO1907"/>
    </row>
    <row r="1908" spans="24:41" x14ac:dyDescent="0.4">
      <c r="X1908"/>
      <c r="AO1908"/>
    </row>
    <row r="1909" spans="24:41" x14ac:dyDescent="0.4">
      <c r="X1909"/>
      <c r="AO1909"/>
    </row>
    <row r="1910" spans="24:41" x14ac:dyDescent="0.4">
      <c r="X1910"/>
      <c r="AO1910"/>
    </row>
    <row r="1911" spans="24:41" x14ac:dyDescent="0.4">
      <c r="X1911"/>
      <c r="AO1911"/>
    </row>
    <row r="1912" spans="24:41" x14ac:dyDescent="0.4">
      <c r="X1912"/>
      <c r="AO1912"/>
    </row>
    <row r="1913" spans="24:41" x14ac:dyDescent="0.4">
      <c r="X1913"/>
      <c r="AO1913"/>
    </row>
    <row r="1914" spans="24:41" x14ac:dyDescent="0.4">
      <c r="X1914"/>
      <c r="AO1914"/>
    </row>
    <row r="1915" spans="24:41" x14ac:dyDescent="0.4">
      <c r="X1915"/>
      <c r="AO1915"/>
    </row>
    <row r="1916" spans="24:41" x14ac:dyDescent="0.4">
      <c r="X1916"/>
      <c r="AO1916"/>
    </row>
    <row r="1917" spans="24:41" x14ac:dyDescent="0.4">
      <c r="X1917"/>
      <c r="AO1917"/>
    </row>
    <row r="1918" spans="24:41" x14ac:dyDescent="0.4">
      <c r="X1918"/>
      <c r="AO1918"/>
    </row>
    <row r="1919" spans="24:41" x14ac:dyDescent="0.4">
      <c r="X1919"/>
      <c r="AO1919"/>
    </row>
    <row r="1920" spans="24:41" x14ac:dyDescent="0.4">
      <c r="X1920"/>
      <c r="AO1920"/>
    </row>
    <row r="1921" spans="24:41" x14ac:dyDescent="0.4">
      <c r="X1921"/>
      <c r="AO1921"/>
    </row>
    <row r="1922" spans="24:41" x14ac:dyDescent="0.4">
      <c r="X1922"/>
      <c r="AO1922"/>
    </row>
    <row r="1923" spans="24:41" x14ac:dyDescent="0.4">
      <c r="X1923"/>
      <c r="AO1923"/>
    </row>
    <row r="1924" spans="24:41" x14ac:dyDescent="0.4">
      <c r="X1924"/>
      <c r="AO1924"/>
    </row>
    <row r="1925" spans="24:41" x14ac:dyDescent="0.4">
      <c r="X1925"/>
      <c r="AO1925"/>
    </row>
    <row r="1926" spans="24:41" x14ac:dyDescent="0.4">
      <c r="X1926"/>
      <c r="AO1926"/>
    </row>
    <row r="1927" spans="24:41" x14ac:dyDescent="0.4">
      <c r="X1927"/>
      <c r="AO1927"/>
    </row>
    <row r="1928" spans="24:41" x14ac:dyDescent="0.4">
      <c r="X1928"/>
      <c r="AO1928"/>
    </row>
    <row r="1929" spans="24:41" x14ac:dyDescent="0.4">
      <c r="X1929"/>
      <c r="AO1929"/>
    </row>
    <row r="1930" spans="24:41" x14ac:dyDescent="0.4">
      <c r="X1930"/>
      <c r="AO1930"/>
    </row>
    <row r="1931" spans="24:41" x14ac:dyDescent="0.4">
      <c r="X1931"/>
      <c r="AO1931"/>
    </row>
    <row r="1932" spans="24:41" x14ac:dyDescent="0.4">
      <c r="X1932"/>
      <c r="AO1932"/>
    </row>
    <row r="1933" spans="24:41" x14ac:dyDescent="0.4">
      <c r="X1933"/>
      <c r="AO1933"/>
    </row>
    <row r="1934" spans="24:41" x14ac:dyDescent="0.4">
      <c r="X1934"/>
      <c r="AO1934"/>
    </row>
    <row r="1935" spans="24:41" x14ac:dyDescent="0.4">
      <c r="X1935"/>
      <c r="AO1935"/>
    </row>
    <row r="1936" spans="24:41" x14ac:dyDescent="0.4">
      <c r="X1936"/>
      <c r="AO1936"/>
    </row>
    <row r="1937" spans="24:41" x14ac:dyDescent="0.4">
      <c r="X1937"/>
      <c r="AO1937"/>
    </row>
    <row r="1938" spans="24:41" x14ac:dyDescent="0.4">
      <c r="X1938"/>
      <c r="AO1938"/>
    </row>
    <row r="1939" spans="24:41" x14ac:dyDescent="0.4">
      <c r="X1939"/>
      <c r="AO1939"/>
    </row>
    <row r="1940" spans="24:41" x14ac:dyDescent="0.4">
      <c r="X1940"/>
      <c r="AO1940"/>
    </row>
    <row r="1941" spans="24:41" x14ac:dyDescent="0.4">
      <c r="X1941"/>
      <c r="AO1941"/>
    </row>
    <row r="1942" spans="24:41" x14ac:dyDescent="0.4">
      <c r="X1942"/>
      <c r="AO1942"/>
    </row>
    <row r="1943" spans="24:41" x14ac:dyDescent="0.4">
      <c r="X1943"/>
      <c r="AO1943"/>
    </row>
    <row r="1944" spans="24:41" x14ac:dyDescent="0.4">
      <c r="X1944"/>
      <c r="AO1944"/>
    </row>
    <row r="1945" spans="24:41" x14ac:dyDescent="0.4">
      <c r="X1945"/>
      <c r="AO1945"/>
    </row>
    <row r="1946" spans="24:41" x14ac:dyDescent="0.4">
      <c r="X1946"/>
      <c r="AO1946"/>
    </row>
    <row r="1947" spans="24:41" x14ac:dyDescent="0.4">
      <c r="X1947"/>
      <c r="AO1947"/>
    </row>
    <row r="1948" spans="24:41" x14ac:dyDescent="0.4">
      <c r="X1948"/>
      <c r="AO1948"/>
    </row>
    <row r="1949" spans="24:41" x14ac:dyDescent="0.4">
      <c r="X1949"/>
      <c r="AO1949"/>
    </row>
    <row r="1950" spans="24:41" x14ac:dyDescent="0.4">
      <c r="X1950"/>
      <c r="AO1950"/>
    </row>
    <row r="1951" spans="24:41" x14ac:dyDescent="0.4">
      <c r="X1951"/>
      <c r="AO1951"/>
    </row>
    <row r="1952" spans="24:41" x14ac:dyDescent="0.4">
      <c r="X1952"/>
      <c r="AO1952"/>
    </row>
    <row r="1953" spans="24:41" x14ac:dyDescent="0.4">
      <c r="X1953"/>
      <c r="AO1953"/>
    </row>
    <row r="1954" spans="24:41" x14ac:dyDescent="0.4">
      <c r="X1954"/>
      <c r="AO1954"/>
    </row>
    <row r="1955" spans="24:41" x14ac:dyDescent="0.4">
      <c r="X1955"/>
      <c r="AO1955"/>
    </row>
    <row r="1956" spans="24:41" x14ac:dyDescent="0.4">
      <c r="X1956"/>
      <c r="AO1956"/>
    </row>
    <row r="1957" spans="24:41" x14ac:dyDescent="0.4">
      <c r="X1957"/>
      <c r="AO1957"/>
    </row>
    <row r="1958" spans="24:41" x14ac:dyDescent="0.4">
      <c r="X1958"/>
      <c r="AO1958"/>
    </row>
    <row r="1959" spans="24:41" x14ac:dyDescent="0.4">
      <c r="X1959"/>
      <c r="AO1959"/>
    </row>
    <row r="1960" spans="24:41" x14ac:dyDescent="0.4">
      <c r="X1960"/>
      <c r="AO1960"/>
    </row>
    <row r="1961" spans="24:41" x14ac:dyDescent="0.4">
      <c r="X1961"/>
      <c r="AO1961"/>
    </row>
    <row r="1962" spans="24:41" x14ac:dyDescent="0.4">
      <c r="X1962"/>
      <c r="AO1962"/>
    </row>
    <row r="1963" spans="24:41" x14ac:dyDescent="0.4">
      <c r="X1963"/>
      <c r="AO1963"/>
    </row>
    <row r="1964" spans="24:41" x14ac:dyDescent="0.4">
      <c r="X1964"/>
      <c r="AO1964"/>
    </row>
    <row r="1965" spans="24:41" x14ac:dyDescent="0.4">
      <c r="X1965"/>
      <c r="AO1965"/>
    </row>
    <row r="1966" spans="24:41" x14ac:dyDescent="0.4">
      <c r="X1966"/>
      <c r="AO1966"/>
    </row>
    <row r="1967" spans="24:41" x14ac:dyDescent="0.4">
      <c r="X1967"/>
      <c r="AO1967"/>
    </row>
    <row r="1968" spans="24:41" x14ac:dyDescent="0.4">
      <c r="X1968"/>
      <c r="AO1968"/>
    </row>
    <row r="1969" spans="24:41" x14ac:dyDescent="0.4">
      <c r="X1969"/>
      <c r="AO1969"/>
    </row>
    <row r="1970" spans="24:41" x14ac:dyDescent="0.4">
      <c r="X1970"/>
      <c r="AO1970"/>
    </row>
    <row r="1971" spans="24:41" x14ac:dyDescent="0.4">
      <c r="X1971"/>
      <c r="AO1971"/>
    </row>
    <row r="1972" spans="24:41" x14ac:dyDescent="0.4">
      <c r="X1972"/>
      <c r="AO1972"/>
    </row>
    <row r="1973" spans="24:41" x14ac:dyDescent="0.4">
      <c r="X1973"/>
      <c r="AO1973"/>
    </row>
    <row r="1974" spans="24:41" x14ac:dyDescent="0.4">
      <c r="X1974"/>
      <c r="AO1974"/>
    </row>
    <row r="1975" spans="24:41" x14ac:dyDescent="0.4">
      <c r="X1975"/>
      <c r="AO1975"/>
    </row>
    <row r="1976" spans="24:41" x14ac:dyDescent="0.4">
      <c r="X1976"/>
      <c r="AO1976"/>
    </row>
    <row r="1977" spans="24:41" x14ac:dyDescent="0.4">
      <c r="X1977"/>
      <c r="AO1977"/>
    </row>
    <row r="1978" spans="24:41" x14ac:dyDescent="0.4">
      <c r="X1978"/>
      <c r="AO1978"/>
    </row>
    <row r="1979" spans="24:41" x14ac:dyDescent="0.4">
      <c r="X1979"/>
      <c r="AO1979"/>
    </row>
    <row r="1980" spans="24:41" x14ac:dyDescent="0.4">
      <c r="X1980"/>
      <c r="AO1980"/>
    </row>
    <row r="1981" spans="24:41" x14ac:dyDescent="0.4">
      <c r="X1981"/>
      <c r="AO1981"/>
    </row>
    <row r="1982" spans="24:41" x14ac:dyDescent="0.4">
      <c r="X1982"/>
      <c r="AO1982"/>
    </row>
    <row r="1983" spans="24:41" x14ac:dyDescent="0.4">
      <c r="X1983"/>
      <c r="AO1983"/>
    </row>
    <row r="1984" spans="24:41" x14ac:dyDescent="0.4">
      <c r="X1984"/>
      <c r="AO1984"/>
    </row>
    <row r="1985" spans="24:41" x14ac:dyDescent="0.4">
      <c r="X1985"/>
      <c r="AO1985"/>
    </row>
    <row r="1986" spans="24:41" x14ac:dyDescent="0.4">
      <c r="X1986"/>
      <c r="AO1986"/>
    </row>
    <row r="1987" spans="24:41" x14ac:dyDescent="0.4">
      <c r="X1987"/>
      <c r="AO1987"/>
    </row>
    <row r="1988" spans="24:41" x14ac:dyDescent="0.4">
      <c r="X1988"/>
      <c r="AO1988"/>
    </row>
    <row r="1989" spans="24:41" x14ac:dyDescent="0.4">
      <c r="X1989"/>
      <c r="AO1989"/>
    </row>
    <row r="1990" spans="24:41" x14ac:dyDescent="0.4">
      <c r="X1990"/>
      <c r="AO1990"/>
    </row>
    <row r="1991" spans="24:41" x14ac:dyDescent="0.4">
      <c r="X1991"/>
      <c r="AO1991"/>
    </row>
    <row r="1992" spans="24:41" x14ac:dyDescent="0.4">
      <c r="X1992"/>
      <c r="AO1992"/>
    </row>
    <row r="1993" spans="24:41" x14ac:dyDescent="0.4">
      <c r="X1993"/>
      <c r="AO1993"/>
    </row>
    <row r="1994" spans="24:41" x14ac:dyDescent="0.4">
      <c r="X1994"/>
      <c r="AO1994"/>
    </row>
    <row r="1995" spans="24:41" x14ac:dyDescent="0.4">
      <c r="X1995"/>
      <c r="AO1995"/>
    </row>
    <row r="1996" spans="24:41" x14ac:dyDescent="0.4">
      <c r="X1996"/>
      <c r="AO1996"/>
    </row>
    <row r="1997" spans="24:41" x14ac:dyDescent="0.4">
      <c r="X1997"/>
      <c r="AO1997"/>
    </row>
    <row r="1998" spans="24:41" x14ac:dyDescent="0.4">
      <c r="X1998"/>
      <c r="AO1998"/>
    </row>
    <row r="1999" spans="24:41" x14ac:dyDescent="0.4">
      <c r="X1999"/>
      <c r="AO1999"/>
    </row>
    <row r="2000" spans="24:41" x14ac:dyDescent="0.4">
      <c r="X2000"/>
      <c r="AO2000"/>
    </row>
    <row r="2001" spans="24:41" x14ac:dyDescent="0.4">
      <c r="X2001"/>
      <c r="AO2001"/>
    </row>
    <row r="2002" spans="24:41" x14ac:dyDescent="0.4">
      <c r="X2002"/>
      <c r="AO2002"/>
    </row>
    <row r="2003" spans="24:41" x14ac:dyDescent="0.4">
      <c r="X2003"/>
      <c r="AO2003"/>
    </row>
    <row r="2004" spans="24:41" x14ac:dyDescent="0.4">
      <c r="X2004"/>
      <c r="AO2004"/>
    </row>
    <row r="2005" spans="24:41" x14ac:dyDescent="0.4">
      <c r="X2005"/>
      <c r="AO2005"/>
    </row>
    <row r="2006" spans="24:41" x14ac:dyDescent="0.4">
      <c r="X2006"/>
      <c r="AO2006"/>
    </row>
    <row r="2007" spans="24:41" x14ac:dyDescent="0.4">
      <c r="X2007"/>
      <c r="AO2007"/>
    </row>
    <row r="2008" spans="24:41" x14ac:dyDescent="0.4">
      <c r="X2008"/>
      <c r="AO2008"/>
    </row>
    <row r="2009" spans="24:41" x14ac:dyDescent="0.4">
      <c r="X2009"/>
      <c r="AO2009"/>
    </row>
    <row r="2010" spans="24:41" x14ac:dyDescent="0.4">
      <c r="X2010"/>
      <c r="AO2010"/>
    </row>
    <row r="2011" spans="24:41" x14ac:dyDescent="0.4">
      <c r="X2011"/>
      <c r="AO2011"/>
    </row>
    <row r="2012" spans="24:41" x14ac:dyDescent="0.4">
      <c r="X2012"/>
      <c r="AO2012"/>
    </row>
    <row r="2013" spans="24:41" x14ac:dyDescent="0.4">
      <c r="X2013"/>
      <c r="AO2013"/>
    </row>
    <row r="2014" spans="24:41" x14ac:dyDescent="0.4">
      <c r="X2014"/>
      <c r="AO2014"/>
    </row>
    <row r="2015" spans="24:41" x14ac:dyDescent="0.4">
      <c r="X2015"/>
      <c r="AO2015"/>
    </row>
    <row r="2016" spans="24:41" x14ac:dyDescent="0.4">
      <c r="X2016"/>
      <c r="AO2016"/>
    </row>
    <row r="2017" spans="24:41" x14ac:dyDescent="0.4">
      <c r="X2017"/>
      <c r="AO2017"/>
    </row>
    <row r="2018" spans="24:41" x14ac:dyDescent="0.4">
      <c r="X2018"/>
      <c r="AO2018"/>
    </row>
    <row r="2019" spans="24:41" x14ac:dyDescent="0.4">
      <c r="X2019"/>
      <c r="AO2019"/>
    </row>
    <row r="2020" spans="24:41" x14ac:dyDescent="0.4">
      <c r="X2020"/>
      <c r="AO2020"/>
    </row>
    <row r="2021" spans="24:41" x14ac:dyDescent="0.4">
      <c r="X2021"/>
      <c r="AO2021"/>
    </row>
    <row r="2022" spans="24:41" x14ac:dyDescent="0.4">
      <c r="X2022"/>
      <c r="AO2022"/>
    </row>
    <row r="2023" spans="24:41" x14ac:dyDescent="0.4">
      <c r="X2023"/>
      <c r="AO2023"/>
    </row>
    <row r="2024" spans="24:41" x14ac:dyDescent="0.4">
      <c r="X2024"/>
      <c r="AO2024"/>
    </row>
    <row r="2025" spans="24:41" x14ac:dyDescent="0.4">
      <c r="X2025"/>
      <c r="AO2025"/>
    </row>
    <row r="2026" spans="24:41" x14ac:dyDescent="0.4">
      <c r="X2026"/>
      <c r="AO2026"/>
    </row>
    <row r="2027" spans="24:41" x14ac:dyDescent="0.4">
      <c r="X2027"/>
      <c r="AO2027"/>
    </row>
    <row r="2028" spans="24:41" x14ac:dyDescent="0.4">
      <c r="X2028"/>
      <c r="AO2028"/>
    </row>
    <row r="2029" spans="24:41" x14ac:dyDescent="0.4">
      <c r="X2029"/>
      <c r="AO2029"/>
    </row>
    <row r="2030" spans="24:41" x14ac:dyDescent="0.4">
      <c r="X2030"/>
      <c r="AO2030"/>
    </row>
    <row r="2031" spans="24:41" x14ac:dyDescent="0.4">
      <c r="X2031"/>
      <c r="AO2031"/>
    </row>
    <row r="2032" spans="24:41" x14ac:dyDescent="0.4">
      <c r="X2032"/>
      <c r="AO2032"/>
    </row>
    <row r="2033" spans="24:41" x14ac:dyDescent="0.4">
      <c r="X2033"/>
      <c r="AO2033"/>
    </row>
    <row r="2034" spans="24:41" x14ac:dyDescent="0.4">
      <c r="X2034"/>
      <c r="AO2034"/>
    </row>
    <row r="2035" spans="24:41" x14ac:dyDescent="0.4">
      <c r="X2035"/>
      <c r="AO2035"/>
    </row>
    <row r="2036" spans="24:41" x14ac:dyDescent="0.4">
      <c r="X2036"/>
      <c r="AO2036"/>
    </row>
    <row r="2037" spans="24:41" x14ac:dyDescent="0.4">
      <c r="X2037"/>
      <c r="AO2037"/>
    </row>
    <row r="2038" spans="24:41" x14ac:dyDescent="0.4">
      <c r="X2038"/>
      <c r="AO2038"/>
    </row>
    <row r="2039" spans="24:41" x14ac:dyDescent="0.4">
      <c r="X2039"/>
      <c r="AO2039"/>
    </row>
    <row r="2040" spans="24:41" x14ac:dyDescent="0.4">
      <c r="X2040"/>
      <c r="AO2040"/>
    </row>
    <row r="2041" spans="24:41" x14ac:dyDescent="0.4">
      <c r="X2041"/>
      <c r="AO2041"/>
    </row>
    <row r="2042" spans="24:41" x14ac:dyDescent="0.4">
      <c r="X2042"/>
      <c r="AO2042"/>
    </row>
    <row r="2043" spans="24:41" x14ac:dyDescent="0.4">
      <c r="X2043"/>
      <c r="AO2043"/>
    </row>
    <row r="2044" spans="24:41" x14ac:dyDescent="0.4">
      <c r="X2044"/>
      <c r="AO2044"/>
    </row>
    <row r="2045" spans="24:41" x14ac:dyDescent="0.4">
      <c r="X2045"/>
      <c r="AO2045"/>
    </row>
    <row r="2046" spans="24:41" x14ac:dyDescent="0.4">
      <c r="X2046"/>
      <c r="AO2046"/>
    </row>
    <row r="2047" spans="24:41" x14ac:dyDescent="0.4">
      <c r="X2047"/>
      <c r="AO2047"/>
    </row>
    <row r="2048" spans="24:41" x14ac:dyDescent="0.4">
      <c r="X2048"/>
      <c r="AO2048"/>
    </row>
    <row r="2049" spans="24:41" x14ac:dyDescent="0.4">
      <c r="X2049"/>
      <c r="AO2049"/>
    </row>
    <row r="2050" spans="24:41" x14ac:dyDescent="0.4">
      <c r="X2050"/>
      <c r="AO2050"/>
    </row>
    <row r="2051" spans="24:41" x14ac:dyDescent="0.4">
      <c r="X2051"/>
      <c r="AO2051"/>
    </row>
    <row r="2052" spans="24:41" x14ac:dyDescent="0.4">
      <c r="X2052"/>
      <c r="AO2052"/>
    </row>
    <row r="2053" spans="24:41" x14ac:dyDescent="0.4">
      <c r="X2053"/>
      <c r="AO2053"/>
    </row>
    <row r="2054" spans="24:41" x14ac:dyDescent="0.4">
      <c r="X2054"/>
      <c r="AO2054"/>
    </row>
    <row r="2055" spans="24:41" x14ac:dyDescent="0.4">
      <c r="X2055"/>
      <c r="AO2055"/>
    </row>
    <row r="2056" spans="24:41" x14ac:dyDescent="0.4">
      <c r="X2056"/>
      <c r="AO2056"/>
    </row>
    <row r="2057" spans="24:41" x14ac:dyDescent="0.4">
      <c r="X2057"/>
      <c r="AO2057"/>
    </row>
    <row r="2058" spans="24:41" x14ac:dyDescent="0.4">
      <c r="X2058"/>
      <c r="AO2058"/>
    </row>
    <row r="2059" spans="24:41" x14ac:dyDescent="0.4">
      <c r="X2059"/>
      <c r="AO2059"/>
    </row>
    <row r="2060" spans="24:41" x14ac:dyDescent="0.4">
      <c r="X2060"/>
      <c r="AO2060"/>
    </row>
    <row r="2061" spans="24:41" x14ac:dyDescent="0.4">
      <c r="X2061"/>
      <c r="AO2061"/>
    </row>
    <row r="2062" spans="24:41" x14ac:dyDescent="0.4">
      <c r="X2062"/>
      <c r="AO2062"/>
    </row>
    <row r="2063" spans="24:41" x14ac:dyDescent="0.4">
      <c r="X2063"/>
      <c r="AO2063"/>
    </row>
    <row r="2064" spans="24:41" x14ac:dyDescent="0.4">
      <c r="X2064"/>
      <c r="AO2064"/>
    </row>
    <row r="2065" spans="24:41" x14ac:dyDescent="0.4">
      <c r="X2065"/>
      <c r="AO2065"/>
    </row>
    <row r="2066" spans="24:41" x14ac:dyDescent="0.4">
      <c r="X2066"/>
      <c r="AO2066"/>
    </row>
    <row r="2067" spans="24:41" x14ac:dyDescent="0.4">
      <c r="X2067"/>
      <c r="AO2067"/>
    </row>
    <row r="2068" spans="24:41" x14ac:dyDescent="0.4">
      <c r="X2068"/>
      <c r="AO2068"/>
    </row>
    <row r="2069" spans="24:41" x14ac:dyDescent="0.4">
      <c r="X2069"/>
      <c r="AO2069"/>
    </row>
    <row r="2070" spans="24:41" x14ac:dyDescent="0.4">
      <c r="X2070"/>
      <c r="AO2070"/>
    </row>
    <row r="2071" spans="24:41" x14ac:dyDescent="0.4">
      <c r="X2071"/>
      <c r="AO2071"/>
    </row>
    <row r="2072" spans="24:41" x14ac:dyDescent="0.4">
      <c r="X2072"/>
      <c r="AO2072"/>
    </row>
    <row r="2073" spans="24:41" x14ac:dyDescent="0.4">
      <c r="X2073"/>
      <c r="AO2073"/>
    </row>
    <row r="2074" spans="24:41" x14ac:dyDescent="0.4">
      <c r="X2074"/>
      <c r="AO2074"/>
    </row>
    <row r="2075" spans="24:41" x14ac:dyDescent="0.4">
      <c r="X2075"/>
      <c r="AO2075"/>
    </row>
    <row r="2076" spans="24:41" x14ac:dyDescent="0.4">
      <c r="X2076"/>
      <c r="AO2076"/>
    </row>
    <row r="2077" spans="24:41" x14ac:dyDescent="0.4">
      <c r="X2077"/>
      <c r="AO2077"/>
    </row>
    <row r="2078" spans="24:41" x14ac:dyDescent="0.4">
      <c r="X2078"/>
      <c r="AO2078"/>
    </row>
    <row r="2079" spans="24:41" x14ac:dyDescent="0.4">
      <c r="X2079"/>
      <c r="AO2079"/>
    </row>
    <row r="2080" spans="24:41" x14ac:dyDescent="0.4">
      <c r="X2080"/>
      <c r="AO2080"/>
    </row>
    <row r="2081" spans="24:41" x14ac:dyDescent="0.4">
      <c r="X2081"/>
      <c r="AO2081"/>
    </row>
    <row r="2082" spans="24:41" x14ac:dyDescent="0.4">
      <c r="X2082"/>
      <c r="AO2082"/>
    </row>
    <row r="2083" spans="24:41" x14ac:dyDescent="0.4">
      <c r="X2083"/>
      <c r="AO2083"/>
    </row>
    <row r="2084" spans="24:41" x14ac:dyDescent="0.4">
      <c r="X2084"/>
      <c r="AO2084"/>
    </row>
    <row r="2085" spans="24:41" x14ac:dyDescent="0.4">
      <c r="X2085"/>
      <c r="AO2085"/>
    </row>
    <row r="2086" spans="24:41" x14ac:dyDescent="0.4">
      <c r="X2086"/>
      <c r="AO2086"/>
    </row>
    <row r="2087" spans="24:41" x14ac:dyDescent="0.4">
      <c r="X2087"/>
      <c r="AO2087"/>
    </row>
    <row r="2088" spans="24:41" x14ac:dyDescent="0.4">
      <c r="X2088"/>
      <c r="AO2088"/>
    </row>
    <row r="2089" spans="24:41" x14ac:dyDescent="0.4">
      <c r="X2089"/>
      <c r="AO2089"/>
    </row>
    <row r="2090" spans="24:41" x14ac:dyDescent="0.4">
      <c r="X2090"/>
      <c r="AO2090"/>
    </row>
    <row r="2091" spans="24:41" x14ac:dyDescent="0.4">
      <c r="X2091"/>
      <c r="AO2091"/>
    </row>
    <row r="2092" spans="24:41" x14ac:dyDescent="0.4">
      <c r="X2092"/>
      <c r="AO2092"/>
    </row>
    <row r="2093" spans="24:41" x14ac:dyDescent="0.4">
      <c r="X2093"/>
      <c r="AO2093"/>
    </row>
    <row r="2094" spans="24:41" x14ac:dyDescent="0.4">
      <c r="X2094"/>
      <c r="AO2094"/>
    </row>
    <row r="2095" spans="24:41" x14ac:dyDescent="0.4">
      <c r="X2095"/>
      <c r="AO2095"/>
    </row>
    <row r="2096" spans="24:41" x14ac:dyDescent="0.4">
      <c r="X2096"/>
      <c r="AO2096"/>
    </row>
    <row r="2097" spans="24:41" x14ac:dyDescent="0.4">
      <c r="X2097"/>
      <c r="AO2097"/>
    </row>
    <row r="2098" spans="24:41" x14ac:dyDescent="0.4">
      <c r="X2098"/>
      <c r="AO2098"/>
    </row>
    <row r="2099" spans="24:41" x14ac:dyDescent="0.4">
      <c r="X2099"/>
      <c r="AO2099"/>
    </row>
    <row r="2100" spans="24:41" x14ac:dyDescent="0.4">
      <c r="X2100"/>
      <c r="AO2100"/>
    </row>
    <row r="2101" spans="24:41" x14ac:dyDescent="0.4">
      <c r="X2101"/>
      <c r="AO2101"/>
    </row>
    <row r="2102" spans="24:41" x14ac:dyDescent="0.4">
      <c r="X2102"/>
      <c r="AO2102"/>
    </row>
    <row r="2103" spans="24:41" x14ac:dyDescent="0.4">
      <c r="X2103"/>
      <c r="AO2103"/>
    </row>
    <row r="2104" spans="24:41" x14ac:dyDescent="0.4">
      <c r="X2104"/>
      <c r="AO2104"/>
    </row>
    <row r="2105" spans="24:41" x14ac:dyDescent="0.4">
      <c r="X2105"/>
      <c r="AO2105"/>
    </row>
    <row r="2106" spans="24:41" x14ac:dyDescent="0.4">
      <c r="X2106"/>
      <c r="AO2106"/>
    </row>
    <row r="2107" spans="24:41" x14ac:dyDescent="0.4">
      <c r="X2107"/>
      <c r="AO2107"/>
    </row>
    <row r="2108" spans="24:41" x14ac:dyDescent="0.4">
      <c r="X2108"/>
      <c r="AO2108"/>
    </row>
    <row r="2109" spans="24:41" x14ac:dyDescent="0.4">
      <c r="X2109"/>
      <c r="AO2109"/>
    </row>
    <row r="2110" spans="24:41" x14ac:dyDescent="0.4">
      <c r="X2110"/>
      <c r="AO2110"/>
    </row>
    <row r="2111" spans="24:41" x14ac:dyDescent="0.4">
      <c r="X2111"/>
      <c r="AO2111"/>
    </row>
    <row r="2112" spans="24:41" x14ac:dyDescent="0.4">
      <c r="X2112"/>
      <c r="AO2112"/>
    </row>
    <row r="2113" spans="24:41" x14ac:dyDescent="0.4">
      <c r="X2113"/>
      <c r="AO2113"/>
    </row>
    <row r="2114" spans="24:41" x14ac:dyDescent="0.4">
      <c r="X2114"/>
      <c r="AO2114"/>
    </row>
    <row r="2115" spans="24:41" x14ac:dyDescent="0.4">
      <c r="X2115"/>
      <c r="AO2115"/>
    </row>
    <row r="2116" spans="24:41" x14ac:dyDescent="0.4">
      <c r="X2116"/>
      <c r="AO2116"/>
    </row>
    <row r="2117" spans="24:41" x14ac:dyDescent="0.4">
      <c r="X2117"/>
      <c r="AO2117"/>
    </row>
    <row r="2118" spans="24:41" x14ac:dyDescent="0.4">
      <c r="X2118"/>
      <c r="AO2118"/>
    </row>
    <row r="2119" spans="24:41" x14ac:dyDescent="0.4">
      <c r="X2119"/>
      <c r="AO2119"/>
    </row>
    <row r="2120" spans="24:41" x14ac:dyDescent="0.4">
      <c r="X2120"/>
      <c r="AO2120"/>
    </row>
    <row r="2121" spans="24:41" x14ac:dyDescent="0.4">
      <c r="X2121"/>
      <c r="AO2121"/>
    </row>
    <row r="2122" spans="24:41" x14ac:dyDescent="0.4">
      <c r="X2122"/>
      <c r="AO2122"/>
    </row>
    <row r="2123" spans="24:41" x14ac:dyDescent="0.4">
      <c r="X2123"/>
      <c r="AO2123"/>
    </row>
    <row r="2124" spans="24:41" x14ac:dyDescent="0.4">
      <c r="X2124"/>
      <c r="AO2124"/>
    </row>
    <row r="2125" spans="24:41" x14ac:dyDescent="0.4">
      <c r="X2125"/>
      <c r="AO2125"/>
    </row>
    <row r="2126" spans="24:41" x14ac:dyDescent="0.4">
      <c r="X2126"/>
      <c r="AO2126"/>
    </row>
    <row r="2127" spans="24:41" x14ac:dyDescent="0.4">
      <c r="X2127"/>
      <c r="AO2127"/>
    </row>
    <row r="2128" spans="24:41" x14ac:dyDescent="0.4">
      <c r="X2128"/>
      <c r="AO2128"/>
    </row>
    <row r="2129" spans="24:41" x14ac:dyDescent="0.4">
      <c r="X2129"/>
      <c r="AO2129"/>
    </row>
    <row r="2130" spans="24:41" x14ac:dyDescent="0.4">
      <c r="X2130"/>
      <c r="AO2130"/>
    </row>
    <row r="2131" spans="24:41" x14ac:dyDescent="0.4">
      <c r="X2131"/>
      <c r="AO2131"/>
    </row>
    <row r="2132" spans="24:41" x14ac:dyDescent="0.4">
      <c r="X2132"/>
      <c r="AO2132"/>
    </row>
    <row r="2133" spans="24:41" x14ac:dyDescent="0.4">
      <c r="X2133"/>
      <c r="AO2133"/>
    </row>
    <row r="2134" spans="24:41" x14ac:dyDescent="0.4">
      <c r="X2134"/>
      <c r="AO2134"/>
    </row>
    <row r="2135" spans="24:41" x14ac:dyDescent="0.4">
      <c r="X2135"/>
      <c r="AO2135"/>
    </row>
    <row r="2136" spans="24:41" x14ac:dyDescent="0.4">
      <c r="X2136"/>
      <c r="AO2136"/>
    </row>
    <row r="2137" spans="24:41" x14ac:dyDescent="0.4">
      <c r="X2137"/>
      <c r="AO2137"/>
    </row>
    <row r="2138" spans="24:41" x14ac:dyDescent="0.4">
      <c r="X2138"/>
      <c r="AO2138"/>
    </row>
    <row r="2139" spans="24:41" x14ac:dyDescent="0.4">
      <c r="X2139"/>
      <c r="AO2139"/>
    </row>
    <row r="2140" spans="24:41" x14ac:dyDescent="0.4">
      <c r="X2140"/>
      <c r="AO2140"/>
    </row>
    <row r="2141" spans="24:41" x14ac:dyDescent="0.4">
      <c r="X2141"/>
      <c r="AO2141"/>
    </row>
    <row r="2142" spans="24:41" x14ac:dyDescent="0.4">
      <c r="X2142"/>
      <c r="AO2142"/>
    </row>
    <row r="2143" spans="24:41" x14ac:dyDescent="0.4">
      <c r="X2143"/>
      <c r="AO2143"/>
    </row>
    <row r="2144" spans="24:41" x14ac:dyDescent="0.4">
      <c r="X2144"/>
      <c r="AO2144"/>
    </row>
    <row r="2145" spans="24:41" x14ac:dyDescent="0.4">
      <c r="X2145"/>
      <c r="AO2145"/>
    </row>
    <row r="2146" spans="24:41" x14ac:dyDescent="0.4">
      <c r="X2146"/>
      <c r="AO2146"/>
    </row>
    <row r="2147" spans="24:41" x14ac:dyDescent="0.4">
      <c r="X2147"/>
      <c r="AO2147"/>
    </row>
    <row r="2148" spans="24:41" x14ac:dyDescent="0.4">
      <c r="X2148"/>
      <c r="AO2148"/>
    </row>
    <row r="2149" spans="24:41" x14ac:dyDescent="0.4">
      <c r="X2149"/>
      <c r="AO2149"/>
    </row>
    <row r="2150" spans="24:41" x14ac:dyDescent="0.4">
      <c r="X2150"/>
      <c r="AO2150"/>
    </row>
    <row r="2151" spans="24:41" x14ac:dyDescent="0.4">
      <c r="X2151"/>
      <c r="AO2151"/>
    </row>
    <row r="2152" spans="24:41" x14ac:dyDescent="0.4">
      <c r="X2152"/>
      <c r="AO2152"/>
    </row>
    <row r="2153" spans="24:41" x14ac:dyDescent="0.4">
      <c r="X2153"/>
      <c r="AO2153"/>
    </row>
    <row r="2154" spans="24:41" x14ac:dyDescent="0.4">
      <c r="X2154"/>
      <c r="AO2154"/>
    </row>
    <row r="2155" spans="24:41" x14ac:dyDescent="0.4">
      <c r="X2155"/>
      <c r="AO2155"/>
    </row>
    <row r="2156" spans="24:41" x14ac:dyDescent="0.4">
      <c r="X2156"/>
      <c r="AO2156"/>
    </row>
    <row r="2157" spans="24:41" x14ac:dyDescent="0.4">
      <c r="X2157"/>
      <c r="AO2157"/>
    </row>
    <row r="2158" spans="24:41" x14ac:dyDescent="0.4">
      <c r="X2158"/>
      <c r="AO2158"/>
    </row>
    <row r="2159" spans="24:41" x14ac:dyDescent="0.4">
      <c r="X2159"/>
      <c r="AO2159"/>
    </row>
    <row r="2160" spans="24:41" x14ac:dyDescent="0.4">
      <c r="X2160"/>
      <c r="AO2160"/>
    </row>
    <row r="2161" spans="24:41" x14ac:dyDescent="0.4">
      <c r="X2161"/>
      <c r="AO2161"/>
    </row>
    <row r="2162" spans="24:41" x14ac:dyDescent="0.4">
      <c r="X2162"/>
      <c r="AO2162"/>
    </row>
    <row r="2163" spans="24:41" x14ac:dyDescent="0.4">
      <c r="X2163"/>
      <c r="AO2163"/>
    </row>
    <row r="2164" spans="24:41" x14ac:dyDescent="0.4">
      <c r="X2164"/>
      <c r="AO2164"/>
    </row>
    <row r="2165" spans="24:41" x14ac:dyDescent="0.4">
      <c r="X2165"/>
      <c r="AO2165"/>
    </row>
    <row r="2166" spans="24:41" x14ac:dyDescent="0.4">
      <c r="X2166"/>
      <c r="AO2166"/>
    </row>
    <row r="2167" spans="24:41" x14ac:dyDescent="0.4">
      <c r="X2167"/>
      <c r="AO2167"/>
    </row>
    <row r="2168" spans="24:41" x14ac:dyDescent="0.4">
      <c r="X2168"/>
      <c r="AO2168"/>
    </row>
    <row r="2169" spans="24:41" x14ac:dyDescent="0.4">
      <c r="X2169"/>
      <c r="AO2169"/>
    </row>
    <row r="2170" spans="24:41" x14ac:dyDescent="0.4">
      <c r="X2170"/>
      <c r="AO2170"/>
    </row>
    <row r="2171" spans="24:41" x14ac:dyDescent="0.4">
      <c r="X2171"/>
      <c r="AO2171"/>
    </row>
    <row r="2172" spans="24:41" x14ac:dyDescent="0.4">
      <c r="X2172"/>
      <c r="AO2172"/>
    </row>
    <row r="2173" spans="24:41" x14ac:dyDescent="0.4">
      <c r="X2173"/>
      <c r="AO2173"/>
    </row>
    <row r="2174" spans="24:41" x14ac:dyDescent="0.4">
      <c r="X2174"/>
      <c r="AO2174"/>
    </row>
    <row r="2175" spans="24:41" x14ac:dyDescent="0.4">
      <c r="X2175"/>
      <c r="AO2175"/>
    </row>
    <row r="2176" spans="24:41" x14ac:dyDescent="0.4">
      <c r="X2176"/>
      <c r="AO2176"/>
    </row>
    <row r="2177" spans="24:41" x14ac:dyDescent="0.4">
      <c r="X2177"/>
      <c r="AO2177"/>
    </row>
    <row r="2178" spans="24:41" x14ac:dyDescent="0.4">
      <c r="X2178"/>
      <c r="AO2178"/>
    </row>
    <row r="2179" spans="24:41" x14ac:dyDescent="0.4">
      <c r="X2179"/>
      <c r="AO2179"/>
    </row>
    <row r="2180" spans="24:41" x14ac:dyDescent="0.4">
      <c r="X2180"/>
      <c r="AO2180"/>
    </row>
    <row r="2181" spans="24:41" x14ac:dyDescent="0.4">
      <c r="X2181"/>
      <c r="AO2181"/>
    </row>
    <row r="2182" spans="24:41" x14ac:dyDescent="0.4">
      <c r="X2182"/>
      <c r="AO2182"/>
    </row>
    <row r="2183" spans="24:41" x14ac:dyDescent="0.4">
      <c r="X2183"/>
      <c r="AO2183"/>
    </row>
    <row r="2184" spans="24:41" x14ac:dyDescent="0.4">
      <c r="X2184"/>
      <c r="AO2184"/>
    </row>
    <row r="2185" spans="24:41" x14ac:dyDescent="0.4">
      <c r="X2185"/>
      <c r="AO2185"/>
    </row>
    <row r="2186" spans="24:41" x14ac:dyDescent="0.4">
      <c r="X2186"/>
      <c r="AO2186"/>
    </row>
    <row r="2187" spans="24:41" x14ac:dyDescent="0.4">
      <c r="X2187"/>
      <c r="AO2187"/>
    </row>
    <row r="2188" spans="24:41" x14ac:dyDescent="0.4">
      <c r="X2188"/>
      <c r="AO2188"/>
    </row>
    <row r="2189" spans="24:41" x14ac:dyDescent="0.4">
      <c r="X2189"/>
      <c r="AO2189"/>
    </row>
    <row r="2190" spans="24:41" x14ac:dyDescent="0.4">
      <c r="X2190"/>
      <c r="AO2190"/>
    </row>
    <row r="2191" spans="24:41" x14ac:dyDescent="0.4">
      <c r="X2191"/>
      <c r="AO2191"/>
    </row>
    <row r="2192" spans="24:41" x14ac:dyDescent="0.4">
      <c r="X2192"/>
      <c r="AO2192"/>
    </row>
    <row r="2193" spans="24:41" x14ac:dyDescent="0.4">
      <c r="X2193"/>
      <c r="AO2193"/>
    </row>
    <row r="2194" spans="24:41" x14ac:dyDescent="0.4">
      <c r="X2194"/>
      <c r="AO2194"/>
    </row>
    <row r="2195" spans="24:41" x14ac:dyDescent="0.4">
      <c r="X2195"/>
      <c r="AO2195"/>
    </row>
    <row r="2196" spans="24:41" x14ac:dyDescent="0.4">
      <c r="X2196"/>
      <c r="AO2196"/>
    </row>
    <row r="2197" spans="24:41" x14ac:dyDescent="0.4">
      <c r="X2197"/>
      <c r="AO2197"/>
    </row>
    <row r="2198" spans="24:41" x14ac:dyDescent="0.4">
      <c r="X2198"/>
      <c r="AO2198"/>
    </row>
    <row r="2199" spans="24:41" x14ac:dyDescent="0.4">
      <c r="X2199"/>
      <c r="AO2199"/>
    </row>
    <row r="2200" spans="24:41" x14ac:dyDescent="0.4">
      <c r="X2200"/>
      <c r="AO2200"/>
    </row>
    <row r="2201" spans="24:41" x14ac:dyDescent="0.4">
      <c r="X2201"/>
      <c r="AO2201"/>
    </row>
    <row r="2202" spans="24:41" x14ac:dyDescent="0.4">
      <c r="X2202"/>
      <c r="AO2202"/>
    </row>
    <row r="2203" spans="24:41" x14ac:dyDescent="0.4">
      <c r="X2203"/>
      <c r="AO2203"/>
    </row>
    <row r="2204" spans="24:41" x14ac:dyDescent="0.4">
      <c r="X2204"/>
      <c r="AO2204"/>
    </row>
    <row r="2205" spans="24:41" x14ac:dyDescent="0.4">
      <c r="X2205"/>
      <c r="AO2205"/>
    </row>
    <row r="2206" spans="24:41" x14ac:dyDescent="0.4">
      <c r="X2206"/>
      <c r="AO2206"/>
    </row>
    <row r="2207" spans="24:41" x14ac:dyDescent="0.4">
      <c r="X2207"/>
      <c r="AO2207"/>
    </row>
    <row r="2208" spans="24:41" x14ac:dyDescent="0.4">
      <c r="X2208"/>
      <c r="AO2208"/>
    </row>
    <row r="2209" spans="24:41" x14ac:dyDescent="0.4">
      <c r="X2209"/>
      <c r="AO2209"/>
    </row>
    <row r="2210" spans="24:41" x14ac:dyDescent="0.4">
      <c r="X2210"/>
      <c r="AO2210"/>
    </row>
    <row r="2211" spans="24:41" x14ac:dyDescent="0.4">
      <c r="X2211"/>
      <c r="AO2211"/>
    </row>
    <row r="2212" spans="24:41" x14ac:dyDescent="0.4">
      <c r="X2212"/>
      <c r="AO2212"/>
    </row>
    <row r="2213" spans="24:41" x14ac:dyDescent="0.4">
      <c r="X2213"/>
      <c r="AO2213"/>
    </row>
    <row r="2214" spans="24:41" x14ac:dyDescent="0.4">
      <c r="X2214"/>
      <c r="AO2214"/>
    </row>
    <row r="2215" spans="24:41" x14ac:dyDescent="0.4">
      <c r="X2215"/>
      <c r="AO2215"/>
    </row>
    <row r="2216" spans="24:41" x14ac:dyDescent="0.4">
      <c r="X2216"/>
      <c r="AO2216"/>
    </row>
    <row r="2217" spans="24:41" x14ac:dyDescent="0.4">
      <c r="X2217"/>
      <c r="AO2217"/>
    </row>
    <row r="2218" spans="24:41" x14ac:dyDescent="0.4">
      <c r="X2218"/>
      <c r="AO2218"/>
    </row>
    <row r="2219" spans="24:41" x14ac:dyDescent="0.4">
      <c r="X2219"/>
      <c r="AO2219"/>
    </row>
    <row r="2220" spans="24:41" x14ac:dyDescent="0.4">
      <c r="X2220"/>
      <c r="AO2220"/>
    </row>
    <row r="2221" spans="24:41" x14ac:dyDescent="0.4">
      <c r="X2221"/>
      <c r="AO2221"/>
    </row>
    <row r="2222" spans="24:41" x14ac:dyDescent="0.4">
      <c r="X2222"/>
      <c r="AO2222"/>
    </row>
    <row r="2223" spans="24:41" x14ac:dyDescent="0.4">
      <c r="X2223"/>
      <c r="AO2223"/>
    </row>
    <row r="2224" spans="24:41" x14ac:dyDescent="0.4">
      <c r="X2224"/>
      <c r="AO2224"/>
    </row>
    <row r="2225" spans="24:41" x14ac:dyDescent="0.4">
      <c r="X2225"/>
      <c r="AO2225"/>
    </row>
    <row r="2226" spans="24:41" x14ac:dyDescent="0.4">
      <c r="X2226"/>
      <c r="AO2226"/>
    </row>
    <row r="2227" spans="24:41" x14ac:dyDescent="0.4">
      <c r="X2227"/>
      <c r="AO2227"/>
    </row>
    <row r="2228" spans="24:41" x14ac:dyDescent="0.4">
      <c r="X2228"/>
      <c r="AO2228"/>
    </row>
    <row r="2229" spans="24:41" x14ac:dyDescent="0.4">
      <c r="X2229"/>
      <c r="AO2229"/>
    </row>
    <row r="2230" spans="24:41" x14ac:dyDescent="0.4">
      <c r="X2230"/>
      <c r="AO2230"/>
    </row>
    <row r="2231" spans="24:41" x14ac:dyDescent="0.4">
      <c r="X2231"/>
      <c r="AO2231"/>
    </row>
    <row r="2232" spans="24:41" x14ac:dyDescent="0.4">
      <c r="X2232"/>
      <c r="AO2232"/>
    </row>
    <row r="2233" spans="24:41" x14ac:dyDescent="0.4">
      <c r="X2233"/>
      <c r="AO2233"/>
    </row>
    <row r="2234" spans="24:41" x14ac:dyDescent="0.4">
      <c r="X2234"/>
      <c r="AO2234"/>
    </row>
    <row r="2235" spans="24:41" x14ac:dyDescent="0.4">
      <c r="X2235"/>
      <c r="AO2235"/>
    </row>
    <row r="2236" spans="24:41" x14ac:dyDescent="0.4">
      <c r="X2236"/>
      <c r="AO2236"/>
    </row>
    <row r="2237" spans="24:41" x14ac:dyDescent="0.4">
      <c r="X2237"/>
      <c r="AO2237"/>
    </row>
    <row r="2238" spans="24:41" x14ac:dyDescent="0.4">
      <c r="X2238"/>
      <c r="AO2238"/>
    </row>
    <row r="2239" spans="24:41" x14ac:dyDescent="0.4">
      <c r="X2239"/>
      <c r="AO2239"/>
    </row>
    <row r="2240" spans="24:41" x14ac:dyDescent="0.4">
      <c r="X2240"/>
      <c r="AO2240"/>
    </row>
    <row r="2241" spans="24:41" x14ac:dyDescent="0.4">
      <c r="X2241"/>
      <c r="AO2241"/>
    </row>
    <row r="2242" spans="24:41" x14ac:dyDescent="0.4">
      <c r="X2242"/>
      <c r="AO2242"/>
    </row>
    <row r="2243" spans="24:41" x14ac:dyDescent="0.4">
      <c r="X2243"/>
      <c r="AO2243"/>
    </row>
    <row r="2244" spans="24:41" x14ac:dyDescent="0.4">
      <c r="X2244"/>
      <c r="AO2244"/>
    </row>
    <row r="2245" spans="24:41" x14ac:dyDescent="0.4">
      <c r="X2245"/>
      <c r="AO2245"/>
    </row>
    <row r="2246" spans="24:41" x14ac:dyDescent="0.4">
      <c r="X2246"/>
      <c r="AO2246"/>
    </row>
    <row r="2247" spans="24:41" x14ac:dyDescent="0.4">
      <c r="X2247"/>
      <c r="AO2247"/>
    </row>
    <row r="2248" spans="24:41" x14ac:dyDescent="0.4">
      <c r="X2248"/>
      <c r="AO2248"/>
    </row>
    <row r="2249" spans="24:41" x14ac:dyDescent="0.4">
      <c r="X2249"/>
      <c r="AO2249"/>
    </row>
    <row r="2250" spans="24:41" x14ac:dyDescent="0.4">
      <c r="X2250"/>
      <c r="AO2250"/>
    </row>
    <row r="2251" spans="24:41" x14ac:dyDescent="0.4">
      <c r="X2251"/>
      <c r="AO2251"/>
    </row>
    <row r="2252" spans="24:41" x14ac:dyDescent="0.4">
      <c r="X2252"/>
      <c r="AO2252"/>
    </row>
    <row r="2253" spans="24:41" x14ac:dyDescent="0.4">
      <c r="X2253"/>
      <c r="AO2253"/>
    </row>
    <row r="2254" spans="24:41" x14ac:dyDescent="0.4">
      <c r="X2254"/>
      <c r="AO2254"/>
    </row>
    <row r="2255" spans="24:41" x14ac:dyDescent="0.4">
      <c r="X2255"/>
      <c r="AO2255"/>
    </row>
    <row r="2256" spans="24:41" x14ac:dyDescent="0.4">
      <c r="X2256"/>
      <c r="AO2256"/>
    </row>
    <row r="2257" spans="24:41" x14ac:dyDescent="0.4">
      <c r="X2257"/>
      <c r="AO2257"/>
    </row>
    <row r="2258" spans="24:41" x14ac:dyDescent="0.4">
      <c r="X2258"/>
      <c r="AO2258"/>
    </row>
    <row r="2259" spans="24:41" x14ac:dyDescent="0.4">
      <c r="X2259"/>
      <c r="AO2259"/>
    </row>
    <row r="2260" spans="24:41" x14ac:dyDescent="0.4">
      <c r="X2260"/>
      <c r="AO2260"/>
    </row>
    <row r="2261" spans="24:41" x14ac:dyDescent="0.4">
      <c r="X2261"/>
      <c r="AO2261"/>
    </row>
    <row r="2262" spans="24:41" x14ac:dyDescent="0.4">
      <c r="X2262"/>
      <c r="AO2262"/>
    </row>
    <row r="2263" spans="24:41" x14ac:dyDescent="0.4">
      <c r="X2263"/>
      <c r="AO2263"/>
    </row>
    <row r="2264" spans="24:41" x14ac:dyDescent="0.4">
      <c r="X2264"/>
      <c r="AO2264"/>
    </row>
    <row r="2265" spans="24:41" x14ac:dyDescent="0.4">
      <c r="X2265"/>
      <c r="AO2265"/>
    </row>
    <row r="2266" spans="24:41" x14ac:dyDescent="0.4">
      <c r="X2266"/>
      <c r="AO2266"/>
    </row>
    <row r="2267" spans="24:41" x14ac:dyDescent="0.4">
      <c r="X2267"/>
      <c r="AO2267"/>
    </row>
    <row r="2268" spans="24:41" x14ac:dyDescent="0.4">
      <c r="X2268"/>
      <c r="AO2268"/>
    </row>
    <row r="2269" spans="24:41" x14ac:dyDescent="0.4">
      <c r="X2269"/>
      <c r="AO2269"/>
    </row>
    <row r="2270" spans="24:41" x14ac:dyDescent="0.4">
      <c r="X2270"/>
      <c r="AO2270"/>
    </row>
    <row r="2271" spans="24:41" x14ac:dyDescent="0.4">
      <c r="X2271"/>
      <c r="AO2271"/>
    </row>
    <row r="2272" spans="24:41" x14ac:dyDescent="0.4">
      <c r="X2272"/>
      <c r="AO2272"/>
    </row>
    <row r="2273" spans="24:41" x14ac:dyDescent="0.4">
      <c r="X2273"/>
      <c r="AO2273"/>
    </row>
    <row r="2274" spans="24:41" x14ac:dyDescent="0.4">
      <c r="X2274"/>
      <c r="AO2274"/>
    </row>
    <row r="2275" spans="24:41" x14ac:dyDescent="0.4">
      <c r="X2275"/>
      <c r="AO2275"/>
    </row>
    <row r="2276" spans="24:41" x14ac:dyDescent="0.4">
      <c r="X2276"/>
      <c r="AO2276"/>
    </row>
    <row r="2277" spans="24:41" x14ac:dyDescent="0.4">
      <c r="X2277"/>
      <c r="AO2277"/>
    </row>
    <row r="2278" spans="24:41" x14ac:dyDescent="0.4">
      <c r="X2278"/>
      <c r="AO2278"/>
    </row>
    <row r="2279" spans="24:41" x14ac:dyDescent="0.4">
      <c r="X2279"/>
      <c r="AO2279"/>
    </row>
    <row r="2280" spans="24:41" x14ac:dyDescent="0.4">
      <c r="X2280"/>
      <c r="AO2280"/>
    </row>
    <row r="2281" spans="24:41" x14ac:dyDescent="0.4">
      <c r="X2281"/>
      <c r="AO2281"/>
    </row>
    <row r="2282" spans="24:41" x14ac:dyDescent="0.4">
      <c r="X2282"/>
      <c r="AO2282"/>
    </row>
    <row r="2283" spans="24:41" x14ac:dyDescent="0.4">
      <c r="X2283"/>
      <c r="AO2283"/>
    </row>
    <row r="2284" spans="24:41" x14ac:dyDescent="0.4">
      <c r="X2284"/>
      <c r="AO2284"/>
    </row>
    <row r="2285" spans="24:41" x14ac:dyDescent="0.4">
      <c r="X2285"/>
      <c r="AO2285"/>
    </row>
    <row r="2286" spans="24:41" x14ac:dyDescent="0.4">
      <c r="X2286"/>
      <c r="AO2286"/>
    </row>
    <row r="2287" spans="24:41" x14ac:dyDescent="0.4">
      <c r="X2287"/>
      <c r="AO2287"/>
    </row>
    <row r="2288" spans="24:41" x14ac:dyDescent="0.4">
      <c r="X2288"/>
      <c r="AO2288"/>
    </row>
    <row r="2289" spans="24:41" x14ac:dyDescent="0.4">
      <c r="X2289"/>
      <c r="AO2289"/>
    </row>
    <row r="2290" spans="24:41" x14ac:dyDescent="0.4">
      <c r="X2290"/>
      <c r="AO2290"/>
    </row>
    <row r="2291" spans="24:41" x14ac:dyDescent="0.4">
      <c r="X2291"/>
      <c r="AO2291"/>
    </row>
    <row r="2292" spans="24:41" x14ac:dyDescent="0.4">
      <c r="X2292"/>
      <c r="AO2292"/>
    </row>
    <row r="2293" spans="24:41" x14ac:dyDescent="0.4">
      <c r="X2293"/>
      <c r="AO2293"/>
    </row>
    <row r="2294" spans="24:41" x14ac:dyDescent="0.4">
      <c r="X2294"/>
      <c r="AO2294"/>
    </row>
    <row r="2295" spans="24:41" x14ac:dyDescent="0.4">
      <c r="X2295"/>
      <c r="AO2295"/>
    </row>
    <row r="2296" spans="24:41" x14ac:dyDescent="0.4">
      <c r="X2296"/>
      <c r="AO2296"/>
    </row>
    <row r="2297" spans="24:41" x14ac:dyDescent="0.4">
      <c r="X2297"/>
      <c r="AO2297"/>
    </row>
    <row r="2298" spans="24:41" x14ac:dyDescent="0.4">
      <c r="X2298"/>
      <c r="AO2298"/>
    </row>
    <row r="2299" spans="24:41" x14ac:dyDescent="0.4">
      <c r="X2299"/>
      <c r="AO2299"/>
    </row>
    <row r="2300" spans="24:41" x14ac:dyDescent="0.4">
      <c r="X2300"/>
      <c r="AO2300"/>
    </row>
    <row r="2301" spans="24:41" x14ac:dyDescent="0.4">
      <c r="X2301"/>
      <c r="AO2301"/>
    </row>
    <row r="2302" spans="24:41" x14ac:dyDescent="0.4">
      <c r="X2302"/>
      <c r="AO2302"/>
    </row>
    <row r="2303" spans="24:41" x14ac:dyDescent="0.4">
      <c r="X2303"/>
      <c r="AO2303"/>
    </row>
    <row r="2304" spans="24:41" x14ac:dyDescent="0.4">
      <c r="X2304"/>
      <c r="AO2304"/>
    </row>
    <row r="2305" spans="24:41" x14ac:dyDescent="0.4">
      <c r="X2305"/>
      <c r="AO2305"/>
    </row>
    <row r="2306" spans="24:41" x14ac:dyDescent="0.4">
      <c r="X2306"/>
      <c r="AO2306"/>
    </row>
    <row r="2307" spans="24:41" x14ac:dyDescent="0.4">
      <c r="X2307"/>
      <c r="AO2307"/>
    </row>
    <row r="2308" spans="24:41" x14ac:dyDescent="0.4">
      <c r="X2308"/>
      <c r="AO2308"/>
    </row>
    <row r="2309" spans="24:41" x14ac:dyDescent="0.4">
      <c r="X2309"/>
      <c r="AO2309"/>
    </row>
    <row r="2310" spans="24:41" x14ac:dyDescent="0.4">
      <c r="X2310"/>
      <c r="AO2310"/>
    </row>
    <row r="2311" spans="24:41" x14ac:dyDescent="0.4">
      <c r="X2311"/>
      <c r="AO2311"/>
    </row>
    <row r="2312" spans="24:41" x14ac:dyDescent="0.4">
      <c r="X2312"/>
      <c r="AO2312"/>
    </row>
    <row r="2313" spans="24:41" x14ac:dyDescent="0.4">
      <c r="X2313"/>
      <c r="AO2313"/>
    </row>
    <row r="2314" spans="24:41" x14ac:dyDescent="0.4">
      <c r="X2314"/>
      <c r="AO2314"/>
    </row>
    <row r="2315" spans="24:41" x14ac:dyDescent="0.4">
      <c r="X2315"/>
      <c r="AO2315"/>
    </row>
    <row r="2316" spans="24:41" x14ac:dyDescent="0.4">
      <c r="X2316"/>
      <c r="AO2316"/>
    </row>
    <row r="2317" spans="24:41" x14ac:dyDescent="0.4">
      <c r="X2317"/>
      <c r="AO2317"/>
    </row>
    <row r="2318" spans="24:41" x14ac:dyDescent="0.4">
      <c r="X2318"/>
      <c r="AO2318"/>
    </row>
    <row r="2319" spans="24:41" x14ac:dyDescent="0.4">
      <c r="X2319"/>
      <c r="AO2319"/>
    </row>
    <row r="2320" spans="24:41" x14ac:dyDescent="0.4">
      <c r="X2320"/>
      <c r="AO2320"/>
    </row>
    <row r="2321" spans="24:41" x14ac:dyDescent="0.4">
      <c r="X2321"/>
      <c r="AO2321"/>
    </row>
    <row r="2322" spans="24:41" x14ac:dyDescent="0.4">
      <c r="X2322"/>
      <c r="AO2322"/>
    </row>
    <row r="2323" spans="24:41" x14ac:dyDescent="0.4">
      <c r="X2323"/>
      <c r="AO2323"/>
    </row>
    <row r="2324" spans="24:41" x14ac:dyDescent="0.4">
      <c r="X2324"/>
      <c r="AO2324"/>
    </row>
    <row r="2325" spans="24:41" x14ac:dyDescent="0.4">
      <c r="X2325"/>
      <c r="AO2325"/>
    </row>
    <row r="2326" spans="24:41" x14ac:dyDescent="0.4">
      <c r="X2326"/>
      <c r="AO2326"/>
    </row>
    <row r="2327" spans="24:41" x14ac:dyDescent="0.4">
      <c r="X2327"/>
      <c r="AO2327"/>
    </row>
    <row r="2328" spans="24:41" x14ac:dyDescent="0.4">
      <c r="X2328"/>
      <c r="AO2328"/>
    </row>
    <row r="2329" spans="24:41" x14ac:dyDescent="0.4">
      <c r="X2329"/>
      <c r="AO2329"/>
    </row>
    <row r="2330" spans="24:41" x14ac:dyDescent="0.4">
      <c r="X2330"/>
      <c r="AO2330"/>
    </row>
    <row r="2331" spans="24:41" x14ac:dyDescent="0.4">
      <c r="X2331"/>
      <c r="AO2331"/>
    </row>
    <row r="2332" spans="24:41" x14ac:dyDescent="0.4">
      <c r="X2332"/>
      <c r="AO2332"/>
    </row>
    <row r="2333" spans="24:41" x14ac:dyDescent="0.4">
      <c r="X2333"/>
      <c r="AO2333"/>
    </row>
    <row r="2334" spans="24:41" x14ac:dyDescent="0.4">
      <c r="X2334"/>
      <c r="AO2334"/>
    </row>
    <row r="2335" spans="24:41" x14ac:dyDescent="0.4">
      <c r="X2335"/>
      <c r="AO2335"/>
    </row>
    <row r="2336" spans="24:41" x14ac:dyDescent="0.4">
      <c r="X2336"/>
      <c r="AO2336"/>
    </row>
    <row r="2337" spans="24:41" x14ac:dyDescent="0.4">
      <c r="X2337"/>
      <c r="AO2337"/>
    </row>
    <row r="2338" spans="24:41" x14ac:dyDescent="0.4">
      <c r="X2338"/>
      <c r="AO2338"/>
    </row>
    <row r="2339" spans="24:41" x14ac:dyDescent="0.4">
      <c r="X2339"/>
      <c r="AO2339"/>
    </row>
    <row r="2340" spans="24:41" x14ac:dyDescent="0.4">
      <c r="X2340"/>
      <c r="AO2340"/>
    </row>
    <row r="2341" spans="24:41" x14ac:dyDescent="0.4">
      <c r="X2341"/>
      <c r="AO2341"/>
    </row>
    <row r="2342" spans="24:41" x14ac:dyDescent="0.4">
      <c r="X2342"/>
      <c r="AO2342"/>
    </row>
    <row r="2343" spans="24:41" x14ac:dyDescent="0.4">
      <c r="X2343"/>
      <c r="AO2343"/>
    </row>
    <row r="2344" spans="24:41" x14ac:dyDescent="0.4">
      <c r="X2344"/>
      <c r="AO2344"/>
    </row>
    <row r="2345" spans="24:41" x14ac:dyDescent="0.4">
      <c r="X2345"/>
      <c r="AO2345"/>
    </row>
    <row r="2346" spans="24:41" x14ac:dyDescent="0.4">
      <c r="X2346"/>
      <c r="AO2346"/>
    </row>
    <row r="2347" spans="24:41" x14ac:dyDescent="0.4">
      <c r="X2347"/>
      <c r="AO2347"/>
    </row>
    <row r="2348" spans="24:41" x14ac:dyDescent="0.4">
      <c r="X2348"/>
      <c r="AO2348"/>
    </row>
    <row r="2349" spans="24:41" x14ac:dyDescent="0.4">
      <c r="X2349"/>
      <c r="AO2349"/>
    </row>
    <row r="2350" spans="24:41" x14ac:dyDescent="0.4">
      <c r="X2350"/>
      <c r="AO2350"/>
    </row>
    <row r="2351" spans="24:41" x14ac:dyDescent="0.4">
      <c r="X2351"/>
      <c r="AO2351"/>
    </row>
    <row r="2352" spans="24:41" x14ac:dyDescent="0.4">
      <c r="X2352"/>
      <c r="AO2352"/>
    </row>
    <row r="2353" spans="24:41" x14ac:dyDescent="0.4">
      <c r="X2353"/>
      <c r="AO2353"/>
    </row>
    <row r="2354" spans="24:41" x14ac:dyDescent="0.4">
      <c r="X2354"/>
      <c r="AO2354"/>
    </row>
    <row r="2355" spans="24:41" x14ac:dyDescent="0.4">
      <c r="X2355"/>
      <c r="AO2355"/>
    </row>
    <row r="2356" spans="24:41" x14ac:dyDescent="0.4">
      <c r="X2356"/>
      <c r="AO2356"/>
    </row>
    <row r="2357" spans="24:41" x14ac:dyDescent="0.4">
      <c r="X2357"/>
      <c r="AO2357"/>
    </row>
    <row r="2358" spans="24:41" x14ac:dyDescent="0.4">
      <c r="X2358"/>
      <c r="AO2358"/>
    </row>
    <row r="2359" spans="24:41" x14ac:dyDescent="0.4">
      <c r="X2359"/>
      <c r="AO2359"/>
    </row>
    <row r="2360" spans="24:41" x14ac:dyDescent="0.4">
      <c r="X2360"/>
      <c r="AO2360"/>
    </row>
    <row r="2361" spans="24:41" x14ac:dyDescent="0.4">
      <c r="X2361"/>
      <c r="AO2361"/>
    </row>
    <row r="2362" spans="24:41" x14ac:dyDescent="0.4">
      <c r="X2362"/>
      <c r="AO2362"/>
    </row>
    <row r="2363" spans="24:41" x14ac:dyDescent="0.4">
      <c r="X2363"/>
      <c r="AO2363"/>
    </row>
    <row r="2364" spans="24:41" x14ac:dyDescent="0.4">
      <c r="X2364"/>
      <c r="AO2364"/>
    </row>
    <row r="2365" spans="24:41" x14ac:dyDescent="0.4">
      <c r="X2365"/>
      <c r="AO2365"/>
    </row>
    <row r="2366" spans="24:41" x14ac:dyDescent="0.4">
      <c r="X2366"/>
      <c r="AO2366"/>
    </row>
    <row r="2367" spans="24:41" x14ac:dyDescent="0.4">
      <c r="X2367"/>
      <c r="AO2367"/>
    </row>
    <row r="2368" spans="24:41" x14ac:dyDescent="0.4">
      <c r="X2368"/>
      <c r="AO2368"/>
    </row>
    <row r="2369" spans="24:41" x14ac:dyDescent="0.4">
      <c r="X2369"/>
      <c r="AO2369"/>
    </row>
    <row r="2370" spans="24:41" x14ac:dyDescent="0.4">
      <c r="X2370"/>
      <c r="AO2370"/>
    </row>
    <row r="2371" spans="24:41" x14ac:dyDescent="0.4">
      <c r="X2371"/>
      <c r="AO2371"/>
    </row>
    <row r="2372" spans="24:41" x14ac:dyDescent="0.4">
      <c r="X2372"/>
      <c r="AO2372"/>
    </row>
    <row r="2373" spans="24:41" x14ac:dyDescent="0.4">
      <c r="X2373"/>
      <c r="AO2373"/>
    </row>
    <row r="2374" spans="24:41" x14ac:dyDescent="0.4">
      <c r="X2374"/>
      <c r="AO2374"/>
    </row>
    <row r="2375" spans="24:41" x14ac:dyDescent="0.4">
      <c r="X2375"/>
      <c r="AO2375"/>
    </row>
    <row r="2376" spans="24:41" x14ac:dyDescent="0.4">
      <c r="X2376"/>
      <c r="AO2376"/>
    </row>
    <row r="2377" spans="24:41" x14ac:dyDescent="0.4">
      <c r="X2377"/>
      <c r="AO2377"/>
    </row>
    <row r="2378" spans="24:41" x14ac:dyDescent="0.4">
      <c r="X2378"/>
      <c r="AO2378"/>
    </row>
    <row r="2379" spans="24:41" x14ac:dyDescent="0.4">
      <c r="X2379"/>
      <c r="AO2379"/>
    </row>
    <row r="2380" spans="24:41" x14ac:dyDescent="0.4">
      <c r="X2380"/>
      <c r="AO2380"/>
    </row>
    <row r="2381" spans="24:41" x14ac:dyDescent="0.4">
      <c r="X2381"/>
      <c r="AO2381"/>
    </row>
    <row r="2382" spans="24:41" x14ac:dyDescent="0.4">
      <c r="X2382"/>
      <c r="AO2382"/>
    </row>
    <row r="2383" spans="24:41" x14ac:dyDescent="0.4">
      <c r="X2383"/>
      <c r="AO2383"/>
    </row>
    <row r="2384" spans="24:41" x14ac:dyDescent="0.4">
      <c r="X2384"/>
      <c r="AO2384"/>
    </row>
    <row r="2385" spans="24:41" x14ac:dyDescent="0.4">
      <c r="X2385"/>
      <c r="AO2385"/>
    </row>
    <row r="2386" spans="24:41" x14ac:dyDescent="0.4">
      <c r="X2386"/>
      <c r="AO2386"/>
    </row>
    <row r="2387" spans="24:41" x14ac:dyDescent="0.4">
      <c r="X2387"/>
      <c r="AO2387"/>
    </row>
    <row r="2388" spans="24:41" x14ac:dyDescent="0.4">
      <c r="X2388"/>
      <c r="AO2388"/>
    </row>
    <row r="2389" spans="24:41" x14ac:dyDescent="0.4">
      <c r="X2389"/>
      <c r="AO2389"/>
    </row>
    <row r="2390" spans="24:41" x14ac:dyDescent="0.4">
      <c r="X2390"/>
      <c r="AO2390"/>
    </row>
    <row r="2391" spans="24:41" x14ac:dyDescent="0.4">
      <c r="X2391"/>
      <c r="AO2391"/>
    </row>
    <row r="2392" spans="24:41" x14ac:dyDescent="0.4">
      <c r="X2392"/>
      <c r="AO2392"/>
    </row>
    <row r="2393" spans="24:41" x14ac:dyDescent="0.4">
      <c r="X2393"/>
      <c r="AO2393"/>
    </row>
    <row r="2394" spans="24:41" x14ac:dyDescent="0.4">
      <c r="X2394"/>
      <c r="AO2394"/>
    </row>
    <row r="2395" spans="24:41" x14ac:dyDescent="0.4">
      <c r="X2395"/>
      <c r="AO2395"/>
    </row>
    <row r="2396" spans="24:41" x14ac:dyDescent="0.4">
      <c r="X2396"/>
      <c r="AO2396"/>
    </row>
    <row r="2397" spans="24:41" x14ac:dyDescent="0.4">
      <c r="X2397"/>
      <c r="AO2397"/>
    </row>
    <row r="2398" spans="24:41" x14ac:dyDescent="0.4">
      <c r="X2398"/>
      <c r="AO2398"/>
    </row>
    <row r="2399" spans="24:41" x14ac:dyDescent="0.4">
      <c r="X2399"/>
      <c r="AO2399"/>
    </row>
    <row r="2400" spans="24:41" x14ac:dyDescent="0.4">
      <c r="X2400"/>
      <c r="AO2400"/>
    </row>
    <row r="2401" spans="24:41" x14ac:dyDescent="0.4">
      <c r="X2401"/>
      <c r="AO2401"/>
    </row>
    <row r="2402" spans="24:41" x14ac:dyDescent="0.4">
      <c r="X2402"/>
      <c r="AO2402"/>
    </row>
    <row r="2403" spans="24:41" x14ac:dyDescent="0.4">
      <c r="X2403"/>
      <c r="AO2403"/>
    </row>
    <row r="2404" spans="24:41" x14ac:dyDescent="0.4">
      <c r="X2404"/>
      <c r="AO2404"/>
    </row>
    <row r="2405" spans="24:41" x14ac:dyDescent="0.4">
      <c r="X2405"/>
      <c r="AO2405"/>
    </row>
    <row r="2406" spans="24:41" x14ac:dyDescent="0.4">
      <c r="X2406"/>
      <c r="AO2406"/>
    </row>
    <row r="2407" spans="24:41" x14ac:dyDescent="0.4">
      <c r="X2407"/>
      <c r="AO2407"/>
    </row>
    <row r="2408" spans="24:41" x14ac:dyDescent="0.4">
      <c r="X2408"/>
      <c r="AO2408"/>
    </row>
    <row r="2409" spans="24:41" x14ac:dyDescent="0.4">
      <c r="X2409"/>
      <c r="AO2409"/>
    </row>
    <row r="2410" spans="24:41" x14ac:dyDescent="0.4">
      <c r="X2410"/>
      <c r="AO2410"/>
    </row>
    <row r="2411" spans="24:41" x14ac:dyDescent="0.4">
      <c r="X2411"/>
      <c r="AO2411"/>
    </row>
    <row r="2412" spans="24:41" x14ac:dyDescent="0.4">
      <c r="X2412"/>
      <c r="AO2412"/>
    </row>
    <row r="2413" spans="24:41" x14ac:dyDescent="0.4">
      <c r="X2413"/>
      <c r="AO2413"/>
    </row>
    <row r="2414" spans="24:41" x14ac:dyDescent="0.4">
      <c r="X2414"/>
      <c r="AO2414"/>
    </row>
    <row r="2415" spans="24:41" x14ac:dyDescent="0.4">
      <c r="X2415"/>
      <c r="AO2415"/>
    </row>
    <row r="2416" spans="24:41" x14ac:dyDescent="0.4">
      <c r="X2416"/>
      <c r="AO2416"/>
    </row>
    <row r="2417" spans="24:41" x14ac:dyDescent="0.4">
      <c r="X2417"/>
      <c r="AO2417"/>
    </row>
    <row r="2418" spans="24:41" x14ac:dyDescent="0.4">
      <c r="X2418"/>
      <c r="AO2418"/>
    </row>
    <row r="2419" spans="24:41" x14ac:dyDescent="0.4">
      <c r="X2419"/>
      <c r="AO2419"/>
    </row>
    <row r="2420" spans="24:41" x14ac:dyDescent="0.4">
      <c r="X2420"/>
      <c r="AO2420"/>
    </row>
    <row r="2421" spans="24:41" x14ac:dyDescent="0.4">
      <c r="X2421"/>
      <c r="AO2421"/>
    </row>
    <row r="2422" spans="24:41" x14ac:dyDescent="0.4">
      <c r="X2422"/>
      <c r="AO2422"/>
    </row>
    <row r="2423" spans="24:41" x14ac:dyDescent="0.4">
      <c r="X2423"/>
      <c r="AO2423"/>
    </row>
    <row r="2424" spans="24:41" x14ac:dyDescent="0.4">
      <c r="X2424"/>
      <c r="AO2424"/>
    </row>
    <row r="2425" spans="24:41" x14ac:dyDescent="0.4">
      <c r="X2425"/>
      <c r="AO2425"/>
    </row>
    <row r="2426" spans="24:41" x14ac:dyDescent="0.4">
      <c r="X2426"/>
      <c r="AO2426"/>
    </row>
    <row r="2427" spans="24:41" x14ac:dyDescent="0.4">
      <c r="X2427"/>
      <c r="AO2427"/>
    </row>
    <row r="2428" spans="24:41" x14ac:dyDescent="0.4">
      <c r="X2428"/>
      <c r="AO2428"/>
    </row>
    <row r="2429" spans="24:41" x14ac:dyDescent="0.4">
      <c r="X2429"/>
      <c r="AO2429"/>
    </row>
    <row r="2430" spans="24:41" x14ac:dyDescent="0.4">
      <c r="X2430"/>
      <c r="AO2430"/>
    </row>
    <row r="2431" spans="24:41" x14ac:dyDescent="0.4">
      <c r="X2431"/>
      <c r="AO2431"/>
    </row>
    <row r="2432" spans="24:41" x14ac:dyDescent="0.4">
      <c r="X2432"/>
      <c r="AO2432"/>
    </row>
    <row r="2433" spans="24:41" x14ac:dyDescent="0.4">
      <c r="X2433"/>
      <c r="AO2433"/>
    </row>
    <row r="2434" spans="24:41" x14ac:dyDescent="0.4">
      <c r="X2434"/>
      <c r="AO2434"/>
    </row>
    <row r="2435" spans="24:41" x14ac:dyDescent="0.4">
      <c r="X2435"/>
      <c r="AO2435"/>
    </row>
    <row r="2436" spans="24:41" x14ac:dyDescent="0.4">
      <c r="X2436"/>
      <c r="AO2436"/>
    </row>
    <row r="2437" spans="24:41" x14ac:dyDescent="0.4">
      <c r="X2437"/>
      <c r="AO2437"/>
    </row>
    <row r="2438" spans="24:41" x14ac:dyDescent="0.4">
      <c r="X2438"/>
      <c r="AO2438"/>
    </row>
    <row r="2439" spans="24:41" x14ac:dyDescent="0.4">
      <c r="X2439"/>
      <c r="AO2439"/>
    </row>
    <row r="2440" spans="24:41" x14ac:dyDescent="0.4">
      <c r="X2440"/>
      <c r="AO2440"/>
    </row>
    <row r="2441" spans="24:41" x14ac:dyDescent="0.4">
      <c r="X2441"/>
      <c r="AO2441"/>
    </row>
    <row r="2442" spans="24:41" x14ac:dyDescent="0.4">
      <c r="X2442"/>
      <c r="AO2442"/>
    </row>
    <row r="2443" spans="24:41" x14ac:dyDescent="0.4">
      <c r="X2443"/>
      <c r="AO2443"/>
    </row>
    <row r="2444" spans="24:41" x14ac:dyDescent="0.4">
      <c r="X2444"/>
      <c r="AO2444"/>
    </row>
    <row r="2445" spans="24:41" x14ac:dyDescent="0.4">
      <c r="X2445"/>
      <c r="AO2445"/>
    </row>
    <row r="2446" spans="24:41" x14ac:dyDescent="0.4">
      <c r="X2446"/>
      <c r="AO2446"/>
    </row>
    <row r="2447" spans="24:41" x14ac:dyDescent="0.4">
      <c r="X2447"/>
      <c r="AO2447"/>
    </row>
    <row r="2448" spans="24:41" x14ac:dyDescent="0.4">
      <c r="X2448"/>
      <c r="AO2448"/>
    </row>
    <row r="2449" spans="24:41" x14ac:dyDescent="0.4">
      <c r="X2449"/>
      <c r="AO2449"/>
    </row>
    <row r="2450" spans="24:41" x14ac:dyDescent="0.4">
      <c r="X2450"/>
      <c r="AO2450"/>
    </row>
    <row r="2451" spans="24:41" x14ac:dyDescent="0.4">
      <c r="X2451"/>
      <c r="AO2451"/>
    </row>
    <row r="2452" spans="24:41" x14ac:dyDescent="0.4">
      <c r="X2452"/>
      <c r="AO2452"/>
    </row>
    <row r="2453" spans="24:41" x14ac:dyDescent="0.4">
      <c r="X2453"/>
      <c r="AO2453"/>
    </row>
    <row r="2454" spans="24:41" x14ac:dyDescent="0.4">
      <c r="X2454"/>
      <c r="AO2454"/>
    </row>
    <row r="2455" spans="24:41" x14ac:dyDescent="0.4">
      <c r="X2455"/>
      <c r="AO2455"/>
    </row>
    <row r="2456" spans="24:41" x14ac:dyDescent="0.4">
      <c r="X2456"/>
      <c r="AO2456"/>
    </row>
    <row r="2457" spans="24:41" x14ac:dyDescent="0.4">
      <c r="X2457"/>
      <c r="AO2457"/>
    </row>
    <row r="2458" spans="24:41" x14ac:dyDescent="0.4">
      <c r="X2458"/>
      <c r="AO2458"/>
    </row>
    <row r="2459" spans="24:41" x14ac:dyDescent="0.4">
      <c r="X2459"/>
      <c r="AO2459"/>
    </row>
    <row r="2460" spans="24:41" x14ac:dyDescent="0.4">
      <c r="X2460"/>
      <c r="AO2460"/>
    </row>
    <row r="2461" spans="24:41" x14ac:dyDescent="0.4">
      <c r="X2461"/>
      <c r="AO2461"/>
    </row>
    <row r="2462" spans="24:41" x14ac:dyDescent="0.4">
      <c r="X2462"/>
      <c r="AO2462"/>
    </row>
    <row r="2463" spans="24:41" x14ac:dyDescent="0.4">
      <c r="X2463"/>
      <c r="AO2463"/>
    </row>
    <row r="2464" spans="24:41" x14ac:dyDescent="0.4">
      <c r="X2464"/>
      <c r="AO2464"/>
    </row>
    <row r="2465" spans="24:41" x14ac:dyDescent="0.4">
      <c r="X2465"/>
      <c r="AO2465"/>
    </row>
    <row r="2466" spans="24:41" x14ac:dyDescent="0.4">
      <c r="X2466"/>
      <c r="AO2466"/>
    </row>
    <row r="2467" spans="24:41" x14ac:dyDescent="0.4">
      <c r="X2467"/>
      <c r="AO2467"/>
    </row>
    <row r="2468" spans="24:41" x14ac:dyDescent="0.4">
      <c r="X2468"/>
      <c r="AO2468"/>
    </row>
    <row r="2469" spans="24:41" x14ac:dyDescent="0.4">
      <c r="X2469"/>
      <c r="AO2469"/>
    </row>
    <row r="2470" spans="24:41" x14ac:dyDescent="0.4">
      <c r="X2470"/>
      <c r="AO2470"/>
    </row>
    <row r="2471" spans="24:41" x14ac:dyDescent="0.4">
      <c r="X2471"/>
      <c r="AO2471"/>
    </row>
    <row r="2472" spans="24:41" x14ac:dyDescent="0.4">
      <c r="X2472"/>
      <c r="AO2472"/>
    </row>
    <row r="2473" spans="24:41" x14ac:dyDescent="0.4">
      <c r="X2473"/>
      <c r="AO2473"/>
    </row>
    <row r="2474" spans="24:41" x14ac:dyDescent="0.4">
      <c r="X2474"/>
      <c r="AO2474"/>
    </row>
    <row r="2475" spans="24:41" x14ac:dyDescent="0.4">
      <c r="X2475"/>
      <c r="AO2475"/>
    </row>
    <row r="2476" spans="24:41" x14ac:dyDescent="0.4">
      <c r="X2476"/>
      <c r="AO2476"/>
    </row>
    <row r="2477" spans="24:41" x14ac:dyDescent="0.4">
      <c r="X2477"/>
      <c r="AO2477"/>
    </row>
    <row r="2478" spans="24:41" x14ac:dyDescent="0.4">
      <c r="X2478"/>
      <c r="AO2478"/>
    </row>
    <row r="2479" spans="24:41" x14ac:dyDescent="0.4">
      <c r="X2479"/>
      <c r="AO2479"/>
    </row>
    <row r="2480" spans="24:41" x14ac:dyDescent="0.4">
      <c r="X2480"/>
      <c r="AO2480"/>
    </row>
    <row r="2481" spans="24:41" x14ac:dyDescent="0.4">
      <c r="X2481"/>
      <c r="AO2481"/>
    </row>
    <row r="2482" spans="24:41" x14ac:dyDescent="0.4">
      <c r="X2482"/>
      <c r="AO2482"/>
    </row>
    <row r="2483" spans="24:41" x14ac:dyDescent="0.4">
      <c r="X2483"/>
      <c r="AO2483"/>
    </row>
    <row r="2484" spans="24:41" x14ac:dyDescent="0.4">
      <c r="X2484"/>
      <c r="AO2484"/>
    </row>
    <row r="2485" spans="24:41" x14ac:dyDescent="0.4">
      <c r="X2485"/>
      <c r="AO2485"/>
    </row>
    <row r="2486" spans="24:41" x14ac:dyDescent="0.4">
      <c r="X2486"/>
      <c r="AO2486"/>
    </row>
    <row r="2487" spans="24:41" x14ac:dyDescent="0.4">
      <c r="X2487"/>
      <c r="AO2487"/>
    </row>
    <row r="2488" spans="24:41" x14ac:dyDescent="0.4">
      <c r="X2488"/>
      <c r="AO2488"/>
    </row>
    <row r="2489" spans="24:41" x14ac:dyDescent="0.4">
      <c r="X2489"/>
      <c r="AO2489"/>
    </row>
    <row r="2490" spans="24:41" x14ac:dyDescent="0.4">
      <c r="X2490"/>
      <c r="AO2490"/>
    </row>
    <row r="2491" spans="24:41" x14ac:dyDescent="0.4">
      <c r="X2491"/>
      <c r="AO2491"/>
    </row>
    <row r="2492" spans="24:41" x14ac:dyDescent="0.4">
      <c r="X2492"/>
      <c r="AO2492"/>
    </row>
    <row r="2493" spans="24:41" x14ac:dyDescent="0.4">
      <c r="X2493"/>
      <c r="AO2493"/>
    </row>
    <row r="2494" spans="24:41" x14ac:dyDescent="0.4">
      <c r="X2494"/>
      <c r="AO2494"/>
    </row>
    <row r="2495" spans="24:41" x14ac:dyDescent="0.4">
      <c r="X2495"/>
      <c r="AO2495"/>
    </row>
    <row r="2496" spans="24:41" x14ac:dyDescent="0.4">
      <c r="X2496"/>
      <c r="AO2496"/>
    </row>
    <row r="2497" spans="24:41" x14ac:dyDescent="0.4">
      <c r="X2497"/>
      <c r="AO2497"/>
    </row>
    <row r="2498" spans="24:41" x14ac:dyDescent="0.4">
      <c r="X2498"/>
      <c r="AO2498"/>
    </row>
    <row r="2499" spans="24:41" x14ac:dyDescent="0.4">
      <c r="X2499"/>
      <c r="AO2499"/>
    </row>
    <row r="2500" spans="24:41" x14ac:dyDescent="0.4">
      <c r="X2500"/>
      <c r="AO2500"/>
    </row>
    <row r="2501" spans="24:41" x14ac:dyDescent="0.4">
      <c r="X2501"/>
      <c r="AO2501"/>
    </row>
    <row r="2502" spans="24:41" x14ac:dyDescent="0.4">
      <c r="X2502"/>
      <c r="AO2502"/>
    </row>
    <row r="2503" spans="24:41" x14ac:dyDescent="0.4">
      <c r="X2503"/>
      <c r="AO2503"/>
    </row>
    <row r="2504" spans="24:41" x14ac:dyDescent="0.4">
      <c r="X2504"/>
      <c r="AO2504"/>
    </row>
    <row r="2505" spans="24:41" x14ac:dyDescent="0.4">
      <c r="X2505"/>
      <c r="AO2505"/>
    </row>
    <row r="2506" spans="24:41" x14ac:dyDescent="0.4">
      <c r="X2506"/>
      <c r="AO2506"/>
    </row>
    <row r="2507" spans="24:41" x14ac:dyDescent="0.4">
      <c r="X2507"/>
      <c r="AO2507"/>
    </row>
    <row r="2508" spans="24:41" x14ac:dyDescent="0.4">
      <c r="X2508"/>
      <c r="AO2508"/>
    </row>
    <row r="2509" spans="24:41" x14ac:dyDescent="0.4">
      <c r="X2509"/>
      <c r="AO2509"/>
    </row>
    <row r="2510" spans="24:41" x14ac:dyDescent="0.4">
      <c r="X2510"/>
      <c r="AO2510"/>
    </row>
    <row r="2511" spans="24:41" x14ac:dyDescent="0.4">
      <c r="X2511"/>
      <c r="AO2511"/>
    </row>
    <row r="2512" spans="24:41" x14ac:dyDescent="0.4">
      <c r="X2512"/>
      <c r="AO2512"/>
    </row>
    <row r="2513" spans="24:41" x14ac:dyDescent="0.4">
      <c r="X2513"/>
      <c r="AO2513"/>
    </row>
    <row r="2514" spans="24:41" x14ac:dyDescent="0.4">
      <c r="X2514"/>
      <c r="AO2514"/>
    </row>
    <row r="2515" spans="24:41" x14ac:dyDescent="0.4">
      <c r="X2515"/>
      <c r="AO2515"/>
    </row>
    <row r="2516" spans="24:41" x14ac:dyDescent="0.4">
      <c r="X2516"/>
      <c r="AO2516"/>
    </row>
    <row r="2517" spans="24:41" x14ac:dyDescent="0.4">
      <c r="X2517"/>
      <c r="AO2517"/>
    </row>
    <row r="2518" spans="24:41" x14ac:dyDescent="0.4">
      <c r="X2518"/>
      <c r="AO2518"/>
    </row>
    <row r="2519" spans="24:41" x14ac:dyDescent="0.4">
      <c r="X2519"/>
      <c r="AO2519"/>
    </row>
    <row r="2520" spans="24:41" x14ac:dyDescent="0.4">
      <c r="X2520"/>
      <c r="AO2520"/>
    </row>
    <row r="2521" spans="24:41" x14ac:dyDescent="0.4">
      <c r="X2521"/>
      <c r="AO2521"/>
    </row>
    <row r="2522" spans="24:41" x14ac:dyDescent="0.4">
      <c r="X2522"/>
      <c r="AO2522"/>
    </row>
    <row r="2523" spans="24:41" x14ac:dyDescent="0.4">
      <c r="X2523"/>
      <c r="AO2523"/>
    </row>
    <row r="2524" spans="24:41" x14ac:dyDescent="0.4">
      <c r="X2524"/>
      <c r="AO2524"/>
    </row>
    <row r="2525" spans="24:41" x14ac:dyDescent="0.4">
      <c r="X2525"/>
      <c r="AO2525"/>
    </row>
    <row r="2526" spans="24:41" x14ac:dyDescent="0.4">
      <c r="X2526"/>
      <c r="AO2526"/>
    </row>
    <row r="2527" spans="24:41" x14ac:dyDescent="0.4">
      <c r="X2527"/>
      <c r="AO2527"/>
    </row>
    <row r="2528" spans="24:41" x14ac:dyDescent="0.4">
      <c r="X2528"/>
      <c r="AO2528"/>
    </row>
    <row r="2529" spans="24:41" x14ac:dyDescent="0.4">
      <c r="X2529"/>
      <c r="AO2529"/>
    </row>
    <row r="2530" spans="24:41" x14ac:dyDescent="0.4">
      <c r="X2530"/>
      <c r="AO2530"/>
    </row>
    <row r="2531" spans="24:41" x14ac:dyDescent="0.4">
      <c r="X2531"/>
      <c r="AO2531"/>
    </row>
    <row r="2532" spans="24:41" x14ac:dyDescent="0.4">
      <c r="X2532"/>
      <c r="AO2532"/>
    </row>
    <row r="2533" spans="24:41" x14ac:dyDescent="0.4">
      <c r="X2533"/>
      <c r="AO2533"/>
    </row>
    <row r="2534" spans="24:41" x14ac:dyDescent="0.4">
      <c r="X2534"/>
      <c r="AO2534"/>
    </row>
    <row r="2535" spans="24:41" x14ac:dyDescent="0.4">
      <c r="X2535"/>
      <c r="AO2535"/>
    </row>
    <row r="2536" spans="24:41" x14ac:dyDescent="0.4">
      <c r="X2536"/>
      <c r="AO2536"/>
    </row>
    <row r="2537" spans="24:41" x14ac:dyDescent="0.4">
      <c r="X2537"/>
      <c r="AO2537"/>
    </row>
    <row r="2538" spans="24:41" x14ac:dyDescent="0.4">
      <c r="X2538"/>
      <c r="AO2538"/>
    </row>
    <row r="2539" spans="24:41" x14ac:dyDescent="0.4">
      <c r="X2539"/>
      <c r="AO2539"/>
    </row>
    <row r="2540" spans="24:41" x14ac:dyDescent="0.4">
      <c r="X2540"/>
      <c r="AO2540"/>
    </row>
    <row r="2541" spans="24:41" x14ac:dyDescent="0.4">
      <c r="X2541"/>
      <c r="AO2541"/>
    </row>
    <row r="2542" spans="24:41" x14ac:dyDescent="0.4">
      <c r="X2542"/>
      <c r="AO2542"/>
    </row>
    <row r="2543" spans="24:41" x14ac:dyDescent="0.4">
      <c r="X2543"/>
      <c r="AO2543"/>
    </row>
    <row r="2544" spans="24:41" x14ac:dyDescent="0.4">
      <c r="X2544"/>
      <c r="AO2544"/>
    </row>
    <row r="2545" spans="24:41" x14ac:dyDescent="0.4">
      <c r="X2545"/>
      <c r="AO2545"/>
    </row>
    <row r="2546" spans="24:41" x14ac:dyDescent="0.4">
      <c r="X2546"/>
      <c r="AO2546"/>
    </row>
    <row r="2547" spans="24:41" x14ac:dyDescent="0.4">
      <c r="X2547"/>
      <c r="AO2547"/>
    </row>
    <row r="2548" spans="24:41" x14ac:dyDescent="0.4">
      <c r="X2548"/>
      <c r="AO2548"/>
    </row>
    <row r="2549" spans="24:41" x14ac:dyDescent="0.4">
      <c r="X2549"/>
      <c r="AO2549"/>
    </row>
    <row r="2550" spans="24:41" x14ac:dyDescent="0.4">
      <c r="X2550"/>
      <c r="AO2550"/>
    </row>
    <row r="2551" spans="24:41" x14ac:dyDescent="0.4">
      <c r="X2551"/>
      <c r="AO2551"/>
    </row>
    <row r="2552" spans="24:41" x14ac:dyDescent="0.4">
      <c r="X2552"/>
      <c r="AO2552"/>
    </row>
    <row r="2553" spans="24:41" x14ac:dyDescent="0.4">
      <c r="X2553"/>
      <c r="AO2553"/>
    </row>
    <row r="2554" spans="24:41" x14ac:dyDescent="0.4">
      <c r="X2554"/>
      <c r="AO2554"/>
    </row>
    <row r="2555" spans="24:41" x14ac:dyDescent="0.4">
      <c r="X2555"/>
      <c r="AO2555"/>
    </row>
    <row r="2556" spans="24:41" x14ac:dyDescent="0.4">
      <c r="X2556"/>
      <c r="AO2556"/>
    </row>
    <row r="2557" spans="24:41" x14ac:dyDescent="0.4">
      <c r="X2557"/>
      <c r="AO2557"/>
    </row>
    <row r="2558" spans="24:41" x14ac:dyDescent="0.4">
      <c r="X2558"/>
      <c r="AO2558"/>
    </row>
    <row r="2559" spans="24:41" x14ac:dyDescent="0.4">
      <c r="X2559"/>
      <c r="AO2559"/>
    </row>
    <row r="2560" spans="24:41" x14ac:dyDescent="0.4">
      <c r="X2560"/>
      <c r="AO2560"/>
    </row>
    <row r="2561" spans="24:41" x14ac:dyDescent="0.4">
      <c r="X2561"/>
      <c r="AO2561"/>
    </row>
    <row r="2562" spans="24:41" x14ac:dyDescent="0.4">
      <c r="X2562"/>
      <c r="AO2562"/>
    </row>
    <row r="2563" spans="24:41" x14ac:dyDescent="0.4">
      <c r="X2563"/>
      <c r="AO2563"/>
    </row>
    <row r="2564" spans="24:41" x14ac:dyDescent="0.4">
      <c r="X2564"/>
      <c r="AO2564"/>
    </row>
    <row r="2565" spans="24:41" x14ac:dyDescent="0.4">
      <c r="X2565"/>
      <c r="AO2565"/>
    </row>
    <row r="2566" spans="24:41" x14ac:dyDescent="0.4">
      <c r="X2566"/>
      <c r="AO2566"/>
    </row>
    <row r="2567" spans="24:41" x14ac:dyDescent="0.4">
      <c r="X2567"/>
      <c r="AO2567"/>
    </row>
    <row r="2568" spans="24:41" x14ac:dyDescent="0.4">
      <c r="X2568"/>
      <c r="AO2568"/>
    </row>
    <row r="2569" spans="24:41" x14ac:dyDescent="0.4">
      <c r="X2569"/>
      <c r="AO2569"/>
    </row>
    <row r="2570" spans="24:41" x14ac:dyDescent="0.4">
      <c r="X2570"/>
      <c r="AO2570"/>
    </row>
    <row r="2571" spans="24:41" x14ac:dyDescent="0.4">
      <c r="X2571"/>
      <c r="AO2571"/>
    </row>
    <row r="2572" spans="24:41" x14ac:dyDescent="0.4">
      <c r="X2572"/>
      <c r="AO2572"/>
    </row>
    <row r="2573" spans="24:41" x14ac:dyDescent="0.4">
      <c r="X2573"/>
      <c r="AO2573"/>
    </row>
    <row r="2574" spans="24:41" x14ac:dyDescent="0.4">
      <c r="X2574"/>
      <c r="AO2574"/>
    </row>
    <row r="2575" spans="24:41" x14ac:dyDescent="0.4">
      <c r="X2575"/>
      <c r="AO2575"/>
    </row>
    <row r="2576" spans="24:41" x14ac:dyDescent="0.4">
      <c r="X2576"/>
      <c r="AO2576"/>
    </row>
    <row r="2577" spans="24:41" x14ac:dyDescent="0.4">
      <c r="X2577"/>
      <c r="AO2577"/>
    </row>
    <row r="2578" spans="24:41" x14ac:dyDescent="0.4">
      <c r="X2578"/>
      <c r="AO2578"/>
    </row>
    <row r="2579" spans="24:41" x14ac:dyDescent="0.4">
      <c r="X2579"/>
      <c r="AO2579"/>
    </row>
    <row r="2580" spans="24:41" x14ac:dyDescent="0.4">
      <c r="X2580"/>
      <c r="AO2580"/>
    </row>
    <row r="2581" spans="24:41" x14ac:dyDescent="0.4">
      <c r="X2581"/>
      <c r="AO2581"/>
    </row>
    <row r="2582" spans="24:41" x14ac:dyDescent="0.4">
      <c r="X2582"/>
      <c r="AO2582"/>
    </row>
    <row r="2583" spans="24:41" x14ac:dyDescent="0.4">
      <c r="X2583"/>
      <c r="AO2583"/>
    </row>
    <row r="2584" spans="24:41" x14ac:dyDescent="0.4">
      <c r="X2584"/>
      <c r="AO2584"/>
    </row>
    <row r="2585" spans="24:41" x14ac:dyDescent="0.4">
      <c r="X2585"/>
      <c r="AO2585"/>
    </row>
    <row r="2586" spans="24:41" x14ac:dyDescent="0.4">
      <c r="X2586"/>
      <c r="AO2586"/>
    </row>
    <row r="2587" spans="24:41" x14ac:dyDescent="0.4">
      <c r="X2587"/>
      <c r="AO2587"/>
    </row>
    <row r="2588" spans="24:41" x14ac:dyDescent="0.4">
      <c r="X2588"/>
      <c r="AO2588"/>
    </row>
    <row r="2589" spans="24:41" x14ac:dyDescent="0.4">
      <c r="X2589"/>
      <c r="AO2589"/>
    </row>
    <row r="2590" spans="24:41" x14ac:dyDescent="0.4">
      <c r="X2590"/>
      <c r="AO2590"/>
    </row>
    <row r="2591" spans="24:41" x14ac:dyDescent="0.4">
      <c r="X2591"/>
      <c r="AO2591"/>
    </row>
    <row r="2592" spans="24:41" x14ac:dyDescent="0.4">
      <c r="X2592"/>
      <c r="AO2592"/>
    </row>
    <row r="2593" spans="24:41" x14ac:dyDescent="0.4">
      <c r="X2593"/>
      <c r="AO2593"/>
    </row>
    <row r="2594" spans="24:41" x14ac:dyDescent="0.4">
      <c r="X2594"/>
      <c r="AO2594"/>
    </row>
    <row r="2595" spans="24:41" x14ac:dyDescent="0.4">
      <c r="X2595"/>
      <c r="AO2595"/>
    </row>
    <row r="2596" spans="24:41" x14ac:dyDescent="0.4">
      <c r="X2596"/>
      <c r="AO2596"/>
    </row>
    <row r="2597" spans="24:41" x14ac:dyDescent="0.4">
      <c r="X2597"/>
      <c r="AO2597"/>
    </row>
    <row r="2598" spans="24:41" x14ac:dyDescent="0.4">
      <c r="X2598"/>
      <c r="AO2598"/>
    </row>
    <row r="2599" spans="24:41" x14ac:dyDescent="0.4">
      <c r="X2599"/>
      <c r="AO2599"/>
    </row>
    <row r="2600" spans="24:41" x14ac:dyDescent="0.4">
      <c r="X2600"/>
      <c r="AO2600"/>
    </row>
    <row r="2601" spans="24:41" x14ac:dyDescent="0.4">
      <c r="X2601"/>
      <c r="AO2601"/>
    </row>
    <row r="2602" spans="24:41" x14ac:dyDescent="0.4">
      <c r="X2602"/>
      <c r="AO2602"/>
    </row>
    <row r="2603" spans="24:41" x14ac:dyDescent="0.4">
      <c r="X2603"/>
      <c r="AO2603"/>
    </row>
    <row r="2604" spans="24:41" x14ac:dyDescent="0.4">
      <c r="X2604"/>
      <c r="AO2604"/>
    </row>
    <row r="2605" spans="24:41" x14ac:dyDescent="0.4">
      <c r="X2605"/>
      <c r="AO2605"/>
    </row>
    <row r="2606" spans="24:41" x14ac:dyDescent="0.4">
      <c r="X2606"/>
      <c r="AO2606"/>
    </row>
    <row r="2607" spans="24:41" x14ac:dyDescent="0.4">
      <c r="X2607"/>
      <c r="AO2607"/>
    </row>
    <row r="2608" spans="24:41" x14ac:dyDescent="0.4">
      <c r="X2608"/>
      <c r="AO2608"/>
    </row>
    <row r="2609" spans="24:41" x14ac:dyDescent="0.4">
      <c r="X2609"/>
      <c r="AO2609"/>
    </row>
    <row r="2610" spans="24:41" x14ac:dyDescent="0.4">
      <c r="X2610"/>
      <c r="AO2610"/>
    </row>
    <row r="2611" spans="24:41" x14ac:dyDescent="0.4">
      <c r="X2611"/>
      <c r="AO2611"/>
    </row>
    <row r="2612" spans="24:41" x14ac:dyDescent="0.4">
      <c r="X2612"/>
      <c r="AO2612"/>
    </row>
    <row r="2613" spans="24:41" x14ac:dyDescent="0.4">
      <c r="X2613"/>
      <c r="AO2613"/>
    </row>
    <row r="2614" spans="24:41" x14ac:dyDescent="0.4">
      <c r="X2614"/>
      <c r="AO2614"/>
    </row>
    <row r="2615" spans="24:41" x14ac:dyDescent="0.4">
      <c r="X2615"/>
      <c r="AO2615"/>
    </row>
    <row r="2616" spans="24:41" x14ac:dyDescent="0.4">
      <c r="X2616"/>
      <c r="AO2616"/>
    </row>
    <row r="2617" spans="24:41" x14ac:dyDescent="0.4">
      <c r="X2617"/>
      <c r="AO2617"/>
    </row>
    <row r="2618" spans="24:41" x14ac:dyDescent="0.4">
      <c r="X2618"/>
      <c r="AO2618"/>
    </row>
    <row r="2619" spans="24:41" x14ac:dyDescent="0.4">
      <c r="X2619"/>
      <c r="AO2619"/>
    </row>
    <row r="2620" spans="24:41" x14ac:dyDescent="0.4">
      <c r="X2620"/>
      <c r="AO2620"/>
    </row>
    <row r="2621" spans="24:41" x14ac:dyDescent="0.4">
      <c r="X2621"/>
      <c r="AO2621"/>
    </row>
    <row r="2622" spans="24:41" x14ac:dyDescent="0.4">
      <c r="X2622"/>
      <c r="AO2622"/>
    </row>
    <row r="2623" spans="24:41" x14ac:dyDescent="0.4">
      <c r="X2623"/>
      <c r="AO2623"/>
    </row>
    <row r="2624" spans="24:41" x14ac:dyDescent="0.4">
      <c r="X2624"/>
      <c r="AO2624"/>
    </row>
    <row r="2625" spans="24:41" x14ac:dyDescent="0.4">
      <c r="X2625"/>
      <c r="AO2625"/>
    </row>
    <row r="2626" spans="24:41" x14ac:dyDescent="0.4">
      <c r="X2626"/>
      <c r="AO2626"/>
    </row>
    <row r="2627" spans="24:41" x14ac:dyDescent="0.4">
      <c r="X2627"/>
      <c r="AO2627"/>
    </row>
    <row r="2628" spans="24:41" x14ac:dyDescent="0.4">
      <c r="X2628"/>
      <c r="AO2628"/>
    </row>
    <row r="2629" spans="24:41" x14ac:dyDescent="0.4">
      <c r="X2629"/>
      <c r="AO2629"/>
    </row>
    <row r="2630" spans="24:41" x14ac:dyDescent="0.4">
      <c r="X2630"/>
      <c r="AO2630"/>
    </row>
    <row r="2631" spans="24:41" x14ac:dyDescent="0.4">
      <c r="X2631"/>
      <c r="AO2631"/>
    </row>
    <row r="2632" spans="24:41" x14ac:dyDescent="0.4">
      <c r="X2632"/>
      <c r="AO2632"/>
    </row>
    <row r="2633" spans="24:41" x14ac:dyDescent="0.4">
      <c r="X2633"/>
      <c r="AO2633"/>
    </row>
    <row r="2634" spans="24:41" x14ac:dyDescent="0.4">
      <c r="X2634"/>
      <c r="AO2634"/>
    </row>
    <row r="2635" spans="24:41" x14ac:dyDescent="0.4">
      <c r="X2635"/>
      <c r="AO2635"/>
    </row>
    <row r="2636" spans="24:41" x14ac:dyDescent="0.4">
      <c r="X2636"/>
      <c r="AO2636"/>
    </row>
    <row r="2637" spans="24:41" x14ac:dyDescent="0.4">
      <c r="X2637"/>
      <c r="AO2637"/>
    </row>
    <row r="2638" spans="24:41" x14ac:dyDescent="0.4">
      <c r="X2638"/>
      <c r="AO2638"/>
    </row>
    <row r="2639" spans="24:41" x14ac:dyDescent="0.4">
      <c r="X2639"/>
      <c r="AO2639"/>
    </row>
    <row r="2640" spans="24:41" x14ac:dyDescent="0.4">
      <c r="X2640"/>
      <c r="AO2640"/>
    </row>
    <row r="2641" spans="24:41" x14ac:dyDescent="0.4">
      <c r="X2641"/>
      <c r="AO2641"/>
    </row>
    <row r="2642" spans="24:41" x14ac:dyDescent="0.4">
      <c r="X2642"/>
      <c r="AO2642"/>
    </row>
    <row r="2643" spans="24:41" x14ac:dyDescent="0.4">
      <c r="X2643"/>
      <c r="AO2643"/>
    </row>
    <row r="2644" spans="24:41" x14ac:dyDescent="0.4">
      <c r="X2644"/>
      <c r="AO2644"/>
    </row>
    <row r="2645" spans="24:41" x14ac:dyDescent="0.4">
      <c r="X2645"/>
      <c r="AO2645"/>
    </row>
    <row r="2646" spans="24:41" x14ac:dyDescent="0.4">
      <c r="X2646"/>
      <c r="AO2646"/>
    </row>
    <row r="2647" spans="24:41" x14ac:dyDescent="0.4">
      <c r="X2647"/>
      <c r="AO2647"/>
    </row>
    <row r="2648" spans="24:41" x14ac:dyDescent="0.4">
      <c r="X2648"/>
      <c r="AO2648"/>
    </row>
    <row r="2649" spans="24:41" x14ac:dyDescent="0.4">
      <c r="X2649"/>
      <c r="AO2649"/>
    </row>
    <row r="2650" spans="24:41" x14ac:dyDescent="0.4">
      <c r="X2650"/>
      <c r="AO2650"/>
    </row>
    <row r="2651" spans="24:41" x14ac:dyDescent="0.4">
      <c r="X2651"/>
      <c r="AO2651"/>
    </row>
    <row r="2652" spans="24:41" x14ac:dyDescent="0.4">
      <c r="X2652"/>
      <c r="AO2652"/>
    </row>
    <row r="2653" spans="24:41" x14ac:dyDescent="0.4">
      <c r="X2653"/>
      <c r="AO2653"/>
    </row>
    <row r="2654" spans="24:41" x14ac:dyDescent="0.4">
      <c r="X2654"/>
      <c r="AO2654"/>
    </row>
    <row r="2655" spans="24:41" x14ac:dyDescent="0.4">
      <c r="X2655"/>
      <c r="AO2655"/>
    </row>
    <row r="2656" spans="24:41" x14ac:dyDescent="0.4">
      <c r="X2656"/>
      <c r="AO2656"/>
    </row>
    <row r="2657" spans="24:41" x14ac:dyDescent="0.4">
      <c r="X2657"/>
      <c r="AO2657"/>
    </row>
    <row r="2658" spans="24:41" x14ac:dyDescent="0.4">
      <c r="X2658"/>
      <c r="AO2658"/>
    </row>
    <row r="2659" spans="24:41" x14ac:dyDescent="0.4">
      <c r="X2659"/>
      <c r="AO2659"/>
    </row>
    <row r="2660" spans="24:41" x14ac:dyDescent="0.4">
      <c r="X2660"/>
      <c r="AO2660"/>
    </row>
    <row r="2661" spans="24:41" x14ac:dyDescent="0.4">
      <c r="X2661"/>
      <c r="AO2661"/>
    </row>
    <row r="2662" spans="24:41" x14ac:dyDescent="0.4">
      <c r="X2662"/>
      <c r="AO2662"/>
    </row>
    <row r="2663" spans="24:41" x14ac:dyDescent="0.4">
      <c r="X2663"/>
      <c r="AO2663"/>
    </row>
    <row r="2664" spans="24:41" x14ac:dyDescent="0.4">
      <c r="X2664"/>
      <c r="AO2664"/>
    </row>
    <row r="2665" spans="24:41" x14ac:dyDescent="0.4">
      <c r="X2665"/>
      <c r="AO2665"/>
    </row>
    <row r="2666" spans="24:41" x14ac:dyDescent="0.4">
      <c r="X2666"/>
      <c r="AO2666"/>
    </row>
    <row r="2667" spans="24:41" x14ac:dyDescent="0.4">
      <c r="X2667"/>
      <c r="AO2667"/>
    </row>
    <row r="2668" spans="24:41" x14ac:dyDescent="0.4">
      <c r="X2668"/>
      <c r="AO2668"/>
    </row>
    <row r="2669" spans="24:41" x14ac:dyDescent="0.4">
      <c r="X2669"/>
      <c r="AO2669"/>
    </row>
    <row r="2670" spans="24:41" x14ac:dyDescent="0.4">
      <c r="X2670"/>
      <c r="AO2670"/>
    </row>
    <row r="2671" spans="24:41" x14ac:dyDescent="0.4">
      <c r="X2671"/>
      <c r="AO2671"/>
    </row>
    <row r="2672" spans="24:41" x14ac:dyDescent="0.4">
      <c r="X2672"/>
      <c r="AO2672"/>
    </row>
    <row r="2673" spans="24:41" x14ac:dyDescent="0.4">
      <c r="X2673"/>
      <c r="AO2673"/>
    </row>
    <row r="2674" spans="24:41" x14ac:dyDescent="0.4">
      <c r="X2674"/>
      <c r="AO2674"/>
    </row>
    <row r="2675" spans="24:41" x14ac:dyDescent="0.4">
      <c r="X2675"/>
      <c r="AO2675"/>
    </row>
    <row r="2676" spans="24:41" x14ac:dyDescent="0.4">
      <c r="X2676"/>
      <c r="AO2676"/>
    </row>
    <row r="2677" spans="24:41" x14ac:dyDescent="0.4">
      <c r="X2677"/>
      <c r="AO2677"/>
    </row>
    <row r="2678" spans="24:41" x14ac:dyDescent="0.4">
      <c r="X2678"/>
      <c r="AO2678"/>
    </row>
    <row r="2679" spans="24:41" x14ac:dyDescent="0.4">
      <c r="X2679"/>
      <c r="AO2679"/>
    </row>
    <row r="2680" spans="24:41" x14ac:dyDescent="0.4">
      <c r="X2680"/>
      <c r="AO2680"/>
    </row>
    <row r="2681" spans="24:41" x14ac:dyDescent="0.4">
      <c r="X2681"/>
      <c r="AO2681"/>
    </row>
    <row r="2682" spans="24:41" x14ac:dyDescent="0.4">
      <c r="X2682"/>
      <c r="AO2682"/>
    </row>
    <row r="2683" spans="24:41" x14ac:dyDescent="0.4">
      <c r="X2683"/>
      <c r="AO2683"/>
    </row>
    <row r="2684" spans="24:41" x14ac:dyDescent="0.4">
      <c r="X2684"/>
      <c r="AO2684"/>
    </row>
    <row r="2685" spans="24:41" x14ac:dyDescent="0.4">
      <c r="X2685"/>
      <c r="AO2685"/>
    </row>
    <row r="2686" spans="24:41" x14ac:dyDescent="0.4">
      <c r="X2686"/>
      <c r="AO2686"/>
    </row>
    <row r="2687" spans="24:41" x14ac:dyDescent="0.4">
      <c r="X2687"/>
      <c r="AO2687"/>
    </row>
    <row r="2688" spans="24:41" x14ac:dyDescent="0.4">
      <c r="X2688"/>
      <c r="AO2688"/>
    </row>
    <row r="2689" spans="24:41" x14ac:dyDescent="0.4">
      <c r="X2689"/>
      <c r="AO2689"/>
    </row>
    <row r="2690" spans="24:41" x14ac:dyDescent="0.4">
      <c r="X2690"/>
      <c r="AO2690"/>
    </row>
    <row r="2691" spans="24:41" x14ac:dyDescent="0.4">
      <c r="X2691"/>
      <c r="AO2691"/>
    </row>
    <row r="2692" spans="24:41" x14ac:dyDescent="0.4">
      <c r="X2692"/>
      <c r="AO2692"/>
    </row>
    <row r="2693" spans="24:41" x14ac:dyDescent="0.4">
      <c r="X2693"/>
      <c r="AO2693"/>
    </row>
    <row r="2694" spans="24:41" x14ac:dyDescent="0.4">
      <c r="X2694"/>
      <c r="AO2694"/>
    </row>
    <row r="2695" spans="24:41" x14ac:dyDescent="0.4">
      <c r="X2695"/>
      <c r="AO2695"/>
    </row>
    <row r="2696" spans="24:41" x14ac:dyDescent="0.4">
      <c r="X2696"/>
      <c r="AO2696"/>
    </row>
    <row r="2697" spans="24:41" x14ac:dyDescent="0.4">
      <c r="X2697"/>
      <c r="AO2697"/>
    </row>
    <row r="2698" spans="24:41" x14ac:dyDescent="0.4">
      <c r="X2698"/>
      <c r="AO2698"/>
    </row>
    <row r="2699" spans="24:41" x14ac:dyDescent="0.4">
      <c r="X2699"/>
      <c r="AO2699"/>
    </row>
    <row r="2700" spans="24:41" x14ac:dyDescent="0.4">
      <c r="X2700"/>
      <c r="AO2700"/>
    </row>
    <row r="2701" spans="24:41" x14ac:dyDescent="0.4">
      <c r="X2701"/>
      <c r="AO2701"/>
    </row>
    <row r="2702" spans="24:41" x14ac:dyDescent="0.4">
      <c r="X2702"/>
      <c r="AO2702"/>
    </row>
    <row r="2703" spans="24:41" x14ac:dyDescent="0.4">
      <c r="X2703"/>
      <c r="AO2703"/>
    </row>
    <row r="2704" spans="24:41" x14ac:dyDescent="0.4">
      <c r="X2704"/>
      <c r="AO2704"/>
    </row>
    <row r="2705" spans="24:41" x14ac:dyDescent="0.4">
      <c r="X2705"/>
      <c r="AO2705"/>
    </row>
    <row r="2706" spans="24:41" x14ac:dyDescent="0.4">
      <c r="X2706"/>
      <c r="AO2706"/>
    </row>
    <row r="2707" spans="24:41" x14ac:dyDescent="0.4">
      <c r="X2707"/>
      <c r="AO2707"/>
    </row>
    <row r="2708" spans="24:41" x14ac:dyDescent="0.4">
      <c r="X2708"/>
      <c r="AO2708"/>
    </row>
    <row r="2709" spans="24:41" x14ac:dyDescent="0.4">
      <c r="X2709"/>
      <c r="AO2709"/>
    </row>
    <row r="2710" spans="24:41" x14ac:dyDescent="0.4">
      <c r="X2710"/>
      <c r="AO2710"/>
    </row>
    <row r="2711" spans="24:41" x14ac:dyDescent="0.4">
      <c r="X2711"/>
      <c r="AO2711"/>
    </row>
    <row r="2712" spans="24:41" x14ac:dyDescent="0.4">
      <c r="X2712"/>
      <c r="AO2712"/>
    </row>
    <row r="2713" spans="24:41" x14ac:dyDescent="0.4">
      <c r="X2713"/>
      <c r="AO2713"/>
    </row>
    <row r="2714" spans="24:41" x14ac:dyDescent="0.4">
      <c r="X2714"/>
      <c r="AO2714"/>
    </row>
    <row r="2715" spans="24:41" x14ac:dyDescent="0.4">
      <c r="X2715"/>
      <c r="AO2715"/>
    </row>
    <row r="2716" spans="24:41" x14ac:dyDescent="0.4">
      <c r="X2716"/>
      <c r="AO2716"/>
    </row>
    <row r="2717" spans="24:41" x14ac:dyDescent="0.4">
      <c r="X2717"/>
      <c r="AO2717"/>
    </row>
    <row r="2718" spans="24:41" x14ac:dyDescent="0.4">
      <c r="X2718"/>
      <c r="AO2718"/>
    </row>
    <row r="2719" spans="24:41" x14ac:dyDescent="0.4">
      <c r="X2719"/>
      <c r="AO2719"/>
    </row>
    <row r="2720" spans="24:41" x14ac:dyDescent="0.4">
      <c r="X2720"/>
      <c r="AO2720"/>
    </row>
    <row r="2721" spans="24:41" x14ac:dyDescent="0.4">
      <c r="X2721"/>
      <c r="AO2721"/>
    </row>
    <row r="2722" spans="24:41" x14ac:dyDescent="0.4">
      <c r="X2722"/>
      <c r="AO2722"/>
    </row>
    <row r="2723" spans="24:41" x14ac:dyDescent="0.4">
      <c r="X2723"/>
      <c r="AO2723"/>
    </row>
    <row r="2724" spans="24:41" x14ac:dyDescent="0.4">
      <c r="X2724"/>
      <c r="AO2724"/>
    </row>
    <row r="2725" spans="24:41" x14ac:dyDescent="0.4">
      <c r="X2725"/>
      <c r="AO2725"/>
    </row>
    <row r="2726" spans="24:41" x14ac:dyDescent="0.4">
      <c r="X2726"/>
      <c r="AO2726"/>
    </row>
    <row r="2727" spans="24:41" x14ac:dyDescent="0.4">
      <c r="X2727"/>
      <c r="AO2727"/>
    </row>
    <row r="2728" spans="24:41" x14ac:dyDescent="0.4">
      <c r="X2728"/>
      <c r="AO2728"/>
    </row>
    <row r="2729" spans="24:41" x14ac:dyDescent="0.4">
      <c r="X2729"/>
      <c r="AO2729"/>
    </row>
    <row r="2730" spans="24:41" x14ac:dyDescent="0.4">
      <c r="X2730"/>
      <c r="AO2730"/>
    </row>
    <row r="2731" spans="24:41" x14ac:dyDescent="0.4">
      <c r="X2731"/>
      <c r="AO2731"/>
    </row>
    <row r="2732" spans="24:41" x14ac:dyDescent="0.4">
      <c r="X2732"/>
      <c r="AO2732"/>
    </row>
    <row r="2733" spans="24:41" x14ac:dyDescent="0.4">
      <c r="X2733"/>
      <c r="AO2733"/>
    </row>
    <row r="2734" spans="24:41" x14ac:dyDescent="0.4">
      <c r="X2734"/>
      <c r="AO2734"/>
    </row>
    <row r="2735" spans="24:41" x14ac:dyDescent="0.4">
      <c r="X2735"/>
      <c r="AO2735"/>
    </row>
    <row r="2736" spans="24:41" x14ac:dyDescent="0.4">
      <c r="X2736"/>
      <c r="AO2736"/>
    </row>
    <row r="2737" spans="24:41" x14ac:dyDescent="0.4">
      <c r="X2737"/>
      <c r="AO2737"/>
    </row>
    <row r="2738" spans="24:41" x14ac:dyDescent="0.4">
      <c r="X2738"/>
      <c r="AO2738"/>
    </row>
    <row r="2739" spans="24:41" x14ac:dyDescent="0.4">
      <c r="X2739"/>
      <c r="AO2739"/>
    </row>
    <row r="2740" spans="24:41" x14ac:dyDescent="0.4">
      <c r="X2740"/>
      <c r="AO2740"/>
    </row>
    <row r="2741" spans="24:41" x14ac:dyDescent="0.4">
      <c r="X2741"/>
      <c r="AO2741"/>
    </row>
    <row r="2742" spans="24:41" x14ac:dyDescent="0.4">
      <c r="X2742"/>
      <c r="AO2742"/>
    </row>
    <row r="2743" spans="24:41" x14ac:dyDescent="0.4">
      <c r="X2743"/>
      <c r="AO2743"/>
    </row>
    <row r="2744" spans="24:41" x14ac:dyDescent="0.4">
      <c r="X2744"/>
      <c r="AO2744"/>
    </row>
    <row r="2745" spans="24:41" x14ac:dyDescent="0.4">
      <c r="X2745"/>
      <c r="AO2745"/>
    </row>
    <row r="2746" spans="24:41" x14ac:dyDescent="0.4">
      <c r="X2746"/>
      <c r="AO2746"/>
    </row>
    <row r="2747" spans="24:41" x14ac:dyDescent="0.4">
      <c r="X2747"/>
      <c r="AO2747"/>
    </row>
    <row r="2748" spans="24:41" x14ac:dyDescent="0.4">
      <c r="X2748"/>
      <c r="AO2748"/>
    </row>
    <row r="2749" spans="24:41" x14ac:dyDescent="0.4">
      <c r="X2749"/>
      <c r="AO2749"/>
    </row>
    <row r="2750" spans="24:41" x14ac:dyDescent="0.4">
      <c r="X2750"/>
      <c r="AO2750"/>
    </row>
    <row r="2751" spans="24:41" x14ac:dyDescent="0.4">
      <c r="X2751"/>
      <c r="AO2751"/>
    </row>
    <row r="2752" spans="24:41" x14ac:dyDescent="0.4">
      <c r="X2752"/>
      <c r="AO2752"/>
    </row>
    <row r="2753" spans="24:41" x14ac:dyDescent="0.4">
      <c r="X2753"/>
      <c r="AO2753"/>
    </row>
    <row r="2754" spans="24:41" x14ac:dyDescent="0.4">
      <c r="X2754"/>
      <c r="AO2754"/>
    </row>
    <row r="2755" spans="24:41" x14ac:dyDescent="0.4">
      <c r="X2755"/>
      <c r="AO2755"/>
    </row>
    <row r="2756" spans="24:41" x14ac:dyDescent="0.4">
      <c r="X2756"/>
      <c r="AO2756"/>
    </row>
    <row r="2757" spans="24:41" x14ac:dyDescent="0.4">
      <c r="X2757"/>
      <c r="AO2757"/>
    </row>
    <row r="2758" spans="24:41" x14ac:dyDescent="0.4">
      <c r="X2758"/>
      <c r="AO2758"/>
    </row>
    <row r="2759" spans="24:41" x14ac:dyDescent="0.4">
      <c r="X2759"/>
      <c r="AO2759"/>
    </row>
    <row r="2760" spans="24:41" x14ac:dyDescent="0.4">
      <c r="X2760"/>
      <c r="AO2760"/>
    </row>
    <row r="2761" spans="24:41" x14ac:dyDescent="0.4">
      <c r="X2761"/>
      <c r="AO2761"/>
    </row>
    <row r="2762" spans="24:41" x14ac:dyDescent="0.4">
      <c r="X2762"/>
      <c r="AO2762"/>
    </row>
    <row r="2763" spans="24:41" x14ac:dyDescent="0.4">
      <c r="X2763"/>
      <c r="AO2763"/>
    </row>
    <row r="2764" spans="24:41" x14ac:dyDescent="0.4">
      <c r="X2764"/>
      <c r="AO2764"/>
    </row>
    <row r="2765" spans="24:41" x14ac:dyDescent="0.4">
      <c r="X2765"/>
      <c r="AO2765"/>
    </row>
    <row r="2766" spans="24:41" x14ac:dyDescent="0.4">
      <c r="X2766"/>
      <c r="AO2766"/>
    </row>
    <row r="2767" spans="24:41" x14ac:dyDescent="0.4">
      <c r="X2767"/>
      <c r="AO2767"/>
    </row>
    <row r="2768" spans="24:41" x14ac:dyDescent="0.4">
      <c r="X2768"/>
      <c r="AO2768"/>
    </row>
    <row r="2769" spans="24:41" x14ac:dyDescent="0.4">
      <c r="X2769"/>
      <c r="AO2769"/>
    </row>
    <row r="2770" spans="24:41" x14ac:dyDescent="0.4">
      <c r="X2770"/>
      <c r="AO2770"/>
    </row>
    <row r="2771" spans="24:41" x14ac:dyDescent="0.4">
      <c r="X2771"/>
      <c r="AO2771"/>
    </row>
    <row r="2772" spans="24:41" x14ac:dyDescent="0.4">
      <c r="X2772"/>
      <c r="AO2772"/>
    </row>
    <row r="2773" spans="24:41" x14ac:dyDescent="0.4">
      <c r="X2773"/>
      <c r="AO2773"/>
    </row>
    <row r="2774" spans="24:41" x14ac:dyDescent="0.4">
      <c r="X2774"/>
      <c r="AO2774"/>
    </row>
    <row r="2775" spans="24:41" x14ac:dyDescent="0.4">
      <c r="X2775"/>
      <c r="AO2775"/>
    </row>
    <row r="2776" spans="24:41" x14ac:dyDescent="0.4">
      <c r="X2776"/>
      <c r="AO2776"/>
    </row>
    <row r="2777" spans="24:41" x14ac:dyDescent="0.4">
      <c r="X2777"/>
      <c r="AO2777"/>
    </row>
    <row r="2778" spans="24:41" x14ac:dyDescent="0.4">
      <c r="X2778"/>
      <c r="AO2778"/>
    </row>
    <row r="2779" spans="24:41" x14ac:dyDescent="0.4">
      <c r="X2779"/>
      <c r="AO2779"/>
    </row>
    <row r="2780" spans="24:41" x14ac:dyDescent="0.4">
      <c r="X2780"/>
      <c r="AO2780"/>
    </row>
    <row r="2781" spans="24:41" x14ac:dyDescent="0.4">
      <c r="X2781"/>
      <c r="AO2781"/>
    </row>
    <row r="2782" spans="24:41" x14ac:dyDescent="0.4">
      <c r="X2782"/>
      <c r="AO2782"/>
    </row>
    <row r="2783" spans="24:41" x14ac:dyDescent="0.4">
      <c r="X2783"/>
      <c r="AO2783"/>
    </row>
    <row r="2784" spans="24:41" x14ac:dyDescent="0.4">
      <c r="X2784"/>
      <c r="AO2784"/>
    </row>
    <row r="2785" spans="24:41" x14ac:dyDescent="0.4">
      <c r="X2785"/>
      <c r="AO2785"/>
    </row>
    <row r="2786" spans="24:41" x14ac:dyDescent="0.4">
      <c r="X2786"/>
      <c r="AO2786"/>
    </row>
    <row r="2787" spans="24:41" x14ac:dyDescent="0.4">
      <c r="X2787"/>
      <c r="AO2787"/>
    </row>
    <row r="2788" spans="24:41" x14ac:dyDescent="0.4">
      <c r="X2788"/>
      <c r="AO2788"/>
    </row>
    <row r="2789" spans="24:41" x14ac:dyDescent="0.4">
      <c r="X2789"/>
      <c r="AO2789"/>
    </row>
    <row r="2790" spans="24:41" x14ac:dyDescent="0.4">
      <c r="X2790"/>
      <c r="AO2790"/>
    </row>
    <row r="2791" spans="24:41" x14ac:dyDescent="0.4">
      <c r="X2791"/>
      <c r="AO2791"/>
    </row>
    <row r="2792" spans="24:41" x14ac:dyDescent="0.4">
      <c r="X2792"/>
      <c r="AO2792"/>
    </row>
    <row r="2793" spans="24:41" x14ac:dyDescent="0.4">
      <c r="X2793"/>
      <c r="AO2793"/>
    </row>
    <row r="2794" spans="24:41" x14ac:dyDescent="0.4">
      <c r="X2794"/>
      <c r="AO2794"/>
    </row>
    <row r="2795" spans="24:41" x14ac:dyDescent="0.4">
      <c r="X2795"/>
      <c r="AO2795"/>
    </row>
    <row r="2796" spans="24:41" x14ac:dyDescent="0.4">
      <c r="X2796"/>
      <c r="AO2796"/>
    </row>
    <row r="2797" spans="24:41" x14ac:dyDescent="0.4">
      <c r="X2797"/>
      <c r="AO2797"/>
    </row>
    <row r="2798" spans="24:41" x14ac:dyDescent="0.4">
      <c r="X2798"/>
      <c r="AO2798"/>
    </row>
    <row r="2799" spans="24:41" x14ac:dyDescent="0.4">
      <c r="X2799"/>
      <c r="AO2799"/>
    </row>
    <row r="2800" spans="24:41" x14ac:dyDescent="0.4">
      <c r="X2800"/>
      <c r="AO2800"/>
    </row>
    <row r="2801" spans="24:41" x14ac:dyDescent="0.4">
      <c r="X2801"/>
      <c r="AO2801"/>
    </row>
    <row r="2802" spans="24:41" x14ac:dyDescent="0.4">
      <c r="X2802"/>
      <c r="AO2802"/>
    </row>
    <row r="2803" spans="24:41" x14ac:dyDescent="0.4">
      <c r="X2803"/>
      <c r="AO2803"/>
    </row>
    <row r="2804" spans="24:41" x14ac:dyDescent="0.4">
      <c r="X2804"/>
      <c r="AO2804"/>
    </row>
    <row r="2805" spans="24:41" x14ac:dyDescent="0.4">
      <c r="X2805"/>
      <c r="AO2805"/>
    </row>
    <row r="2806" spans="24:41" x14ac:dyDescent="0.4">
      <c r="X2806"/>
      <c r="AO2806"/>
    </row>
    <row r="2807" spans="24:41" x14ac:dyDescent="0.4">
      <c r="X2807"/>
      <c r="AO2807"/>
    </row>
    <row r="2808" spans="24:41" x14ac:dyDescent="0.4">
      <c r="X2808"/>
      <c r="AO2808"/>
    </row>
    <row r="2809" spans="24:41" x14ac:dyDescent="0.4">
      <c r="X2809"/>
      <c r="AO2809"/>
    </row>
    <row r="2810" spans="24:41" x14ac:dyDescent="0.4">
      <c r="X2810"/>
      <c r="AO2810"/>
    </row>
    <row r="2811" spans="24:41" x14ac:dyDescent="0.4">
      <c r="X2811"/>
      <c r="AO2811"/>
    </row>
    <row r="2812" spans="24:41" x14ac:dyDescent="0.4">
      <c r="X2812"/>
      <c r="AO2812"/>
    </row>
    <row r="2813" spans="24:41" x14ac:dyDescent="0.4">
      <c r="X2813"/>
      <c r="AO2813"/>
    </row>
    <row r="2814" spans="24:41" x14ac:dyDescent="0.4">
      <c r="X2814"/>
      <c r="AO2814"/>
    </row>
    <row r="2815" spans="24:41" x14ac:dyDescent="0.4">
      <c r="X2815"/>
      <c r="AO2815"/>
    </row>
    <row r="2816" spans="24:41" x14ac:dyDescent="0.4">
      <c r="X2816"/>
      <c r="AO2816"/>
    </row>
    <row r="2817" spans="24:41" x14ac:dyDescent="0.4">
      <c r="X2817"/>
      <c r="AO2817"/>
    </row>
    <row r="2818" spans="24:41" x14ac:dyDescent="0.4">
      <c r="X2818"/>
      <c r="AO2818"/>
    </row>
    <row r="2819" spans="24:41" x14ac:dyDescent="0.4">
      <c r="X2819"/>
      <c r="AO2819"/>
    </row>
    <row r="2820" spans="24:41" x14ac:dyDescent="0.4">
      <c r="X2820"/>
      <c r="AO2820"/>
    </row>
    <row r="2821" spans="24:41" x14ac:dyDescent="0.4">
      <c r="X2821"/>
      <c r="AO2821"/>
    </row>
    <row r="2822" spans="24:41" x14ac:dyDescent="0.4">
      <c r="X2822"/>
      <c r="AO2822"/>
    </row>
    <row r="2823" spans="24:41" x14ac:dyDescent="0.4">
      <c r="X2823"/>
      <c r="AO2823"/>
    </row>
    <row r="2824" spans="24:41" x14ac:dyDescent="0.4">
      <c r="X2824"/>
      <c r="AO2824"/>
    </row>
    <row r="2825" spans="24:41" x14ac:dyDescent="0.4">
      <c r="X2825"/>
      <c r="AO2825"/>
    </row>
    <row r="2826" spans="24:41" x14ac:dyDescent="0.4">
      <c r="X2826"/>
      <c r="AO2826"/>
    </row>
    <row r="2827" spans="24:41" x14ac:dyDescent="0.4">
      <c r="X2827"/>
      <c r="AO2827"/>
    </row>
    <row r="2828" spans="24:41" x14ac:dyDescent="0.4">
      <c r="X2828"/>
      <c r="AO2828"/>
    </row>
    <row r="2829" spans="24:41" x14ac:dyDescent="0.4">
      <c r="X2829"/>
      <c r="AO2829"/>
    </row>
    <row r="2830" spans="24:41" x14ac:dyDescent="0.4">
      <c r="X2830"/>
      <c r="AO2830"/>
    </row>
    <row r="2831" spans="24:41" x14ac:dyDescent="0.4">
      <c r="X2831"/>
      <c r="AO2831"/>
    </row>
    <row r="2832" spans="24:41" x14ac:dyDescent="0.4">
      <c r="X2832"/>
      <c r="AO2832"/>
    </row>
    <row r="2833" spans="24:41" x14ac:dyDescent="0.4">
      <c r="X2833"/>
      <c r="AO2833"/>
    </row>
    <row r="2834" spans="24:41" x14ac:dyDescent="0.4">
      <c r="X2834"/>
      <c r="AO2834"/>
    </row>
    <row r="2835" spans="24:41" x14ac:dyDescent="0.4">
      <c r="X2835"/>
      <c r="AO2835"/>
    </row>
    <row r="2836" spans="24:41" x14ac:dyDescent="0.4">
      <c r="X2836"/>
      <c r="AO2836"/>
    </row>
    <row r="2837" spans="24:41" x14ac:dyDescent="0.4">
      <c r="X2837"/>
      <c r="AO2837"/>
    </row>
    <row r="2838" spans="24:41" x14ac:dyDescent="0.4">
      <c r="X2838"/>
      <c r="AO2838"/>
    </row>
    <row r="2839" spans="24:41" x14ac:dyDescent="0.4">
      <c r="X2839"/>
      <c r="AO2839"/>
    </row>
    <row r="2840" spans="24:41" x14ac:dyDescent="0.4">
      <c r="X2840"/>
      <c r="AO2840"/>
    </row>
    <row r="2841" spans="24:41" x14ac:dyDescent="0.4">
      <c r="X2841"/>
      <c r="AO2841"/>
    </row>
    <row r="2842" spans="24:41" x14ac:dyDescent="0.4">
      <c r="X2842"/>
      <c r="AO2842"/>
    </row>
    <row r="2843" spans="24:41" x14ac:dyDescent="0.4">
      <c r="X2843"/>
      <c r="AO2843"/>
    </row>
    <row r="2844" spans="24:41" x14ac:dyDescent="0.4">
      <c r="X2844"/>
      <c r="AO2844"/>
    </row>
    <row r="2845" spans="24:41" x14ac:dyDescent="0.4">
      <c r="X2845"/>
      <c r="AO2845"/>
    </row>
    <row r="2846" spans="24:41" x14ac:dyDescent="0.4">
      <c r="X2846"/>
      <c r="AO2846"/>
    </row>
    <row r="2847" spans="24:41" x14ac:dyDescent="0.4">
      <c r="X2847"/>
      <c r="AO2847"/>
    </row>
    <row r="2848" spans="24:41" x14ac:dyDescent="0.4">
      <c r="X2848"/>
      <c r="AO2848"/>
    </row>
    <row r="2849" spans="24:41" x14ac:dyDescent="0.4">
      <c r="X2849"/>
      <c r="AO2849"/>
    </row>
    <row r="2850" spans="24:41" x14ac:dyDescent="0.4">
      <c r="X2850"/>
      <c r="AO2850"/>
    </row>
    <row r="2851" spans="24:41" x14ac:dyDescent="0.4">
      <c r="X2851"/>
      <c r="AO2851"/>
    </row>
    <row r="2852" spans="24:41" x14ac:dyDescent="0.4">
      <c r="X2852"/>
      <c r="AO2852"/>
    </row>
    <row r="2853" spans="24:41" x14ac:dyDescent="0.4">
      <c r="X2853"/>
      <c r="AO2853"/>
    </row>
    <row r="2854" spans="24:41" x14ac:dyDescent="0.4">
      <c r="X2854"/>
      <c r="AO2854"/>
    </row>
    <row r="2855" spans="24:41" x14ac:dyDescent="0.4">
      <c r="X2855"/>
      <c r="AO2855"/>
    </row>
    <row r="2856" spans="24:41" x14ac:dyDescent="0.4">
      <c r="X2856"/>
      <c r="AO2856"/>
    </row>
    <row r="2857" spans="24:41" x14ac:dyDescent="0.4">
      <c r="X2857"/>
      <c r="AO2857"/>
    </row>
    <row r="2858" spans="24:41" x14ac:dyDescent="0.4">
      <c r="X2858"/>
      <c r="AO2858"/>
    </row>
    <row r="2859" spans="24:41" x14ac:dyDescent="0.4">
      <c r="X2859"/>
      <c r="AO2859"/>
    </row>
    <row r="2860" spans="24:41" x14ac:dyDescent="0.4">
      <c r="X2860"/>
      <c r="AO2860"/>
    </row>
    <row r="2861" spans="24:41" x14ac:dyDescent="0.4">
      <c r="X2861"/>
      <c r="AO2861"/>
    </row>
    <row r="2862" spans="24:41" x14ac:dyDescent="0.4">
      <c r="X2862"/>
      <c r="AO2862"/>
    </row>
    <row r="2863" spans="24:41" x14ac:dyDescent="0.4">
      <c r="X2863"/>
      <c r="AO2863"/>
    </row>
    <row r="2864" spans="24:41" x14ac:dyDescent="0.4">
      <c r="X2864"/>
      <c r="AO2864"/>
    </row>
    <row r="2865" spans="24:41" x14ac:dyDescent="0.4">
      <c r="X2865"/>
      <c r="AO2865"/>
    </row>
    <row r="2866" spans="24:41" x14ac:dyDescent="0.4">
      <c r="X2866"/>
      <c r="AO2866"/>
    </row>
    <row r="2867" spans="24:41" x14ac:dyDescent="0.4">
      <c r="X2867"/>
      <c r="AO2867"/>
    </row>
    <row r="2868" spans="24:41" x14ac:dyDescent="0.4">
      <c r="X2868"/>
      <c r="AO2868"/>
    </row>
    <row r="2869" spans="24:41" x14ac:dyDescent="0.4">
      <c r="X2869"/>
      <c r="AO2869"/>
    </row>
    <row r="2870" spans="24:41" x14ac:dyDescent="0.4">
      <c r="X2870"/>
      <c r="AO2870"/>
    </row>
    <row r="2871" spans="24:41" x14ac:dyDescent="0.4">
      <c r="X2871"/>
      <c r="AO2871"/>
    </row>
    <row r="2872" spans="24:41" x14ac:dyDescent="0.4">
      <c r="X2872"/>
      <c r="AO2872"/>
    </row>
    <row r="2873" spans="24:41" x14ac:dyDescent="0.4">
      <c r="X2873"/>
      <c r="AO2873"/>
    </row>
    <row r="2874" spans="24:41" x14ac:dyDescent="0.4">
      <c r="X2874"/>
      <c r="AO2874"/>
    </row>
    <row r="2875" spans="24:41" x14ac:dyDescent="0.4">
      <c r="X2875"/>
      <c r="AO2875"/>
    </row>
    <row r="2876" spans="24:41" x14ac:dyDescent="0.4">
      <c r="X2876"/>
      <c r="AO2876"/>
    </row>
    <row r="2877" spans="24:41" x14ac:dyDescent="0.4">
      <c r="X2877"/>
      <c r="AO2877"/>
    </row>
    <row r="2878" spans="24:41" x14ac:dyDescent="0.4">
      <c r="X2878"/>
      <c r="AO2878"/>
    </row>
    <row r="2879" spans="24:41" x14ac:dyDescent="0.4">
      <c r="X2879"/>
      <c r="AO2879"/>
    </row>
    <row r="2880" spans="24:41" x14ac:dyDescent="0.4">
      <c r="X2880"/>
      <c r="AO2880"/>
    </row>
    <row r="2881" spans="24:41" x14ac:dyDescent="0.4">
      <c r="X2881"/>
      <c r="AO2881"/>
    </row>
    <row r="2882" spans="24:41" x14ac:dyDescent="0.4">
      <c r="X2882"/>
      <c r="AO2882"/>
    </row>
    <row r="2883" spans="24:41" x14ac:dyDescent="0.4">
      <c r="X2883"/>
      <c r="AO2883"/>
    </row>
    <row r="2884" spans="24:41" x14ac:dyDescent="0.4">
      <c r="X2884"/>
      <c r="AO2884"/>
    </row>
    <row r="2885" spans="24:41" x14ac:dyDescent="0.4">
      <c r="X2885"/>
      <c r="AO2885"/>
    </row>
    <row r="2886" spans="24:41" x14ac:dyDescent="0.4">
      <c r="X2886"/>
      <c r="AO2886"/>
    </row>
    <row r="2887" spans="24:41" x14ac:dyDescent="0.4">
      <c r="X2887"/>
      <c r="AO2887"/>
    </row>
    <row r="2888" spans="24:41" x14ac:dyDescent="0.4">
      <c r="X2888"/>
      <c r="AO2888"/>
    </row>
    <row r="2889" spans="24:41" x14ac:dyDescent="0.4">
      <c r="X2889"/>
      <c r="AO2889"/>
    </row>
    <row r="2890" spans="24:41" x14ac:dyDescent="0.4">
      <c r="X2890"/>
      <c r="AO2890"/>
    </row>
    <row r="2891" spans="24:41" x14ac:dyDescent="0.4">
      <c r="X2891"/>
      <c r="AO2891"/>
    </row>
    <row r="2892" spans="24:41" x14ac:dyDescent="0.4">
      <c r="X2892"/>
      <c r="AO2892"/>
    </row>
    <row r="2893" spans="24:41" x14ac:dyDescent="0.4">
      <c r="X2893"/>
      <c r="AO2893"/>
    </row>
    <row r="2894" spans="24:41" x14ac:dyDescent="0.4">
      <c r="X2894"/>
      <c r="AO2894"/>
    </row>
    <row r="2895" spans="24:41" x14ac:dyDescent="0.4">
      <c r="X2895"/>
      <c r="AO2895"/>
    </row>
    <row r="2896" spans="24:41" x14ac:dyDescent="0.4">
      <c r="X2896"/>
      <c r="AO2896"/>
    </row>
    <row r="2897" spans="24:41" x14ac:dyDescent="0.4">
      <c r="X2897"/>
      <c r="AO2897"/>
    </row>
    <row r="2898" spans="24:41" x14ac:dyDescent="0.4">
      <c r="X2898"/>
      <c r="AO2898"/>
    </row>
    <row r="2899" spans="24:41" x14ac:dyDescent="0.4">
      <c r="X2899"/>
      <c r="AO2899"/>
    </row>
    <row r="2900" spans="24:41" x14ac:dyDescent="0.4">
      <c r="X2900"/>
      <c r="AO2900"/>
    </row>
    <row r="2901" spans="24:41" x14ac:dyDescent="0.4">
      <c r="X2901"/>
      <c r="AO2901"/>
    </row>
    <row r="2902" spans="24:41" x14ac:dyDescent="0.4">
      <c r="X2902"/>
      <c r="AO2902"/>
    </row>
    <row r="2903" spans="24:41" x14ac:dyDescent="0.4">
      <c r="X2903"/>
      <c r="AO2903"/>
    </row>
    <row r="2904" spans="24:41" x14ac:dyDescent="0.4">
      <c r="X2904"/>
      <c r="AO2904"/>
    </row>
    <row r="2905" spans="24:41" x14ac:dyDescent="0.4">
      <c r="X2905"/>
      <c r="AO2905"/>
    </row>
    <row r="2906" spans="24:41" x14ac:dyDescent="0.4">
      <c r="X2906"/>
      <c r="AO2906"/>
    </row>
    <row r="2907" spans="24:41" x14ac:dyDescent="0.4">
      <c r="X2907"/>
      <c r="AO2907"/>
    </row>
    <row r="2908" spans="24:41" x14ac:dyDescent="0.4">
      <c r="X2908"/>
      <c r="AO2908"/>
    </row>
    <row r="2909" spans="24:41" x14ac:dyDescent="0.4">
      <c r="X2909"/>
      <c r="AO2909"/>
    </row>
    <row r="2910" spans="24:41" x14ac:dyDescent="0.4">
      <c r="X2910"/>
      <c r="AO2910"/>
    </row>
    <row r="2911" spans="24:41" x14ac:dyDescent="0.4">
      <c r="X2911"/>
      <c r="AO2911"/>
    </row>
    <row r="2912" spans="24:41" x14ac:dyDescent="0.4">
      <c r="X2912"/>
      <c r="AO2912"/>
    </row>
    <row r="2913" spans="24:41" x14ac:dyDescent="0.4">
      <c r="X2913"/>
      <c r="AO2913"/>
    </row>
    <row r="2914" spans="24:41" x14ac:dyDescent="0.4">
      <c r="X2914"/>
      <c r="AO2914"/>
    </row>
    <row r="2915" spans="24:41" x14ac:dyDescent="0.4">
      <c r="X2915"/>
      <c r="AO2915"/>
    </row>
    <row r="2916" spans="24:41" x14ac:dyDescent="0.4">
      <c r="X2916"/>
      <c r="AO2916"/>
    </row>
    <row r="2917" spans="24:41" x14ac:dyDescent="0.4">
      <c r="X2917"/>
      <c r="AO2917"/>
    </row>
    <row r="2918" spans="24:41" x14ac:dyDescent="0.4">
      <c r="X2918"/>
      <c r="AO2918"/>
    </row>
    <row r="2919" spans="24:41" x14ac:dyDescent="0.4">
      <c r="X2919"/>
      <c r="AO2919"/>
    </row>
    <row r="2920" spans="24:41" x14ac:dyDescent="0.4">
      <c r="X2920"/>
      <c r="AO2920"/>
    </row>
    <row r="2921" spans="24:41" x14ac:dyDescent="0.4">
      <c r="X2921"/>
      <c r="AO2921"/>
    </row>
    <row r="2922" spans="24:41" x14ac:dyDescent="0.4">
      <c r="X2922"/>
      <c r="AO2922"/>
    </row>
    <row r="2923" spans="24:41" x14ac:dyDescent="0.4">
      <c r="X2923"/>
      <c r="AO2923"/>
    </row>
    <row r="2924" spans="24:41" x14ac:dyDescent="0.4">
      <c r="X2924"/>
      <c r="AO2924"/>
    </row>
    <row r="2925" spans="24:41" x14ac:dyDescent="0.4">
      <c r="X2925"/>
      <c r="AO2925"/>
    </row>
    <row r="2926" spans="24:41" x14ac:dyDescent="0.4">
      <c r="X2926"/>
      <c r="AO2926"/>
    </row>
    <row r="2927" spans="24:41" x14ac:dyDescent="0.4">
      <c r="X2927"/>
      <c r="AO2927"/>
    </row>
    <row r="2928" spans="24:41" x14ac:dyDescent="0.4">
      <c r="X2928"/>
      <c r="AO2928"/>
    </row>
    <row r="2929" spans="24:41" x14ac:dyDescent="0.4">
      <c r="X2929"/>
      <c r="AO2929"/>
    </row>
    <row r="2930" spans="24:41" x14ac:dyDescent="0.4">
      <c r="X2930"/>
      <c r="AO2930"/>
    </row>
    <row r="2931" spans="24:41" x14ac:dyDescent="0.4">
      <c r="X2931"/>
      <c r="AO2931"/>
    </row>
    <row r="2932" spans="24:41" x14ac:dyDescent="0.4">
      <c r="X2932"/>
      <c r="AO2932"/>
    </row>
    <row r="2933" spans="24:41" x14ac:dyDescent="0.4">
      <c r="X2933"/>
      <c r="AO2933"/>
    </row>
    <row r="2934" spans="24:41" x14ac:dyDescent="0.4">
      <c r="X2934"/>
      <c r="AO2934"/>
    </row>
    <row r="2935" spans="24:41" x14ac:dyDescent="0.4">
      <c r="X2935"/>
      <c r="AO2935"/>
    </row>
    <row r="2936" spans="24:41" x14ac:dyDescent="0.4">
      <c r="X2936"/>
      <c r="AO2936"/>
    </row>
    <row r="2937" spans="24:41" x14ac:dyDescent="0.4">
      <c r="X2937"/>
      <c r="AO2937"/>
    </row>
    <row r="2938" spans="24:41" x14ac:dyDescent="0.4">
      <c r="X2938"/>
      <c r="AO2938"/>
    </row>
    <row r="2939" spans="24:41" x14ac:dyDescent="0.4">
      <c r="X2939"/>
      <c r="AO2939"/>
    </row>
    <row r="2940" spans="24:41" x14ac:dyDescent="0.4">
      <c r="X2940"/>
      <c r="AO2940"/>
    </row>
    <row r="2941" spans="24:41" x14ac:dyDescent="0.4">
      <c r="X2941"/>
      <c r="AO2941"/>
    </row>
    <row r="2942" spans="24:41" x14ac:dyDescent="0.4">
      <c r="X2942"/>
      <c r="AO2942"/>
    </row>
    <row r="2943" spans="24:41" x14ac:dyDescent="0.4">
      <c r="X2943"/>
      <c r="AO2943"/>
    </row>
    <row r="2944" spans="24:41" x14ac:dyDescent="0.4">
      <c r="X2944"/>
      <c r="AO2944"/>
    </row>
    <row r="2945" spans="24:41" x14ac:dyDescent="0.4">
      <c r="X2945"/>
      <c r="AO2945"/>
    </row>
    <row r="2946" spans="24:41" x14ac:dyDescent="0.4">
      <c r="X2946"/>
      <c r="AO2946"/>
    </row>
    <row r="2947" spans="24:41" x14ac:dyDescent="0.4">
      <c r="X2947"/>
      <c r="AO2947"/>
    </row>
    <row r="2948" spans="24:41" x14ac:dyDescent="0.4">
      <c r="X2948"/>
      <c r="AO2948"/>
    </row>
    <row r="2949" spans="24:41" x14ac:dyDescent="0.4">
      <c r="X2949"/>
      <c r="AO2949"/>
    </row>
    <row r="2950" spans="24:41" x14ac:dyDescent="0.4">
      <c r="X2950"/>
      <c r="AO2950"/>
    </row>
    <row r="2951" spans="24:41" x14ac:dyDescent="0.4">
      <c r="X2951"/>
      <c r="AO2951"/>
    </row>
    <row r="2952" spans="24:41" x14ac:dyDescent="0.4">
      <c r="X2952"/>
      <c r="AO2952"/>
    </row>
    <row r="2953" spans="24:41" x14ac:dyDescent="0.4">
      <c r="X2953"/>
      <c r="AO2953"/>
    </row>
    <row r="2954" spans="24:41" x14ac:dyDescent="0.4">
      <c r="X2954"/>
      <c r="AO2954"/>
    </row>
    <row r="2955" spans="24:41" x14ac:dyDescent="0.4">
      <c r="X2955"/>
      <c r="AO2955"/>
    </row>
    <row r="2956" spans="24:41" x14ac:dyDescent="0.4">
      <c r="X2956"/>
      <c r="AO2956"/>
    </row>
    <row r="2957" spans="24:41" x14ac:dyDescent="0.4">
      <c r="X2957"/>
      <c r="AO2957"/>
    </row>
    <row r="2958" spans="24:41" x14ac:dyDescent="0.4">
      <c r="X2958"/>
      <c r="AO2958"/>
    </row>
    <row r="2959" spans="24:41" x14ac:dyDescent="0.4">
      <c r="X2959"/>
      <c r="AO2959"/>
    </row>
    <row r="2960" spans="24:41" x14ac:dyDescent="0.4">
      <c r="X2960"/>
      <c r="AO2960"/>
    </row>
    <row r="2961" spans="24:41" x14ac:dyDescent="0.4">
      <c r="X2961"/>
      <c r="AO2961"/>
    </row>
    <row r="2962" spans="24:41" x14ac:dyDescent="0.4">
      <c r="X2962"/>
      <c r="AO2962"/>
    </row>
    <row r="2963" spans="24:41" x14ac:dyDescent="0.4">
      <c r="X2963"/>
      <c r="AO2963"/>
    </row>
    <row r="2964" spans="24:41" x14ac:dyDescent="0.4">
      <c r="X2964"/>
      <c r="AO2964"/>
    </row>
    <row r="2965" spans="24:41" x14ac:dyDescent="0.4">
      <c r="X2965"/>
      <c r="AO2965"/>
    </row>
    <row r="2966" spans="24:41" x14ac:dyDescent="0.4">
      <c r="X2966"/>
      <c r="AO2966"/>
    </row>
    <row r="2967" spans="24:41" x14ac:dyDescent="0.4">
      <c r="X2967"/>
      <c r="AO2967"/>
    </row>
    <row r="2968" spans="24:41" x14ac:dyDescent="0.4">
      <c r="X2968"/>
      <c r="AO2968"/>
    </row>
    <row r="2969" spans="24:41" x14ac:dyDescent="0.4">
      <c r="X2969"/>
      <c r="AO2969"/>
    </row>
    <row r="2970" spans="24:41" x14ac:dyDescent="0.4">
      <c r="X2970"/>
      <c r="AO2970"/>
    </row>
    <row r="2971" spans="24:41" x14ac:dyDescent="0.4">
      <c r="X2971"/>
      <c r="AO2971"/>
    </row>
    <row r="2972" spans="24:41" x14ac:dyDescent="0.4">
      <c r="X2972"/>
      <c r="AO2972"/>
    </row>
    <row r="2973" spans="24:41" x14ac:dyDescent="0.4">
      <c r="X2973"/>
      <c r="AO2973"/>
    </row>
    <row r="2974" spans="24:41" x14ac:dyDescent="0.4">
      <c r="X2974"/>
      <c r="AO2974"/>
    </row>
    <row r="2975" spans="24:41" x14ac:dyDescent="0.4">
      <c r="X2975"/>
      <c r="AO2975"/>
    </row>
    <row r="2976" spans="24:41" x14ac:dyDescent="0.4">
      <c r="X2976"/>
      <c r="AO2976"/>
    </row>
    <row r="2977" spans="24:41" x14ac:dyDescent="0.4">
      <c r="X2977"/>
      <c r="AO2977"/>
    </row>
    <row r="2978" spans="24:41" x14ac:dyDescent="0.4">
      <c r="X2978"/>
      <c r="AO2978"/>
    </row>
    <row r="2979" spans="24:41" x14ac:dyDescent="0.4">
      <c r="X2979"/>
      <c r="AO2979"/>
    </row>
    <row r="2980" spans="24:41" x14ac:dyDescent="0.4">
      <c r="X2980"/>
      <c r="AO2980"/>
    </row>
    <row r="2981" spans="24:41" x14ac:dyDescent="0.4">
      <c r="X2981"/>
      <c r="AO2981"/>
    </row>
    <row r="2982" spans="24:41" x14ac:dyDescent="0.4">
      <c r="X2982"/>
      <c r="AO2982"/>
    </row>
    <row r="2983" spans="24:41" x14ac:dyDescent="0.4">
      <c r="X2983"/>
      <c r="AO2983"/>
    </row>
    <row r="2984" spans="24:41" x14ac:dyDescent="0.4">
      <c r="X2984"/>
      <c r="AO2984"/>
    </row>
    <row r="2985" spans="24:41" x14ac:dyDescent="0.4">
      <c r="X2985"/>
      <c r="AO2985"/>
    </row>
    <row r="2986" spans="24:41" x14ac:dyDescent="0.4">
      <c r="X2986"/>
      <c r="AO2986"/>
    </row>
    <row r="2987" spans="24:41" x14ac:dyDescent="0.4">
      <c r="X2987"/>
      <c r="AO2987"/>
    </row>
    <row r="2988" spans="24:41" x14ac:dyDescent="0.4">
      <c r="X2988"/>
      <c r="AO2988"/>
    </row>
    <row r="2989" spans="24:41" x14ac:dyDescent="0.4">
      <c r="X2989"/>
      <c r="AO2989"/>
    </row>
    <row r="2990" spans="24:41" x14ac:dyDescent="0.4">
      <c r="X2990"/>
      <c r="AO2990"/>
    </row>
    <row r="2991" spans="24:41" x14ac:dyDescent="0.4">
      <c r="X2991"/>
      <c r="AO2991"/>
    </row>
    <row r="2992" spans="24:41" x14ac:dyDescent="0.4">
      <c r="X2992"/>
      <c r="AO2992"/>
    </row>
    <row r="2993" spans="24:41" x14ac:dyDescent="0.4">
      <c r="X2993"/>
      <c r="AO2993"/>
    </row>
    <row r="2994" spans="24:41" x14ac:dyDescent="0.4">
      <c r="X2994"/>
      <c r="AO2994"/>
    </row>
    <row r="2995" spans="24:41" x14ac:dyDescent="0.4">
      <c r="X2995"/>
      <c r="AO2995"/>
    </row>
    <row r="2996" spans="24:41" x14ac:dyDescent="0.4">
      <c r="X2996"/>
      <c r="AO2996"/>
    </row>
    <row r="2997" spans="24:41" x14ac:dyDescent="0.4">
      <c r="X2997"/>
      <c r="AO2997"/>
    </row>
    <row r="2998" spans="24:41" x14ac:dyDescent="0.4">
      <c r="X2998"/>
      <c r="AO2998"/>
    </row>
    <row r="2999" spans="24:41" x14ac:dyDescent="0.4">
      <c r="X2999"/>
      <c r="AO2999"/>
    </row>
    <row r="3000" spans="24:41" x14ac:dyDescent="0.4">
      <c r="X3000"/>
      <c r="AO3000"/>
    </row>
    <row r="3001" spans="24:41" x14ac:dyDescent="0.4">
      <c r="X3001"/>
      <c r="AO3001"/>
    </row>
    <row r="3002" spans="24:41" x14ac:dyDescent="0.4">
      <c r="X3002"/>
      <c r="AO3002"/>
    </row>
    <row r="3003" spans="24:41" x14ac:dyDescent="0.4">
      <c r="X3003"/>
      <c r="AO3003"/>
    </row>
    <row r="3004" spans="24:41" x14ac:dyDescent="0.4">
      <c r="X3004"/>
      <c r="AO3004"/>
    </row>
    <row r="3005" spans="24:41" x14ac:dyDescent="0.4">
      <c r="X3005"/>
      <c r="AO3005"/>
    </row>
    <row r="3006" spans="24:41" x14ac:dyDescent="0.4">
      <c r="X3006"/>
      <c r="AO3006"/>
    </row>
    <row r="3007" spans="24:41" x14ac:dyDescent="0.4">
      <c r="X3007"/>
      <c r="AO3007"/>
    </row>
    <row r="3008" spans="24:41" x14ac:dyDescent="0.4">
      <c r="X3008"/>
      <c r="AO3008"/>
    </row>
    <row r="3009" spans="24:41" x14ac:dyDescent="0.4">
      <c r="X3009"/>
      <c r="AO3009"/>
    </row>
    <row r="3010" spans="24:41" x14ac:dyDescent="0.4">
      <c r="X3010"/>
      <c r="AO3010"/>
    </row>
    <row r="3011" spans="24:41" x14ac:dyDescent="0.4">
      <c r="X3011"/>
      <c r="AO3011"/>
    </row>
    <row r="3012" spans="24:41" x14ac:dyDescent="0.4">
      <c r="X3012"/>
      <c r="AO3012"/>
    </row>
    <row r="3013" spans="24:41" x14ac:dyDescent="0.4">
      <c r="X3013"/>
      <c r="AO3013"/>
    </row>
    <row r="3014" spans="24:41" x14ac:dyDescent="0.4">
      <c r="X3014"/>
      <c r="AO3014"/>
    </row>
    <row r="3015" spans="24:41" x14ac:dyDescent="0.4">
      <c r="X3015"/>
      <c r="AO3015"/>
    </row>
    <row r="3016" spans="24:41" x14ac:dyDescent="0.4">
      <c r="X3016"/>
      <c r="AO3016"/>
    </row>
    <row r="3017" spans="24:41" x14ac:dyDescent="0.4">
      <c r="X3017"/>
      <c r="AO3017"/>
    </row>
    <row r="3018" spans="24:41" x14ac:dyDescent="0.4">
      <c r="X3018"/>
      <c r="AO3018"/>
    </row>
    <row r="3019" spans="24:41" x14ac:dyDescent="0.4">
      <c r="X3019"/>
      <c r="AO3019"/>
    </row>
    <row r="3020" spans="24:41" x14ac:dyDescent="0.4">
      <c r="X3020"/>
      <c r="AO3020"/>
    </row>
    <row r="3021" spans="24:41" x14ac:dyDescent="0.4">
      <c r="X3021"/>
      <c r="AO3021"/>
    </row>
    <row r="3022" spans="24:41" x14ac:dyDescent="0.4">
      <c r="X3022"/>
      <c r="AO3022"/>
    </row>
    <row r="3023" spans="24:41" x14ac:dyDescent="0.4">
      <c r="X3023"/>
      <c r="AO3023"/>
    </row>
    <row r="3024" spans="24:41" x14ac:dyDescent="0.4">
      <c r="X3024"/>
      <c r="AO3024"/>
    </row>
    <row r="3025" spans="24:41" x14ac:dyDescent="0.4">
      <c r="X3025"/>
      <c r="AO3025"/>
    </row>
    <row r="3026" spans="24:41" x14ac:dyDescent="0.4">
      <c r="X3026"/>
      <c r="AO3026"/>
    </row>
    <row r="3027" spans="24:41" x14ac:dyDescent="0.4">
      <c r="X3027"/>
      <c r="AO3027"/>
    </row>
    <row r="3028" spans="24:41" x14ac:dyDescent="0.4">
      <c r="X3028"/>
      <c r="AO3028"/>
    </row>
    <row r="3029" spans="24:41" x14ac:dyDescent="0.4">
      <c r="X3029"/>
      <c r="AO3029"/>
    </row>
    <row r="3030" spans="24:41" x14ac:dyDescent="0.4">
      <c r="X3030"/>
      <c r="AO3030"/>
    </row>
    <row r="3031" spans="24:41" x14ac:dyDescent="0.4">
      <c r="X3031"/>
      <c r="AO3031"/>
    </row>
    <row r="3032" spans="24:41" x14ac:dyDescent="0.4">
      <c r="X3032"/>
      <c r="AO3032"/>
    </row>
    <row r="3033" spans="24:41" x14ac:dyDescent="0.4">
      <c r="X3033"/>
      <c r="AO3033"/>
    </row>
    <row r="3034" spans="24:41" x14ac:dyDescent="0.4">
      <c r="X3034"/>
      <c r="AO3034"/>
    </row>
    <row r="3035" spans="24:41" x14ac:dyDescent="0.4">
      <c r="X3035"/>
      <c r="AO3035"/>
    </row>
    <row r="3036" spans="24:41" x14ac:dyDescent="0.4">
      <c r="X3036"/>
      <c r="AO3036"/>
    </row>
    <row r="3037" spans="24:41" x14ac:dyDescent="0.4">
      <c r="X3037"/>
      <c r="AO3037"/>
    </row>
    <row r="3038" spans="24:41" x14ac:dyDescent="0.4">
      <c r="X3038"/>
      <c r="AO3038"/>
    </row>
    <row r="3039" spans="24:41" x14ac:dyDescent="0.4">
      <c r="X3039"/>
      <c r="AO3039"/>
    </row>
    <row r="3040" spans="24:41" x14ac:dyDescent="0.4">
      <c r="X3040"/>
      <c r="AO3040"/>
    </row>
    <row r="3041" spans="24:41" x14ac:dyDescent="0.4">
      <c r="X3041"/>
      <c r="AO3041"/>
    </row>
    <row r="3042" spans="24:41" x14ac:dyDescent="0.4">
      <c r="X3042"/>
      <c r="AO3042"/>
    </row>
    <row r="3043" spans="24:41" x14ac:dyDescent="0.4">
      <c r="X3043"/>
      <c r="AO3043"/>
    </row>
    <row r="3044" spans="24:41" x14ac:dyDescent="0.4">
      <c r="X3044"/>
      <c r="AO3044"/>
    </row>
    <row r="3045" spans="24:41" x14ac:dyDescent="0.4">
      <c r="X3045"/>
      <c r="AO3045"/>
    </row>
    <row r="3046" spans="24:41" x14ac:dyDescent="0.4">
      <c r="X3046"/>
      <c r="AO3046"/>
    </row>
    <row r="3047" spans="24:41" x14ac:dyDescent="0.4">
      <c r="X3047"/>
      <c r="AO3047"/>
    </row>
    <row r="3048" spans="24:41" x14ac:dyDescent="0.4">
      <c r="X3048"/>
      <c r="AO3048"/>
    </row>
    <row r="3049" spans="24:41" x14ac:dyDescent="0.4">
      <c r="X3049"/>
      <c r="AO3049"/>
    </row>
    <row r="3050" spans="24:41" x14ac:dyDescent="0.4">
      <c r="X3050"/>
      <c r="AO3050"/>
    </row>
    <row r="3051" spans="24:41" x14ac:dyDescent="0.4">
      <c r="X3051"/>
      <c r="AO3051"/>
    </row>
    <row r="3052" spans="24:41" x14ac:dyDescent="0.4">
      <c r="X3052"/>
      <c r="AO3052"/>
    </row>
    <row r="3053" spans="24:41" x14ac:dyDescent="0.4">
      <c r="X3053"/>
      <c r="AO3053"/>
    </row>
    <row r="3054" spans="24:41" x14ac:dyDescent="0.4">
      <c r="X3054"/>
      <c r="AO3054"/>
    </row>
    <row r="3055" spans="24:41" x14ac:dyDescent="0.4">
      <c r="X3055"/>
      <c r="AO3055"/>
    </row>
    <row r="3056" spans="24:41" x14ac:dyDescent="0.4">
      <c r="X3056"/>
      <c r="AO3056"/>
    </row>
    <row r="3057" spans="24:41" x14ac:dyDescent="0.4">
      <c r="X3057"/>
      <c r="AO3057"/>
    </row>
    <row r="3058" spans="24:41" x14ac:dyDescent="0.4">
      <c r="X3058"/>
      <c r="AO3058"/>
    </row>
    <row r="3059" spans="24:41" x14ac:dyDescent="0.4">
      <c r="X3059"/>
      <c r="AO3059"/>
    </row>
    <row r="3060" spans="24:41" x14ac:dyDescent="0.4">
      <c r="X3060"/>
      <c r="AO3060"/>
    </row>
    <row r="3061" spans="24:41" x14ac:dyDescent="0.4">
      <c r="X3061"/>
      <c r="AO3061"/>
    </row>
    <row r="3062" spans="24:41" x14ac:dyDescent="0.4">
      <c r="X3062"/>
      <c r="AO3062"/>
    </row>
    <row r="3063" spans="24:41" x14ac:dyDescent="0.4">
      <c r="X3063"/>
      <c r="AO3063"/>
    </row>
    <row r="3064" spans="24:41" x14ac:dyDescent="0.4">
      <c r="X3064"/>
      <c r="AO3064"/>
    </row>
    <row r="3065" spans="24:41" x14ac:dyDescent="0.4">
      <c r="X3065"/>
      <c r="AO3065"/>
    </row>
    <row r="3066" spans="24:41" x14ac:dyDescent="0.4">
      <c r="X3066"/>
      <c r="AO3066"/>
    </row>
    <row r="3067" spans="24:41" x14ac:dyDescent="0.4">
      <c r="X3067"/>
      <c r="AO3067"/>
    </row>
    <row r="3068" spans="24:41" x14ac:dyDescent="0.4">
      <c r="X3068"/>
      <c r="AO3068"/>
    </row>
    <row r="3069" spans="24:41" x14ac:dyDescent="0.4">
      <c r="X3069"/>
      <c r="AO3069"/>
    </row>
    <row r="3070" spans="24:41" x14ac:dyDescent="0.4">
      <c r="X3070"/>
      <c r="AO3070"/>
    </row>
    <row r="3071" spans="24:41" x14ac:dyDescent="0.4">
      <c r="X3071"/>
      <c r="AO3071"/>
    </row>
    <row r="3072" spans="24:41" x14ac:dyDescent="0.4">
      <c r="X3072"/>
      <c r="AO3072"/>
    </row>
    <row r="3073" spans="24:41" x14ac:dyDescent="0.4">
      <c r="X3073"/>
      <c r="AO3073"/>
    </row>
    <row r="3074" spans="24:41" x14ac:dyDescent="0.4">
      <c r="X3074"/>
      <c r="AO3074"/>
    </row>
    <row r="3075" spans="24:41" x14ac:dyDescent="0.4">
      <c r="X3075"/>
      <c r="AO3075"/>
    </row>
    <row r="3076" spans="24:41" x14ac:dyDescent="0.4">
      <c r="X3076"/>
      <c r="AO3076"/>
    </row>
    <row r="3077" spans="24:41" x14ac:dyDescent="0.4">
      <c r="X3077"/>
      <c r="AO3077"/>
    </row>
    <row r="3078" spans="24:41" x14ac:dyDescent="0.4">
      <c r="X3078"/>
      <c r="AO3078"/>
    </row>
    <row r="3079" spans="24:41" x14ac:dyDescent="0.4">
      <c r="X3079"/>
      <c r="AO3079"/>
    </row>
    <row r="3080" spans="24:41" x14ac:dyDescent="0.4">
      <c r="X3080"/>
      <c r="AO3080"/>
    </row>
    <row r="3081" spans="24:41" x14ac:dyDescent="0.4">
      <c r="X3081"/>
      <c r="AO3081"/>
    </row>
    <row r="3082" spans="24:41" x14ac:dyDescent="0.4">
      <c r="X3082"/>
      <c r="AO3082"/>
    </row>
    <row r="3083" spans="24:41" x14ac:dyDescent="0.4">
      <c r="X3083"/>
      <c r="AO3083"/>
    </row>
    <row r="3084" spans="24:41" x14ac:dyDescent="0.4">
      <c r="X3084"/>
      <c r="AO3084"/>
    </row>
    <row r="3085" spans="24:41" x14ac:dyDescent="0.4">
      <c r="X3085"/>
      <c r="AO3085"/>
    </row>
    <row r="3086" spans="24:41" x14ac:dyDescent="0.4">
      <c r="X3086"/>
      <c r="AO3086"/>
    </row>
    <row r="3087" spans="24:41" x14ac:dyDescent="0.4">
      <c r="X3087"/>
      <c r="AO3087"/>
    </row>
    <row r="3088" spans="24:41" x14ac:dyDescent="0.4">
      <c r="X3088"/>
      <c r="AO3088"/>
    </row>
    <row r="3089" spans="24:41" x14ac:dyDescent="0.4">
      <c r="X3089"/>
      <c r="AO3089"/>
    </row>
    <row r="3090" spans="24:41" x14ac:dyDescent="0.4">
      <c r="X3090"/>
      <c r="AO3090"/>
    </row>
    <row r="3091" spans="24:41" x14ac:dyDescent="0.4">
      <c r="X3091"/>
      <c r="AO3091"/>
    </row>
    <row r="3092" spans="24:41" x14ac:dyDescent="0.4">
      <c r="X3092"/>
      <c r="AO3092"/>
    </row>
    <row r="3093" spans="24:41" x14ac:dyDescent="0.4">
      <c r="X3093"/>
      <c r="AO3093"/>
    </row>
    <row r="3094" spans="24:41" x14ac:dyDescent="0.4">
      <c r="X3094"/>
      <c r="AO3094"/>
    </row>
    <row r="3095" spans="24:41" x14ac:dyDescent="0.4">
      <c r="X3095"/>
      <c r="AO3095"/>
    </row>
    <row r="3096" spans="24:41" x14ac:dyDescent="0.4">
      <c r="X3096"/>
      <c r="AO3096"/>
    </row>
    <row r="3097" spans="24:41" x14ac:dyDescent="0.4">
      <c r="X3097"/>
      <c r="AO3097"/>
    </row>
    <row r="3098" spans="24:41" x14ac:dyDescent="0.4">
      <c r="X3098"/>
      <c r="AO3098"/>
    </row>
    <row r="3099" spans="24:41" x14ac:dyDescent="0.4">
      <c r="X3099"/>
      <c r="AO3099"/>
    </row>
    <row r="3100" spans="24:41" x14ac:dyDescent="0.4">
      <c r="X3100"/>
      <c r="AO3100"/>
    </row>
    <row r="3101" spans="24:41" x14ac:dyDescent="0.4">
      <c r="X3101"/>
      <c r="AO3101"/>
    </row>
    <row r="3102" spans="24:41" x14ac:dyDescent="0.4">
      <c r="X3102"/>
      <c r="AO3102"/>
    </row>
    <row r="3103" spans="24:41" x14ac:dyDescent="0.4">
      <c r="X3103"/>
      <c r="AO3103"/>
    </row>
    <row r="3104" spans="24:41" x14ac:dyDescent="0.4">
      <c r="X3104"/>
      <c r="AO3104"/>
    </row>
    <row r="3105" spans="24:41" x14ac:dyDescent="0.4">
      <c r="X3105"/>
      <c r="AO3105"/>
    </row>
    <row r="3106" spans="24:41" x14ac:dyDescent="0.4">
      <c r="X3106"/>
      <c r="AO3106"/>
    </row>
    <row r="3107" spans="24:41" x14ac:dyDescent="0.4">
      <c r="X3107"/>
      <c r="AO3107"/>
    </row>
    <row r="3108" spans="24:41" x14ac:dyDescent="0.4">
      <c r="X3108"/>
      <c r="AO3108"/>
    </row>
    <row r="3109" spans="24:41" x14ac:dyDescent="0.4">
      <c r="X3109"/>
      <c r="AO3109"/>
    </row>
    <row r="3110" spans="24:41" x14ac:dyDescent="0.4">
      <c r="X3110"/>
      <c r="AO3110"/>
    </row>
    <row r="3111" spans="24:41" x14ac:dyDescent="0.4">
      <c r="X3111"/>
      <c r="AO3111"/>
    </row>
    <row r="3112" spans="24:41" x14ac:dyDescent="0.4">
      <c r="X3112"/>
      <c r="AO3112"/>
    </row>
    <row r="3113" spans="24:41" x14ac:dyDescent="0.4">
      <c r="X3113"/>
      <c r="AO3113"/>
    </row>
    <row r="3114" spans="24:41" x14ac:dyDescent="0.4">
      <c r="X3114"/>
      <c r="AO3114"/>
    </row>
    <row r="3115" spans="24:41" x14ac:dyDescent="0.4">
      <c r="X3115"/>
      <c r="AO3115"/>
    </row>
    <row r="3116" spans="24:41" x14ac:dyDescent="0.4">
      <c r="X3116"/>
      <c r="AO3116"/>
    </row>
    <row r="3117" spans="24:41" x14ac:dyDescent="0.4">
      <c r="X3117"/>
      <c r="AO3117"/>
    </row>
    <row r="3118" spans="24:41" x14ac:dyDescent="0.4">
      <c r="X3118"/>
      <c r="AO3118"/>
    </row>
    <row r="3119" spans="24:41" x14ac:dyDescent="0.4">
      <c r="X3119"/>
      <c r="AO3119"/>
    </row>
    <row r="3120" spans="24:41" x14ac:dyDescent="0.4">
      <c r="X3120"/>
      <c r="AO3120"/>
    </row>
    <row r="3121" spans="24:41" x14ac:dyDescent="0.4">
      <c r="X3121"/>
      <c r="AO3121"/>
    </row>
    <row r="3122" spans="24:41" x14ac:dyDescent="0.4">
      <c r="X3122"/>
      <c r="AO3122"/>
    </row>
    <row r="3123" spans="24:41" x14ac:dyDescent="0.4">
      <c r="X3123"/>
      <c r="AO3123"/>
    </row>
    <row r="3124" spans="24:41" x14ac:dyDescent="0.4">
      <c r="X3124"/>
      <c r="AO3124"/>
    </row>
    <row r="3125" spans="24:41" x14ac:dyDescent="0.4">
      <c r="X3125"/>
      <c r="AO3125"/>
    </row>
    <row r="3126" spans="24:41" x14ac:dyDescent="0.4">
      <c r="X3126"/>
      <c r="AO3126"/>
    </row>
    <row r="3127" spans="24:41" x14ac:dyDescent="0.4">
      <c r="X3127"/>
      <c r="AO3127"/>
    </row>
    <row r="3128" spans="24:41" x14ac:dyDescent="0.4">
      <c r="X3128"/>
      <c r="AO3128"/>
    </row>
    <row r="3129" spans="24:41" x14ac:dyDescent="0.4">
      <c r="X3129"/>
      <c r="AO3129"/>
    </row>
    <row r="3130" spans="24:41" x14ac:dyDescent="0.4">
      <c r="X3130"/>
      <c r="AO3130"/>
    </row>
    <row r="3131" spans="24:41" x14ac:dyDescent="0.4">
      <c r="X3131"/>
      <c r="AO3131"/>
    </row>
    <row r="3132" spans="24:41" x14ac:dyDescent="0.4">
      <c r="X3132"/>
      <c r="AO3132"/>
    </row>
    <row r="3133" spans="24:41" x14ac:dyDescent="0.4">
      <c r="X3133"/>
      <c r="AO3133"/>
    </row>
    <row r="3134" spans="24:41" x14ac:dyDescent="0.4">
      <c r="X3134"/>
      <c r="AO3134"/>
    </row>
    <row r="3135" spans="24:41" x14ac:dyDescent="0.4">
      <c r="X3135"/>
      <c r="AO3135"/>
    </row>
    <row r="3136" spans="24:41" x14ac:dyDescent="0.4">
      <c r="X3136"/>
      <c r="AO3136"/>
    </row>
    <row r="3137" spans="24:41" x14ac:dyDescent="0.4">
      <c r="X3137"/>
      <c r="AO3137"/>
    </row>
    <row r="3138" spans="24:41" x14ac:dyDescent="0.4">
      <c r="X3138"/>
      <c r="AO3138"/>
    </row>
    <row r="3139" spans="24:41" x14ac:dyDescent="0.4">
      <c r="X3139"/>
      <c r="AO3139"/>
    </row>
    <row r="3140" spans="24:41" x14ac:dyDescent="0.4">
      <c r="X3140"/>
      <c r="AO3140"/>
    </row>
    <row r="3141" spans="24:41" x14ac:dyDescent="0.4">
      <c r="X3141"/>
      <c r="AO3141"/>
    </row>
    <row r="3142" spans="24:41" x14ac:dyDescent="0.4">
      <c r="X3142"/>
      <c r="AO3142"/>
    </row>
    <row r="3143" spans="24:41" x14ac:dyDescent="0.4">
      <c r="X3143"/>
      <c r="AO3143"/>
    </row>
    <row r="3144" spans="24:41" x14ac:dyDescent="0.4">
      <c r="X3144"/>
      <c r="AO3144"/>
    </row>
    <row r="3145" spans="24:41" x14ac:dyDescent="0.4">
      <c r="X3145"/>
      <c r="AO3145"/>
    </row>
    <row r="3146" spans="24:41" x14ac:dyDescent="0.4">
      <c r="X3146"/>
      <c r="AO3146"/>
    </row>
    <row r="3147" spans="24:41" x14ac:dyDescent="0.4">
      <c r="X3147"/>
      <c r="AO3147"/>
    </row>
    <row r="3148" spans="24:41" x14ac:dyDescent="0.4">
      <c r="X3148"/>
      <c r="AO3148"/>
    </row>
    <row r="3149" spans="24:41" x14ac:dyDescent="0.4">
      <c r="X3149"/>
      <c r="AO3149"/>
    </row>
    <row r="3150" spans="24:41" x14ac:dyDescent="0.4">
      <c r="X3150"/>
      <c r="AO3150"/>
    </row>
    <row r="3151" spans="24:41" x14ac:dyDescent="0.4">
      <c r="X3151"/>
      <c r="AO3151"/>
    </row>
    <row r="3152" spans="24:41" x14ac:dyDescent="0.4">
      <c r="X3152"/>
      <c r="AO3152"/>
    </row>
    <row r="3153" spans="24:41" x14ac:dyDescent="0.4">
      <c r="X3153"/>
      <c r="AO3153"/>
    </row>
    <row r="3154" spans="24:41" x14ac:dyDescent="0.4">
      <c r="X3154"/>
      <c r="AO3154"/>
    </row>
    <row r="3155" spans="24:41" x14ac:dyDescent="0.4">
      <c r="X3155"/>
      <c r="AO3155"/>
    </row>
    <row r="3156" spans="24:41" x14ac:dyDescent="0.4">
      <c r="X3156"/>
      <c r="AO3156"/>
    </row>
    <row r="3157" spans="24:41" x14ac:dyDescent="0.4">
      <c r="X3157"/>
      <c r="AO3157"/>
    </row>
    <row r="3158" spans="24:41" x14ac:dyDescent="0.4">
      <c r="X3158"/>
      <c r="AO3158"/>
    </row>
    <row r="3159" spans="24:41" x14ac:dyDescent="0.4">
      <c r="X3159"/>
      <c r="AO3159"/>
    </row>
    <row r="3160" spans="24:41" x14ac:dyDescent="0.4">
      <c r="X3160"/>
      <c r="AO3160"/>
    </row>
    <row r="3161" spans="24:41" x14ac:dyDescent="0.4">
      <c r="X3161"/>
      <c r="AO3161"/>
    </row>
    <row r="3162" spans="24:41" x14ac:dyDescent="0.4">
      <c r="X3162"/>
      <c r="AO3162"/>
    </row>
    <row r="3163" spans="24:41" x14ac:dyDescent="0.4">
      <c r="X3163"/>
      <c r="AO3163"/>
    </row>
    <row r="3164" spans="24:41" x14ac:dyDescent="0.4">
      <c r="X3164"/>
      <c r="AO3164"/>
    </row>
    <row r="3165" spans="24:41" x14ac:dyDescent="0.4">
      <c r="X3165"/>
      <c r="AO3165"/>
    </row>
    <row r="3166" spans="24:41" x14ac:dyDescent="0.4">
      <c r="X3166"/>
      <c r="AO3166"/>
    </row>
    <row r="3167" spans="24:41" x14ac:dyDescent="0.4">
      <c r="X3167"/>
      <c r="AO3167"/>
    </row>
    <row r="3168" spans="24:41" x14ac:dyDescent="0.4">
      <c r="X3168"/>
      <c r="AO3168"/>
    </row>
    <row r="3169" spans="24:41" x14ac:dyDescent="0.4">
      <c r="X3169"/>
      <c r="AO3169"/>
    </row>
    <row r="3170" spans="24:41" x14ac:dyDescent="0.4">
      <c r="X3170"/>
      <c r="AO3170"/>
    </row>
    <row r="3171" spans="24:41" x14ac:dyDescent="0.4">
      <c r="X3171"/>
      <c r="AO3171"/>
    </row>
    <row r="3172" spans="24:41" x14ac:dyDescent="0.4">
      <c r="X3172"/>
      <c r="AO3172"/>
    </row>
    <row r="3173" spans="24:41" x14ac:dyDescent="0.4">
      <c r="X3173"/>
      <c r="AO3173"/>
    </row>
    <row r="3174" spans="24:41" x14ac:dyDescent="0.4">
      <c r="X3174"/>
      <c r="AO3174"/>
    </row>
    <row r="3175" spans="24:41" x14ac:dyDescent="0.4">
      <c r="X3175"/>
      <c r="AO3175"/>
    </row>
    <row r="3176" spans="24:41" x14ac:dyDescent="0.4">
      <c r="X3176"/>
      <c r="AO3176"/>
    </row>
    <row r="3177" spans="24:41" x14ac:dyDescent="0.4">
      <c r="X3177"/>
      <c r="AO3177"/>
    </row>
    <row r="3178" spans="24:41" x14ac:dyDescent="0.4">
      <c r="X3178"/>
      <c r="AO3178"/>
    </row>
    <row r="3179" spans="24:41" x14ac:dyDescent="0.4">
      <c r="X3179"/>
      <c r="AO3179"/>
    </row>
    <row r="3180" spans="24:41" x14ac:dyDescent="0.4">
      <c r="X3180"/>
      <c r="AO3180"/>
    </row>
    <row r="3181" spans="24:41" x14ac:dyDescent="0.4">
      <c r="X3181"/>
      <c r="AO3181"/>
    </row>
    <row r="3182" spans="24:41" x14ac:dyDescent="0.4">
      <c r="X3182"/>
      <c r="AO3182"/>
    </row>
    <row r="3183" spans="24:41" x14ac:dyDescent="0.4">
      <c r="X3183"/>
      <c r="AO3183"/>
    </row>
    <row r="3184" spans="24:41" x14ac:dyDescent="0.4">
      <c r="X3184"/>
      <c r="AO3184"/>
    </row>
    <row r="3185" spans="24:41" x14ac:dyDescent="0.4">
      <c r="X3185"/>
      <c r="AO3185"/>
    </row>
    <row r="3186" spans="24:41" x14ac:dyDescent="0.4">
      <c r="X3186"/>
      <c r="AO3186"/>
    </row>
    <row r="3187" spans="24:41" x14ac:dyDescent="0.4">
      <c r="X3187"/>
      <c r="AO3187"/>
    </row>
    <row r="3188" spans="24:41" x14ac:dyDescent="0.4">
      <c r="X3188"/>
      <c r="AO3188"/>
    </row>
    <row r="3189" spans="24:41" x14ac:dyDescent="0.4">
      <c r="X3189"/>
      <c r="AO3189"/>
    </row>
    <row r="3190" spans="24:41" x14ac:dyDescent="0.4">
      <c r="X3190"/>
      <c r="AO3190"/>
    </row>
    <row r="3191" spans="24:41" x14ac:dyDescent="0.4">
      <c r="X3191"/>
      <c r="AO3191"/>
    </row>
    <row r="3192" spans="24:41" x14ac:dyDescent="0.4">
      <c r="X3192"/>
      <c r="AO3192"/>
    </row>
    <row r="3193" spans="24:41" x14ac:dyDescent="0.4">
      <c r="X3193"/>
      <c r="AO3193"/>
    </row>
    <row r="3194" spans="24:41" x14ac:dyDescent="0.4">
      <c r="X3194"/>
      <c r="AO3194"/>
    </row>
    <row r="3195" spans="24:41" x14ac:dyDescent="0.4">
      <c r="X3195"/>
      <c r="AO3195"/>
    </row>
    <row r="3196" spans="24:41" x14ac:dyDescent="0.4">
      <c r="X3196"/>
      <c r="AO3196"/>
    </row>
    <row r="3197" spans="24:41" x14ac:dyDescent="0.4">
      <c r="X3197"/>
      <c r="AO3197"/>
    </row>
    <row r="3198" spans="24:41" x14ac:dyDescent="0.4">
      <c r="X3198"/>
      <c r="AO3198"/>
    </row>
    <row r="3199" spans="24:41" x14ac:dyDescent="0.4">
      <c r="X3199"/>
      <c r="AO3199"/>
    </row>
    <row r="3200" spans="24:41" x14ac:dyDescent="0.4">
      <c r="X3200"/>
      <c r="AO3200"/>
    </row>
    <row r="3201" spans="24:41" x14ac:dyDescent="0.4">
      <c r="X3201"/>
      <c r="AO3201"/>
    </row>
    <row r="3202" spans="24:41" x14ac:dyDescent="0.4">
      <c r="X3202"/>
      <c r="AO3202"/>
    </row>
    <row r="3203" spans="24:41" x14ac:dyDescent="0.4">
      <c r="X3203"/>
      <c r="AO3203"/>
    </row>
    <row r="3204" spans="24:41" x14ac:dyDescent="0.4">
      <c r="X3204"/>
      <c r="AO3204"/>
    </row>
    <row r="3205" spans="24:41" x14ac:dyDescent="0.4">
      <c r="X3205"/>
      <c r="AO3205"/>
    </row>
    <row r="3206" spans="24:41" x14ac:dyDescent="0.4">
      <c r="X3206"/>
      <c r="AO3206"/>
    </row>
    <row r="3207" spans="24:41" x14ac:dyDescent="0.4">
      <c r="X3207"/>
      <c r="AO3207"/>
    </row>
    <row r="3208" spans="24:41" x14ac:dyDescent="0.4">
      <c r="X3208"/>
      <c r="AO3208"/>
    </row>
    <row r="3209" spans="24:41" x14ac:dyDescent="0.4">
      <c r="X3209"/>
      <c r="AO3209"/>
    </row>
    <row r="3210" spans="24:41" x14ac:dyDescent="0.4">
      <c r="X3210"/>
      <c r="AO3210"/>
    </row>
    <row r="3211" spans="24:41" x14ac:dyDescent="0.4">
      <c r="X3211"/>
      <c r="AO3211"/>
    </row>
    <row r="3212" spans="24:41" x14ac:dyDescent="0.4">
      <c r="X3212"/>
      <c r="AO3212"/>
    </row>
    <row r="3213" spans="24:41" x14ac:dyDescent="0.4">
      <c r="X3213"/>
      <c r="AO3213"/>
    </row>
    <row r="3214" spans="24:41" x14ac:dyDescent="0.4">
      <c r="X3214"/>
      <c r="AO3214"/>
    </row>
    <row r="3215" spans="24:41" x14ac:dyDescent="0.4">
      <c r="X3215"/>
      <c r="AO3215"/>
    </row>
    <row r="3216" spans="24:41" x14ac:dyDescent="0.4">
      <c r="X3216"/>
      <c r="AO3216"/>
    </row>
    <row r="3217" spans="24:41" x14ac:dyDescent="0.4">
      <c r="X3217"/>
      <c r="AO3217"/>
    </row>
    <row r="3218" spans="24:41" x14ac:dyDescent="0.4">
      <c r="X3218"/>
      <c r="AO3218"/>
    </row>
    <row r="3219" spans="24:41" x14ac:dyDescent="0.4">
      <c r="X3219"/>
      <c r="AO3219"/>
    </row>
    <row r="3220" spans="24:41" x14ac:dyDescent="0.4">
      <c r="X3220"/>
      <c r="AO3220"/>
    </row>
    <row r="3221" spans="24:41" x14ac:dyDescent="0.4">
      <c r="X3221"/>
      <c r="AO3221"/>
    </row>
    <row r="3222" spans="24:41" x14ac:dyDescent="0.4">
      <c r="X3222"/>
      <c r="AO3222"/>
    </row>
    <row r="3223" spans="24:41" x14ac:dyDescent="0.4">
      <c r="X3223"/>
      <c r="AO3223"/>
    </row>
    <row r="3224" spans="24:41" x14ac:dyDescent="0.4">
      <c r="X3224"/>
      <c r="AO3224"/>
    </row>
    <row r="3225" spans="24:41" x14ac:dyDescent="0.4">
      <c r="X3225"/>
      <c r="AO3225"/>
    </row>
    <row r="3226" spans="24:41" x14ac:dyDescent="0.4">
      <c r="X3226"/>
      <c r="AO3226"/>
    </row>
    <row r="3227" spans="24:41" x14ac:dyDescent="0.4">
      <c r="X3227"/>
      <c r="AO3227"/>
    </row>
    <row r="3228" spans="24:41" x14ac:dyDescent="0.4">
      <c r="X3228"/>
      <c r="AO3228"/>
    </row>
    <row r="3229" spans="24:41" x14ac:dyDescent="0.4">
      <c r="X3229"/>
      <c r="AO3229"/>
    </row>
    <row r="3230" spans="24:41" x14ac:dyDescent="0.4">
      <c r="X3230"/>
      <c r="AO3230"/>
    </row>
    <row r="3231" spans="24:41" x14ac:dyDescent="0.4">
      <c r="X3231"/>
      <c r="AO3231"/>
    </row>
    <row r="3232" spans="24:41" x14ac:dyDescent="0.4">
      <c r="X3232"/>
      <c r="AO3232"/>
    </row>
    <row r="3233" spans="24:41" x14ac:dyDescent="0.4">
      <c r="X3233"/>
      <c r="AO3233"/>
    </row>
    <row r="3234" spans="24:41" x14ac:dyDescent="0.4">
      <c r="X3234"/>
      <c r="AO3234"/>
    </row>
    <row r="3235" spans="24:41" x14ac:dyDescent="0.4">
      <c r="X3235"/>
      <c r="AO3235"/>
    </row>
    <row r="3236" spans="24:41" x14ac:dyDescent="0.4">
      <c r="X3236"/>
      <c r="AO3236"/>
    </row>
    <row r="3237" spans="24:41" x14ac:dyDescent="0.4">
      <c r="X3237"/>
      <c r="AO3237"/>
    </row>
    <row r="3238" spans="24:41" x14ac:dyDescent="0.4">
      <c r="X3238"/>
      <c r="AO3238"/>
    </row>
    <row r="3239" spans="24:41" x14ac:dyDescent="0.4">
      <c r="X3239"/>
      <c r="AO3239"/>
    </row>
    <row r="3240" spans="24:41" x14ac:dyDescent="0.4">
      <c r="X3240"/>
      <c r="AO3240"/>
    </row>
    <row r="3241" spans="24:41" x14ac:dyDescent="0.4">
      <c r="X3241"/>
      <c r="AO3241"/>
    </row>
    <row r="3242" spans="24:41" x14ac:dyDescent="0.4">
      <c r="X3242"/>
      <c r="AO3242"/>
    </row>
    <row r="3243" spans="24:41" x14ac:dyDescent="0.4">
      <c r="X3243"/>
      <c r="AO3243"/>
    </row>
    <row r="3244" spans="24:41" x14ac:dyDescent="0.4">
      <c r="X3244"/>
      <c r="AO3244"/>
    </row>
    <row r="3245" spans="24:41" x14ac:dyDescent="0.4">
      <c r="X3245"/>
      <c r="AO3245"/>
    </row>
    <row r="3246" spans="24:41" x14ac:dyDescent="0.4">
      <c r="X3246"/>
      <c r="AO3246"/>
    </row>
    <row r="3247" spans="24:41" x14ac:dyDescent="0.4">
      <c r="X3247"/>
      <c r="AO3247"/>
    </row>
    <row r="3248" spans="24:41" x14ac:dyDescent="0.4">
      <c r="X3248"/>
      <c r="AO3248"/>
    </row>
    <row r="3249" spans="24:41" x14ac:dyDescent="0.4">
      <c r="X3249"/>
      <c r="AO3249"/>
    </row>
    <row r="3250" spans="24:41" x14ac:dyDescent="0.4">
      <c r="X3250"/>
      <c r="AO3250"/>
    </row>
    <row r="3251" spans="24:41" x14ac:dyDescent="0.4">
      <c r="X3251"/>
      <c r="AO3251"/>
    </row>
    <row r="3252" spans="24:41" x14ac:dyDescent="0.4">
      <c r="X3252"/>
      <c r="AO3252"/>
    </row>
    <row r="3253" spans="24:41" x14ac:dyDescent="0.4">
      <c r="X3253"/>
      <c r="AO3253"/>
    </row>
    <row r="3254" spans="24:41" x14ac:dyDescent="0.4">
      <c r="X3254"/>
      <c r="AO3254"/>
    </row>
    <row r="3255" spans="24:41" x14ac:dyDescent="0.4">
      <c r="X3255"/>
      <c r="AO3255"/>
    </row>
    <row r="3256" spans="24:41" x14ac:dyDescent="0.4">
      <c r="X3256"/>
      <c r="AO3256"/>
    </row>
    <row r="3257" spans="24:41" x14ac:dyDescent="0.4">
      <c r="X3257"/>
      <c r="AO3257"/>
    </row>
    <row r="3258" spans="24:41" x14ac:dyDescent="0.4">
      <c r="X3258"/>
      <c r="AO3258"/>
    </row>
    <row r="3259" spans="24:41" x14ac:dyDescent="0.4">
      <c r="X3259"/>
      <c r="AO3259"/>
    </row>
    <row r="3260" spans="24:41" x14ac:dyDescent="0.4">
      <c r="X3260"/>
      <c r="AO3260"/>
    </row>
    <row r="3261" spans="24:41" x14ac:dyDescent="0.4">
      <c r="X3261"/>
      <c r="AO3261"/>
    </row>
    <row r="3262" spans="24:41" x14ac:dyDescent="0.4">
      <c r="X3262"/>
      <c r="AO3262"/>
    </row>
    <row r="3263" spans="24:41" x14ac:dyDescent="0.4">
      <c r="X3263"/>
      <c r="AO3263"/>
    </row>
    <row r="3264" spans="24:41" x14ac:dyDescent="0.4">
      <c r="X3264"/>
      <c r="AO3264"/>
    </row>
    <row r="3265" spans="24:41" x14ac:dyDescent="0.4">
      <c r="X3265"/>
      <c r="AO3265"/>
    </row>
    <row r="3266" spans="24:41" x14ac:dyDescent="0.4">
      <c r="X3266"/>
      <c r="AO3266"/>
    </row>
    <row r="3267" spans="24:41" x14ac:dyDescent="0.4">
      <c r="X3267"/>
      <c r="AO3267"/>
    </row>
    <row r="3268" spans="24:41" x14ac:dyDescent="0.4">
      <c r="X3268"/>
      <c r="AO3268"/>
    </row>
    <row r="3269" spans="24:41" x14ac:dyDescent="0.4">
      <c r="X3269"/>
      <c r="AO3269"/>
    </row>
    <row r="3270" spans="24:41" x14ac:dyDescent="0.4">
      <c r="X3270"/>
      <c r="AO3270"/>
    </row>
    <row r="3271" spans="24:41" x14ac:dyDescent="0.4">
      <c r="X3271"/>
      <c r="AO3271"/>
    </row>
    <row r="3272" spans="24:41" x14ac:dyDescent="0.4">
      <c r="X3272"/>
      <c r="AO3272"/>
    </row>
    <row r="3273" spans="24:41" x14ac:dyDescent="0.4">
      <c r="X3273"/>
      <c r="AO3273"/>
    </row>
    <row r="3274" spans="24:41" x14ac:dyDescent="0.4">
      <c r="X3274"/>
      <c r="AO3274"/>
    </row>
    <row r="3275" spans="24:41" x14ac:dyDescent="0.4">
      <c r="X3275"/>
      <c r="AO3275"/>
    </row>
    <row r="3276" spans="24:41" x14ac:dyDescent="0.4">
      <c r="X3276"/>
      <c r="AO3276"/>
    </row>
    <row r="3277" spans="24:41" x14ac:dyDescent="0.4">
      <c r="X3277"/>
      <c r="AO3277"/>
    </row>
    <row r="3278" spans="24:41" x14ac:dyDescent="0.4">
      <c r="X3278"/>
      <c r="AO3278"/>
    </row>
    <row r="3279" spans="24:41" x14ac:dyDescent="0.4">
      <c r="X3279"/>
      <c r="AO3279"/>
    </row>
    <row r="3280" spans="24:41" x14ac:dyDescent="0.4">
      <c r="X3280"/>
      <c r="AO3280"/>
    </row>
    <row r="3281" spans="24:41" x14ac:dyDescent="0.4">
      <c r="X3281"/>
      <c r="AO3281"/>
    </row>
    <row r="3282" spans="24:41" x14ac:dyDescent="0.4">
      <c r="X3282"/>
      <c r="AO3282"/>
    </row>
    <row r="3283" spans="24:41" x14ac:dyDescent="0.4">
      <c r="X3283"/>
      <c r="AO3283"/>
    </row>
    <row r="3284" spans="24:41" x14ac:dyDescent="0.4">
      <c r="X3284"/>
      <c r="AO3284"/>
    </row>
    <row r="3285" spans="24:41" x14ac:dyDescent="0.4">
      <c r="X3285"/>
      <c r="AO3285"/>
    </row>
    <row r="3286" spans="24:41" x14ac:dyDescent="0.4">
      <c r="X3286"/>
      <c r="AO3286"/>
    </row>
    <row r="3287" spans="24:41" x14ac:dyDescent="0.4">
      <c r="X3287"/>
      <c r="AO3287"/>
    </row>
    <row r="3288" spans="24:41" x14ac:dyDescent="0.4">
      <c r="X3288"/>
      <c r="AO3288"/>
    </row>
    <row r="3289" spans="24:41" x14ac:dyDescent="0.4">
      <c r="X3289"/>
      <c r="AO3289"/>
    </row>
    <row r="3290" spans="24:41" x14ac:dyDescent="0.4">
      <c r="X3290"/>
      <c r="AO3290"/>
    </row>
    <row r="3291" spans="24:41" x14ac:dyDescent="0.4">
      <c r="X3291"/>
      <c r="AO3291"/>
    </row>
    <row r="3292" spans="24:41" x14ac:dyDescent="0.4">
      <c r="X3292"/>
      <c r="AO3292"/>
    </row>
    <row r="3293" spans="24:41" x14ac:dyDescent="0.4">
      <c r="X3293"/>
      <c r="AO3293"/>
    </row>
    <row r="3294" spans="24:41" x14ac:dyDescent="0.4">
      <c r="X3294"/>
      <c r="AO3294"/>
    </row>
    <row r="3295" spans="24:41" x14ac:dyDescent="0.4">
      <c r="X3295"/>
      <c r="AO3295"/>
    </row>
    <row r="3296" spans="24:41" x14ac:dyDescent="0.4">
      <c r="X3296"/>
      <c r="AO3296"/>
    </row>
    <row r="3297" spans="24:41" x14ac:dyDescent="0.4">
      <c r="X3297"/>
      <c r="AO3297"/>
    </row>
    <row r="3298" spans="24:41" x14ac:dyDescent="0.4">
      <c r="X3298"/>
      <c r="AO3298"/>
    </row>
    <row r="3299" spans="24:41" x14ac:dyDescent="0.4">
      <c r="X3299"/>
      <c r="AO3299"/>
    </row>
    <row r="3300" spans="24:41" x14ac:dyDescent="0.4">
      <c r="X3300"/>
      <c r="AO3300"/>
    </row>
    <row r="3301" spans="24:41" x14ac:dyDescent="0.4">
      <c r="X3301"/>
      <c r="AO3301"/>
    </row>
    <row r="3302" spans="24:41" x14ac:dyDescent="0.4">
      <c r="X3302"/>
      <c r="AO3302"/>
    </row>
    <row r="3303" spans="24:41" x14ac:dyDescent="0.4">
      <c r="X3303"/>
      <c r="AO3303"/>
    </row>
    <row r="3304" spans="24:41" x14ac:dyDescent="0.4">
      <c r="X3304"/>
      <c r="AO3304"/>
    </row>
    <row r="3305" spans="24:41" x14ac:dyDescent="0.4">
      <c r="X3305"/>
      <c r="AO3305"/>
    </row>
    <row r="3306" spans="24:41" x14ac:dyDescent="0.4">
      <c r="X3306"/>
      <c r="AO3306"/>
    </row>
    <row r="3307" spans="24:41" x14ac:dyDescent="0.4">
      <c r="X3307"/>
      <c r="AO3307"/>
    </row>
    <row r="3308" spans="24:41" x14ac:dyDescent="0.4">
      <c r="X3308"/>
      <c r="AO3308"/>
    </row>
    <row r="3309" spans="24:41" x14ac:dyDescent="0.4">
      <c r="X3309"/>
      <c r="AO3309"/>
    </row>
    <row r="3310" spans="24:41" x14ac:dyDescent="0.4">
      <c r="X3310"/>
      <c r="AO3310"/>
    </row>
    <row r="3311" spans="24:41" x14ac:dyDescent="0.4">
      <c r="X3311"/>
      <c r="AO3311"/>
    </row>
    <row r="3312" spans="24:41" x14ac:dyDescent="0.4">
      <c r="X3312"/>
      <c r="AO3312"/>
    </row>
    <row r="3313" spans="24:41" x14ac:dyDescent="0.4">
      <c r="X3313"/>
      <c r="AO3313"/>
    </row>
    <row r="3314" spans="24:41" x14ac:dyDescent="0.4">
      <c r="X3314"/>
      <c r="AO3314"/>
    </row>
    <row r="3315" spans="24:41" x14ac:dyDescent="0.4">
      <c r="X3315"/>
      <c r="AO3315"/>
    </row>
    <row r="3316" spans="24:41" x14ac:dyDescent="0.4">
      <c r="X3316"/>
      <c r="AO3316"/>
    </row>
    <row r="3317" spans="24:41" x14ac:dyDescent="0.4">
      <c r="X3317"/>
      <c r="AO3317"/>
    </row>
    <row r="3318" spans="24:41" x14ac:dyDescent="0.4">
      <c r="X3318"/>
      <c r="AO3318"/>
    </row>
    <row r="3319" spans="24:41" x14ac:dyDescent="0.4">
      <c r="X3319"/>
      <c r="AO3319"/>
    </row>
    <row r="3320" spans="24:41" x14ac:dyDescent="0.4">
      <c r="X3320"/>
      <c r="AO3320"/>
    </row>
    <row r="3321" spans="24:41" x14ac:dyDescent="0.4">
      <c r="X3321"/>
      <c r="AO3321"/>
    </row>
    <row r="3322" spans="24:41" x14ac:dyDescent="0.4">
      <c r="X3322"/>
      <c r="AO3322"/>
    </row>
    <row r="3323" spans="24:41" x14ac:dyDescent="0.4">
      <c r="X3323"/>
      <c r="AO3323"/>
    </row>
    <row r="3324" spans="24:41" x14ac:dyDescent="0.4">
      <c r="X3324"/>
      <c r="AO3324"/>
    </row>
    <row r="3325" spans="24:41" x14ac:dyDescent="0.4">
      <c r="X3325"/>
      <c r="AO3325"/>
    </row>
    <row r="3326" spans="24:41" x14ac:dyDescent="0.4">
      <c r="X3326"/>
      <c r="AO3326"/>
    </row>
    <row r="3327" spans="24:41" x14ac:dyDescent="0.4">
      <c r="X3327"/>
      <c r="AO3327"/>
    </row>
    <row r="3328" spans="24:41" x14ac:dyDescent="0.4">
      <c r="X3328"/>
      <c r="AO3328"/>
    </row>
    <row r="3329" spans="24:41" x14ac:dyDescent="0.4">
      <c r="X3329"/>
      <c r="AO3329"/>
    </row>
    <row r="3330" spans="24:41" x14ac:dyDescent="0.4">
      <c r="X3330"/>
      <c r="AO3330"/>
    </row>
    <row r="3331" spans="24:41" x14ac:dyDescent="0.4">
      <c r="X3331"/>
      <c r="AO3331"/>
    </row>
    <row r="3332" spans="24:41" x14ac:dyDescent="0.4">
      <c r="X3332"/>
      <c r="AO3332"/>
    </row>
    <row r="3333" spans="24:41" x14ac:dyDescent="0.4">
      <c r="X3333"/>
      <c r="AO3333"/>
    </row>
    <row r="3334" spans="24:41" x14ac:dyDescent="0.4">
      <c r="X3334"/>
      <c r="AO3334"/>
    </row>
    <row r="3335" spans="24:41" x14ac:dyDescent="0.4">
      <c r="X3335"/>
      <c r="AO3335"/>
    </row>
    <row r="3336" spans="24:41" x14ac:dyDescent="0.4">
      <c r="X3336"/>
      <c r="AO3336"/>
    </row>
    <row r="3337" spans="24:41" x14ac:dyDescent="0.4">
      <c r="X3337"/>
      <c r="AO3337"/>
    </row>
    <row r="3338" spans="24:41" x14ac:dyDescent="0.4">
      <c r="X3338"/>
      <c r="AO3338"/>
    </row>
    <row r="3339" spans="24:41" x14ac:dyDescent="0.4">
      <c r="X3339"/>
      <c r="AO3339"/>
    </row>
    <row r="3340" spans="24:41" x14ac:dyDescent="0.4">
      <c r="X3340"/>
      <c r="AO3340"/>
    </row>
    <row r="3341" spans="24:41" x14ac:dyDescent="0.4">
      <c r="X3341"/>
      <c r="AO3341"/>
    </row>
    <row r="3342" spans="24:41" x14ac:dyDescent="0.4">
      <c r="X3342"/>
      <c r="AO3342"/>
    </row>
    <row r="3343" spans="24:41" x14ac:dyDescent="0.4">
      <c r="X3343"/>
      <c r="AO3343"/>
    </row>
    <row r="3344" spans="24:41" x14ac:dyDescent="0.4">
      <c r="X3344"/>
      <c r="AO3344"/>
    </row>
    <row r="3345" spans="24:41" x14ac:dyDescent="0.4">
      <c r="X3345"/>
      <c r="AO3345"/>
    </row>
    <row r="3346" spans="24:41" x14ac:dyDescent="0.4">
      <c r="X3346"/>
      <c r="AO3346"/>
    </row>
    <row r="3347" spans="24:41" x14ac:dyDescent="0.4">
      <c r="X3347"/>
      <c r="AO3347"/>
    </row>
    <row r="3348" spans="24:41" x14ac:dyDescent="0.4">
      <c r="X3348"/>
      <c r="AO3348"/>
    </row>
    <row r="3349" spans="24:41" x14ac:dyDescent="0.4">
      <c r="X3349"/>
      <c r="AO3349"/>
    </row>
    <row r="3350" spans="24:41" x14ac:dyDescent="0.4">
      <c r="X3350"/>
      <c r="AO3350"/>
    </row>
    <row r="3351" spans="24:41" x14ac:dyDescent="0.4">
      <c r="X3351"/>
      <c r="AO3351"/>
    </row>
    <row r="3352" spans="24:41" x14ac:dyDescent="0.4">
      <c r="X3352"/>
      <c r="AO3352"/>
    </row>
    <row r="3353" spans="24:41" x14ac:dyDescent="0.4">
      <c r="X3353"/>
      <c r="AO3353"/>
    </row>
    <row r="3354" spans="24:41" x14ac:dyDescent="0.4">
      <c r="X3354"/>
      <c r="AO3354"/>
    </row>
    <row r="3355" spans="24:41" x14ac:dyDescent="0.4">
      <c r="X3355"/>
      <c r="AO3355"/>
    </row>
    <row r="3356" spans="24:41" x14ac:dyDescent="0.4">
      <c r="X3356"/>
      <c r="AO3356"/>
    </row>
    <row r="3357" spans="24:41" x14ac:dyDescent="0.4">
      <c r="X3357"/>
      <c r="AO3357"/>
    </row>
    <row r="3358" spans="24:41" x14ac:dyDescent="0.4">
      <c r="X3358"/>
      <c r="AO3358"/>
    </row>
    <row r="3359" spans="24:41" x14ac:dyDescent="0.4">
      <c r="X3359"/>
      <c r="AO3359"/>
    </row>
    <row r="3360" spans="24:41" x14ac:dyDescent="0.4">
      <c r="X3360"/>
      <c r="AO3360"/>
    </row>
    <row r="3361" spans="24:41" x14ac:dyDescent="0.4">
      <c r="X3361"/>
      <c r="AO3361"/>
    </row>
    <row r="3362" spans="24:41" x14ac:dyDescent="0.4">
      <c r="X3362"/>
      <c r="AO3362"/>
    </row>
    <row r="3363" spans="24:41" x14ac:dyDescent="0.4">
      <c r="X3363"/>
      <c r="AO3363"/>
    </row>
    <row r="3364" spans="24:41" x14ac:dyDescent="0.4">
      <c r="X3364"/>
      <c r="AO3364"/>
    </row>
    <row r="3365" spans="24:41" x14ac:dyDescent="0.4">
      <c r="X3365"/>
      <c r="AO3365"/>
    </row>
    <row r="3366" spans="24:41" x14ac:dyDescent="0.4">
      <c r="X3366"/>
      <c r="AO3366"/>
    </row>
    <row r="3367" spans="24:41" x14ac:dyDescent="0.4">
      <c r="X3367"/>
      <c r="AO3367"/>
    </row>
    <row r="3368" spans="24:41" x14ac:dyDescent="0.4">
      <c r="X3368"/>
      <c r="AO3368"/>
    </row>
    <row r="3369" spans="24:41" x14ac:dyDescent="0.4">
      <c r="X3369"/>
      <c r="AO3369"/>
    </row>
    <row r="3370" spans="24:41" x14ac:dyDescent="0.4">
      <c r="X3370"/>
      <c r="AO3370"/>
    </row>
    <row r="3371" spans="24:41" x14ac:dyDescent="0.4">
      <c r="X3371"/>
      <c r="AO3371"/>
    </row>
    <row r="3372" spans="24:41" x14ac:dyDescent="0.4">
      <c r="X3372"/>
      <c r="AO3372"/>
    </row>
    <row r="3373" spans="24:41" x14ac:dyDescent="0.4">
      <c r="X3373"/>
      <c r="AO3373"/>
    </row>
    <row r="3374" spans="24:41" x14ac:dyDescent="0.4">
      <c r="X3374"/>
      <c r="AO3374"/>
    </row>
    <row r="3375" spans="24:41" x14ac:dyDescent="0.4">
      <c r="X3375"/>
      <c r="AO3375"/>
    </row>
    <row r="3376" spans="24:41" x14ac:dyDescent="0.4">
      <c r="X3376"/>
      <c r="AO3376"/>
    </row>
    <row r="3377" spans="24:41" x14ac:dyDescent="0.4">
      <c r="X3377"/>
      <c r="AO3377"/>
    </row>
    <row r="3378" spans="24:41" x14ac:dyDescent="0.4">
      <c r="X3378"/>
      <c r="AO3378"/>
    </row>
    <row r="3379" spans="24:41" x14ac:dyDescent="0.4">
      <c r="X3379"/>
      <c r="AO3379"/>
    </row>
    <row r="3380" spans="24:41" x14ac:dyDescent="0.4">
      <c r="X3380"/>
      <c r="AO3380"/>
    </row>
    <row r="3381" spans="24:41" x14ac:dyDescent="0.4">
      <c r="X3381"/>
      <c r="AO3381"/>
    </row>
    <row r="3382" spans="24:41" x14ac:dyDescent="0.4">
      <c r="X3382"/>
      <c r="AO3382"/>
    </row>
    <row r="3383" spans="24:41" x14ac:dyDescent="0.4">
      <c r="X3383"/>
      <c r="AO3383"/>
    </row>
    <row r="3384" spans="24:41" x14ac:dyDescent="0.4">
      <c r="X3384"/>
      <c r="AO3384"/>
    </row>
    <row r="3385" spans="24:41" x14ac:dyDescent="0.4">
      <c r="X3385"/>
      <c r="AO3385"/>
    </row>
    <row r="3386" spans="24:41" x14ac:dyDescent="0.4">
      <c r="X3386"/>
      <c r="AO3386"/>
    </row>
    <row r="3387" spans="24:41" x14ac:dyDescent="0.4">
      <c r="X3387"/>
      <c r="AO3387"/>
    </row>
    <row r="3388" spans="24:41" x14ac:dyDescent="0.4">
      <c r="X3388"/>
      <c r="AO3388"/>
    </row>
    <row r="3389" spans="24:41" x14ac:dyDescent="0.4">
      <c r="X3389"/>
      <c r="AO3389"/>
    </row>
    <row r="3390" spans="24:41" x14ac:dyDescent="0.4">
      <c r="X3390"/>
      <c r="AO3390"/>
    </row>
    <row r="3391" spans="24:41" x14ac:dyDescent="0.4">
      <c r="X3391"/>
      <c r="AO3391"/>
    </row>
    <row r="3392" spans="24:41" x14ac:dyDescent="0.4">
      <c r="X3392"/>
      <c r="AO3392"/>
    </row>
    <row r="3393" spans="24:41" x14ac:dyDescent="0.4">
      <c r="X3393"/>
      <c r="AO3393"/>
    </row>
    <row r="3394" spans="24:41" x14ac:dyDescent="0.4">
      <c r="X3394"/>
      <c r="AO3394"/>
    </row>
    <row r="3395" spans="24:41" x14ac:dyDescent="0.4">
      <c r="X3395"/>
      <c r="AO3395"/>
    </row>
    <row r="3396" spans="24:41" x14ac:dyDescent="0.4">
      <c r="X3396"/>
      <c r="AO3396"/>
    </row>
    <row r="3397" spans="24:41" x14ac:dyDescent="0.4">
      <c r="X3397"/>
      <c r="AO3397"/>
    </row>
    <row r="3398" spans="24:41" x14ac:dyDescent="0.4">
      <c r="X3398"/>
      <c r="AO3398"/>
    </row>
    <row r="3399" spans="24:41" x14ac:dyDescent="0.4">
      <c r="X3399"/>
      <c r="AO3399"/>
    </row>
    <row r="3400" spans="24:41" x14ac:dyDescent="0.4">
      <c r="X3400"/>
      <c r="AO3400"/>
    </row>
    <row r="3401" spans="24:41" x14ac:dyDescent="0.4">
      <c r="X3401"/>
      <c r="AO3401"/>
    </row>
    <row r="3402" spans="24:41" x14ac:dyDescent="0.4">
      <c r="X3402"/>
      <c r="AO3402"/>
    </row>
    <row r="3403" spans="24:41" x14ac:dyDescent="0.4">
      <c r="X3403"/>
      <c r="AO3403"/>
    </row>
    <row r="3404" spans="24:41" x14ac:dyDescent="0.4">
      <c r="X3404"/>
      <c r="AO3404"/>
    </row>
    <row r="3405" spans="24:41" x14ac:dyDescent="0.4">
      <c r="X3405"/>
      <c r="AO3405"/>
    </row>
    <row r="3406" spans="24:41" x14ac:dyDescent="0.4">
      <c r="X3406"/>
      <c r="AO3406"/>
    </row>
    <row r="3407" spans="24:41" x14ac:dyDescent="0.4">
      <c r="X3407"/>
      <c r="AO3407"/>
    </row>
    <row r="3408" spans="24:41" x14ac:dyDescent="0.4">
      <c r="X3408"/>
      <c r="AO3408"/>
    </row>
    <row r="3409" spans="24:41" x14ac:dyDescent="0.4">
      <c r="X3409"/>
      <c r="AO3409"/>
    </row>
    <row r="3410" spans="24:41" x14ac:dyDescent="0.4">
      <c r="X3410"/>
      <c r="AO3410"/>
    </row>
    <row r="3411" spans="24:41" x14ac:dyDescent="0.4">
      <c r="X3411"/>
      <c r="AO3411"/>
    </row>
    <row r="3412" spans="24:41" x14ac:dyDescent="0.4">
      <c r="X3412"/>
      <c r="AO3412"/>
    </row>
    <row r="3413" spans="24:41" x14ac:dyDescent="0.4">
      <c r="X3413"/>
      <c r="AO3413"/>
    </row>
    <row r="3414" spans="24:41" x14ac:dyDescent="0.4">
      <c r="X3414"/>
      <c r="AO3414"/>
    </row>
    <row r="3415" spans="24:41" x14ac:dyDescent="0.4">
      <c r="X3415"/>
      <c r="AO3415"/>
    </row>
    <row r="3416" spans="24:41" x14ac:dyDescent="0.4">
      <c r="X3416"/>
      <c r="AO3416"/>
    </row>
    <row r="3417" spans="24:41" x14ac:dyDescent="0.4">
      <c r="X3417"/>
      <c r="AO3417"/>
    </row>
    <row r="3418" spans="24:41" x14ac:dyDescent="0.4">
      <c r="X3418"/>
      <c r="AO3418"/>
    </row>
    <row r="3419" spans="24:41" x14ac:dyDescent="0.4">
      <c r="X3419"/>
      <c r="AO3419"/>
    </row>
    <row r="3420" spans="24:41" x14ac:dyDescent="0.4">
      <c r="X3420"/>
      <c r="AO3420"/>
    </row>
    <row r="3421" spans="24:41" x14ac:dyDescent="0.4">
      <c r="X3421"/>
      <c r="AO3421"/>
    </row>
    <row r="3422" spans="24:41" x14ac:dyDescent="0.4">
      <c r="X3422"/>
      <c r="AO3422"/>
    </row>
    <row r="3423" spans="24:41" x14ac:dyDescent="0.4">
      <c r="X3423"/>
      <c r="AO3423"/>
    </row>
    <row r="3424" spans="24:41" x14ac:dyDescent="0.4">
      <c r="X3424"/>
      <c r="AO3424"/>
    </row>
    <row r="3425" spans="24:41" x14ac:dyDescent="0.4">
      <c r="X3425"/>
      <c r="AO3425"/>
    </row>
    <row r="3426" spans="24:41" x14ac:dyDescent="0.4">
      <c r="X3426"/>
      <c r="AO3426"/>
    </row>
    <row r="3427" spans="24:41" x14ac:dyDescent="0.4">
      <c r="X3427"/>
      <c r="AO3427"/>
    </row>
    <row r="3428" spans="24:41" x14ac:dyDescent="0.4">
      <c r="X3428"/>
      <c r="AO3428"/>
    </row>
    <row r="3429" spans="24:41" x14ac:dyDescent="0.4">
      <c r="X3429"/>
      <c r="AO3429"/>
    </row>
    <row r="3430" spans="24:41" x14ac:dyDescent="0.4">
      <c r="X3430"/>
      <c r="AO3430"/>
    </row>
    <row r="3431" spans="24:41" x14ac:dyDescent="0.4">
      <c r="X3431"/>
      <c r="AO3431"/>
    </row>
    <row r="3432" spans="24:41" x14ac:dyDescent="0.4">
      <c r="X3432"/>
      <c r="AO3432"/>
    </row>
    <row r="3433" spans="24:41" x14ac:dyDescent="0.4">
      <c r="X3433"/>
      <c r="AO3433"/>
    </row>
    <row r="3434" spans="24:41" x14ac:dyDescent="0.4">
      <c r="X3434"/>
      <c r="AO3434"/>
    </row>
    <row r="3435" spans="24:41" x14ac:dyDescent="0.4">
      <c r="X3435"/>
      <c r="AO3435"/>
    </row>
    <row r="3436" spans="24:41" x14ac:dyDescent="0.4">
      <c r="X3436"/>
      <c r="AO3436"/>
    </row>
    <row r="3437" spans="24:41" x14ac:dyDescent="0.4">
      <c r="X3437"/>
      <c r="AO3437"/>
    </row>
    <row r="3438" spans="24:41" x14ac:dyDescent="0.4">
      <c r="X3438"/>
      <c r="AO3438"/>
    </row>
    <row r="3439" spans="24:41" x14ac:dyDescent="0.4">
      <c r="X3439"/>
      <c r="AO3439"/>
    </row>
    <row r="3440" spans="24:41" x14ac:dyDescent="0.4">
      <c r="X3440"/>
      <c r="AO3440"/>
    </row>
    <row r="3441" spans="24:41" x14ac:dyDescent="0.4">
      <c r="X3441"/>
      <c r="AO3441"/>
    </row>
    <row r="3442" spans="24:41" x14ac:dyDescent="0.4">
      <c r="X3442"/>
      <c r="AO3442"/>
    </row>
    <row r="3443" spans="24:41" x14ac:dyDescent="0.4">
      <c r="X3443"/>
      <c r="AO3443"/>
    </row>
    <row r="3444" spans="24:41" x14ac:dyDescent="0.4">
      <c r="X3444"/>
      <c r="AO3444"/>
    </row>
    <row r="3445" spans="24:41" x14ac:dyDescent="0.4">
      <c r="X3445"/>
      <c r="AO3445"/>
    </row>
    <row r="3446" spans="24:41" x14ac:dyDescent="0.4">
      <c r="X3446"/>
      <c r="AO3446"/>
    </row>
    <row r="3447" spans="24:41" x14ac:dyDescent="0.4">
      <c r="X3447"/>
      <c r="AO3447"/>
    </row>
    <row r="3448" spans="24:41" x14ac:dyDescent="0.4">
      <c r="X3448"/>
      <c r="AO3448"/>
    </row>
    <row r="3449" spans="24:41" x14ac:dyDescent="0.4">
      <c r="X3449"/>
      <c r="AO3449"/>
    </row>
    <row r="3450" spans="24:41" x14ac:dyDescent="0.4">
      <c r="X3450"/>
      <c r="AO3450"/>
    </row>
    <row r="3451" spans="24:41" x14ac:dyDescent="0.4">
      <c r="X3451"/>
      <c r="AO3451"/>
    </row>
    <row r="3452" spans="24:41" x14ac:dyDescent="0.4">
      <c r="X3452"/>
      <c r="AO3452"/>
    </row>
    <row r="3453" spans="24:41" x14ac:dyDescent="0.4">
      <c r="X3453"/>
      <c r="AO3453"/>
    </row>
    <row r="3454" spans="24:41" x14ac:dyDescent="0.4">
      <c r="X3454"/>
      <c r="AO3454"/>
    </row>
    <row r="3455" spans="24:41" x14ac:dyDescent="0.4">
      <c r="X3455"/>
      <c r="AO3455"/>
    </row>
    <row r="3456" spans="24:41" x14ac:dyDescent="0.4">
      <c r="X3456"/>
      <c r="AO3456"/>
    </row>
    <row r="3457" spans="24:41" x14ac:dyDescent="0.4">
      <c r="X3457"/>
      <c r="AO3457"/>
    </row>
    <row r="3458" spans="24:41" x14ac:dyDescent="0.4">
      <c r="X3458"/>
      <c r="AO3458"/>
    </row>
    <row r="3459" spans="24:41" x14ac:dyDescent="0.4">
      <c r="X3459"/>
      <c r="AO3459"/>
    </row>
    <row r="3460" spans="24:41" x14ac:dyDescent="0.4">
      <c r="X3460"/>
      <c r="AO3460"/>
    </row>
    <row r="3461" spans="24:41" x14ac:dyDescent="0.4">
      <c r="X3461"/>
      <c r="AO3461"/>
    </row>
    <row r="3462" spans="24:41" x14ac:dyDescent="0.4">
      <c r="X3462"/>
      <c r="AO3462"/>
    </row>
    <row r="3463" spans="24:41" x14ac:dyDescent="0.4">
      <c r="X3463"/>
      <c r="AO3463"/>
    </row>
    <row r="3464" spans="24:41" x14ac:dyDescent="0.4">
      <c r="X3464"/>
      <c r="AO3464"/>
    </row>
    <row r="3465" spans="24:41" x14ac:dyDescent="0.4">
      <c r="X3465"/>
      <c r="AO3465"/>
    </row>
    <row r="3466" spans="24:41" x14ac:dyDescent="0.4">
      <c r="X3466"/>
      <c r="AO3466"/>
    </row>
    <row r="3467" spans="24:41" x14ac:dyDescent="0.4">
      <c r="X3467"/>
      <c r="AO3467"/>
    </row>
    <row r="3468" spans="24:41" x14ac:dyDescent="0.4">
      <c r="X3468"/>
      <c r="AO3468"/>
    </row>
    <row r="3469" spans="24:41" x14ac:dyDescent="0.4">
      <c r="X3469"/>
      <c r="AO3469"/>
    </row>
    <row r="3470" spans="24:41" x14ac:dyDescent="0.4">
      <c r="X3470"/>
      <c r="AO3470"/>
    </row>
    <row r="3471" spans="24:41" x14ac:dyDescent="0.4">
      <c r="X3471"/>
      <c r="AO3471"/>
    </row>
    <row r="3472" spans="24:41" x14ac:dyDescent="0.4">
      <c r="X3472"/>
      <c r="AO3472"/>
    </row>
    <row r="3473" spans="24:41" x14ac:dyDescent="0.4">
      <c r="X3473"/>
      <c r="AO3473"/>
    </row>
    <row r="3474" spans="24:41" x14ac:dyDescent="0.4">
      <c r="X3474"/>
      <c r="AO3474"/>
    </row>
    <row r="3475" spans="24:41" x14ac:dyDescent="0.4">
      <c r="X3475"/>
      <c r="AO3475"/>
    </row>
    <row r="3476" spans="24:41" x14ac:dyDescent="0.4">
      <c r="X3476"/>
      <c r="AO3476"/>
    </row>
    <row r="3477" spans="24:41" x14ac:dyDescent="0.4">
      <c r="X3477"/>
      <c r="AO3477"/>
    </row>
    <row r="3478" spans="24:41" x14ac:dyDescent="0.4">
      <c r="X3478"/>
      <c r="AO3478"/>
    </row>
    <row r="3479" spans="24:41" x14ac:dyDescent="0.4">
      <c r="X3479"/>
      <c r="AO3479"/>
    </row>
    <row r="3480" spans="24:41" x14ac:dyDescent="0.4">
      <c r="X3480"/>
      <c r="AO3480"/>
    </row>
    <row r="3481" spans="24:41" x14ac:dyDescent="0.4">
      <c r="X3481"/>
      <c r="AO3481"/>
    </row>
    <row r="3482" spans="24:41" x14ac:dyDescent="0.4">
      <c r="X3482"/>
      <c r="AO3482"/>
    </row>
    <row r="3483" spans="24:41" x14ac:dyDescent="0.4">
      <c r="X3483"/>
      <c r="AO3483"/>
    </row>
    <row r="3484" spans="24:41" x14ac:dyDescent="0.4">
      <c r="X3484"/>
      <c r="AO3484"/>
    </row>
    <row r="3485" spans="24:41" x14ac:dyDescent="0.4">
      <c r="X3485"/>
      <c r="AO3485"/>
    </row>
    <row r="3486" spans="24:41" x14ac:dyDescent="0.4">
      <c r="X3486"/>
      <c r="AO3486"/>
    </row>
    <row r="3487" spans="24:41" x14ac:dyDescent="0.4">
      <c r="X3487"/>
      <c r="AO3487"/>
    </row>
    <row r="3488" spans="24:41" x14ac:dyDescent="0.4">
      <c r="X3488"/>
      <c r="AO3488"/>
    </row>
    <row r="3489" spans="24:41" x14ac:dyDescent="0.4">
      <c r="X3489"/>
      <c r="AO3489"/>
    </row>
    <row r="3490" spans="24:41" x14ac:dyDescent="0.4">
      <c r="X3490"/>
      <c r="AO3490"/>
    </row>
    <row r="3491" spans="24:41" x14ac:dyDescent="0.4">
      <c r="X3491"/>
      <c r="AO3491"/>
    </row>
    <row r="3492" spans="24:41" x14ac:dyDescent="0.4">
      <c r="X3492"/>
      <c r="AO3492"/>
    </row>
    <row r="3493" spans="24:41" x14ac:dyDescent="0.4">
      <c r="X3493"/>
      <c r="AO3493"/>
    </row>
    <row r="3494" spans="24:41" x14ac:dyDescent="0.4">
      <c r="X3494"/>
      <c r="AO3494"/>
    </row>
    <row r="3495" spans="24:41" x14ac:dyDescent="0.4">
      <c r="X3495"/>
      <c r="AO3495"/>
    </row>
    <row r="3496" spans="24:41" x14ac:dyDescent="0.4">
      <c r="X3496"/>
      <c r="AO3496"/>
    </row>
    <row r="3497" spans="24:41" x14ac:dyDescent="0.4">
      <c r="X3497"/>
      <c r="AO3497"/>
    </row>
    <row r="3498" spans="24:41" x14ac:dyDescent="0.4">
      <c r="X3498"/>
      <c r="AO3498"/>
    </row>
    <row r="3499" spans="24:41" x14ac:dyDescent="0.4">
      <c r="X3499"/>
      <c r="AO3499"/>
    </row>
    <row r="3500" spans="24:41" x14ac:dyDescent="0.4">
      <c r="X3500"/>
      <c r="AO3500"/>
    </row>
    <row r="3501" spans="24:41" x14ac:dyDescent="0.4">
      <c r="X3501"/>
      <c r="AO3501"/>
    </row>
    <row r="3502" spans="24:41" x14ac:dyDescent="0.4">
      <c r="X3502"/>
      <c r="AO3502"/>
    </row>
    <row r="3503" spans="24:41" x14ac:dyDescent="0.4">
      <c r="X3503"/>
      <c r="AO3503"/>
    </row>
    <row r="3504" spans="24:41" x14ac:dyDescent="0.4">
      <c r="X3504"/>
      <c r="AO3504"/>
    </row>
    <row r="3505" spans="24:41" x14ac:dyDescent="0.4">
      <c r="X3505"/>
      <c r="AO3505"/>
    </row>
    <row r="3506" spans="24:41" x14ac:dyDescent="0.4">
      <c r="X3506"/>
      <c r="AO3506"/>
    </row>
    <row r="3507" spans="24:41" x14ac:dyDescent="0.4">
      <c r="X3507"/>
      <c r="AO3507"/>
    </row>
    <row r="3508" spans="24:41" x14ac:dyDescent="0.4">
      <c r="X3508"/>
      <c r="AO3508"/>
    </row>
    <row r="3509" spans="24:41" x14ac:dyDescent="0.4">
      <c r="X3509"/>
      <c r="AO3509"/>
    </row>
    <row r="3510" spans="24:41" x14ac:dyDescent="0.4">
      <c r="X3510"/>
      <c r="AO3510"/>
    </row>
    <row r="3511" spans="24:41" x14ac:dyDescent="0.4">
      <c r="X3511"/>
      <c r="AO3511"/>
    </row>
    <row r="3512" spans="24:41" x14ac:dyDescent="0.4">
      <c r="X3512"/>
      <c r="AO3512"/>
    </row>
    <row r="3513" spans="24:41" x14ac:dyDescent="0.4">
      <c r="X3513"/>
      <c r="AO3513"/>
    </row>
    <row r="3514" spans="24:41" x14ac:dyDescent="0.4">
      <c r="X3514"/>
      <c r="AO3514"/>
    </row>
    <row r="3515" spans="24:41" x14ac:dyDescent="0.4">
      <c r="X3515"/>
      <c r="AO3515"/>
    </row>
    <row r="3516" spans="24:41" x14ac:dyDescent="0.4">
      <c r="X3516"/>
      <c r="AO3516"/>
    </row>
    <row r="3517" spans="24:41" x14ac:dyDescent="0.4">
      <c r="X3517"/>
      <c r="AO3517"/>
    </row>
    <row r="3518" spans="24:41" x14ac:dyDescent="0.4">
      <c r="X3518"/>
      <c r="AO3518"/>
    </row>
    <row r="3519" spans="24:41" x14ac:dyDescent="0.4">
      <c r="X3519"/>
      <c r="AO3519"/>
    </row>
    <row r="3520" spans="24:41" x14ac:dyDescent="0.4">
      <c r="X3520"/>
      <c r="AO3520"/>
    </row>
    <row r="3521" spans="24:41" x14ac:dyDescent="0.4">
      <c r="X3521"/>
      <c r="AO3521"/>
    </row>
    <row r="3522" spans="24:41" x14ac:dyDescent="0.4">
      <c r="X3522"/>
      <c r="AO3522"/>
    </row>
    <row r="3523" spans="24:41" x14ac:dyDescent="0.4">
      <c r="X3523"/>
      <c r="AO3523"/>
    </row>
    <row r="3524" spans="24:41" x14ac:dyDescent="0.4">
      <c r="X3524"/>
      <c r="AO3524"/>
    </row>
    <row r="3525" spans="24:41" x14ac:dyDescent="0.4">
      <c r="X3525"/>
      <c r="AO3525"/>
    </row>
    <row r="3526" spans="24:41" x14ac:dyDescent="0.4">
      <c r="X3526"/>
      <c r="AO3526"/>
    </row>
    <row r="3527" spans="24:41" x14ac:dyDescent="0.4">
      <c r="X3527"/>
      <c r="AO3527"/>
    </row>
    <row r="3528" spans="24:41" x14ac:dyDescent="0.4">
      <c r="X3528"/>
      <c r="AO3528"/>
    </row>
    <row r="3529" spans="24:41" x14ac:dyDescent="0.4">
      <c r="X3529"/>
      <c r="AO3529"/>
    </row>
    <row r="3530" spans="24:41" x14ac:dyDescent="0.4">
      <c r="X3530"/>
      <c r="AO3530"/>
    </row>
    <row r="3531" spans="24:41" x14ac:dyDescent="0.4">
      <c r="X3531"/>
      <c r="AO3531"/>
    </row>
    <row r="3532" spans="24:41" x14ac:dyDescent="0.4">
      <c r="X3532"/>
      <c r="AO3532"/>
    </row>
    <row r="3533" spans="24:41" x14ac:dyDescent="0.4">
      <c r="X3533"/>
      <c r="AO3533"/>
    </row>
    <row r="3534" spans="24:41" x14ac:dyDescent="0.4">
      <c r="X3534"/>
      <c r="AO3534"/>
    </row>
    <row r="3535" spans="24:41" x14ac:dyDescent="0.4">
      <c r="X3535"/>
      <c r="AO3535"/>
    </row>
    <row r="3536" spans="24:41" x14ac:dyDescent="0.4">
      <c r="X3536"/>
      <c r="AO3536"/>
    </row>
    <row r="3537" spans="24:41" x14ac:dyDescent="0.4">
      <c r="X3537"/>
      <c r="AO3537"/>
    </row>
    <row r="3538" spans="24:41" x14ac:dyDescent="0.4">
      <c r="X3538"/>
      <c r="AO3538"/>
    </row>
    <row r="3539" spans="24:41" x14ac:dyDescent="0.4">
      <c r="X3539"/>
      <c r="AO3539"/>
    </row>
    <row r="3540" spans="24:41" x14ac:dyDescent="0.4">
      <c r="X3540"/>
      <c r="AO3540"/>
    </row>
    <row r="3541" spans="24:41" x14ac:dyDescent="0.4">
      <c r="X3541"/>
      <c r="AO3541"/>
    </row>
    <row r="3542" spans="24:41" x14ac:dyDescent="0.4">
      <c r="X3542"/>
      <c r="AO3542"/>
    </row>
    <row r="3543" spans="24:41" x14ac:dyDescent="0.4">
      <c r="X3543"/>
      <c r="AO3543"/>
    </row>
    <row r="3544" spans="24:41" x14ac:dyDescent="0.4">
      <c r="X3544"/>
      <c r="AO3544"/>
    </row>
    <row r="3545" spans="24:41" x14ac:dyDescent="0.4">
      <c r="X3545"/>
      <c r="AO3545"/>
    </row>
    <row r="3546" spans="24:41" x14ac:dyDescent="0.4">
      <c r="X3546"/>
      <c r="AO3546"/>
    </row>
    <row r="3547" spans="24:41" x14ac:dyDescent="0.4">
      <c r="X3547"/>
      <c r="AO3547"/>
    </row>
    <row r="3548" spans="24:41" x14ac:dyDescent="0.4">
      <c r="X3548"/>
      <c r="AO3548"/>
    </row>
    <row r="3549" spans="24:41" x14ac:dyDescent="0.4">
      <c r="X3549"/>
      <c r="AO3549"/>
    </row>
    <row r="3550" spans="24:41" x14ac:dyDescent="0.4">
      <c r="X3550"/>
      <c r="AO3550"/>
    </row>
    <row r="3551" spans="24:41" x14ac:dyDescent="0.4">
      <c r="X3551"/>
      <c r="AO3551"/>
    </row>
    <row r="3552" spans="24:41" x14ac:dyDescent="0.4">
      <c r="X3552"/>
      <c r="AO3552"/>
    </row>
    <row r="3553" spans="24:41" x14ac:dyDescent="0.4">
      <c r="X3553"/>
      <c r="AO3553"/>
    </row>
    <row r="3554" spans="24:41" x14ac:dyDescent="0.4">
      <c r="X3554"/>
      <c r="AO3554"/>
    </row>
    <row r="3555" spans="24:41" x14ac:dyDescent="0.4">
      <c r="X3555"/>
      <c r="AO3555"/>
    </row>
    <row r="3556" spans="24:41" x14ac:dyDescent="0.4">
      <c r="X3556"/>
      <c r="AO3556"/>
    </row>
    <row r="3557" spans="24:41" x14ac:dyDescent="0.4">
      <c r="X3557"/>
      <c r="AO3557"/>
    </row>
    <row r="3558" spans="24:41" x14ac:dyDescent="0.4">
      <c r="X3558"/>
      <c r="AO3558"/>
    </row>
    <row r="3559" spans="24:41" x14ac:dyDescent="0.4">
      <c r="X3559"/>
      <c r="AO3559"/>
    </row>
    <row r="3560" spans="24:41" x14ac:dyDescent="0.4">
      <c r="X3560"/>
      <c r="AO3560"/>
    </row>
    <row r="3561" spans="24:41" x14ac:dyDescent="0.4">
      <c r="X3561"/>
      <c r="AO3561"/>
    </row>
    <row r="3562" spans="24:41" x14ac:dyDescent="0.4">
      <c r="X3562"/>
      <c r="AO3562"/>
    </row>
    <row r="3563" spans="24:41" x14ac:dyDescent="0.4">
      <c r="X3563"/>
      <c r="AO3563"/>
    </row>
    <row r="3564" spans="24:41" x14ac:dyDescent="0.4">
      <c r="X3564"/>
      <c r="AO3564"/>
    </row>
    <row r="3565" spans="24:41" x14ac:dyDescent="0.4">
      <c r="X3565"/>
      <c r="AO3565"/>
    </row>
    <row r="3566" spans="24:41" x14ac:dyDescent="0.4">
      <c r="X3566"/>
      <c r="AO3566"/>
    </row>
    <row r="3567" spans="24:41" x14ac:dyDescent="0.4">
      <c r="X3567"/>
      <c r="AO3567"/>
    </row>
    <row r="3568" spans="24:41" x14ac:dyDescent="0.4">
      <c r="X3568"/>
      <c r="AO3568"/>
    </row>
    <row r="3569" spans="24:41" x14ac:dyDescent="0.4">
      <c r="X3569"/>
      <c r="AO3569"/>
    </row>
    <row r="3570" spans="24:41" x14ac:dyDescent="0.4">
      <c r="X3570"/>
      <c r="AO3570"/>
    </row>
    <row r="3571" spans="24:41" x14ac:dyDescent="0.4">
      <c r="X3571"/>
      <c r="AO3571"/>
    </row>
    <row r="3572" spans="24:41" x14ac:dyDescent="0.4">
      <c r="X3572"/>
      <c r="AO3572"/>
    </row>
    <row r="3573" spans="24:41" x14ac:dyDescent="0.4">
      <c r="X3573"/>
      <c r="AO3573"/>
    </row>
    <row r="3574" spans="24:41" x14ac:dyDescent="0.4">
      <c r="X3574"/>
      <c r="AO3574"/>
    </row>
    <row r="3575" spans="24:41" x14ac:dyDescent="0.4">
      <c r="X3575"/>
      <c r="AO3575"/>
    </row>
    <row r="3576" spans="24:41" x14ac:dyDescent="0.4">
      <c r="X3576"/>
      <c r="AO3576"/>
    </row>
    <row r="3577" spans="24:41" x14ac:dyDescent="0.4">
      <c r="X3577"/>
      <c r="AO3577"/>
    </row>
    <row r="3578" spans="24:41" x14ac:dyDescent="0.4">
      <c r="X3578"/>
      <c r="AO3578"/>
    </row>
    <row r="3579" spans="24:41" x14ac:dyDescent="0.4">
      <c r="X3579"/>
      <c r="AO3579"/>
    </row>
    <row r="3580" spans="24:41" x14ac:dyDescent="0.4">
      <c r="X3580"/>
      <c r="AO3580"/>
    </row>
    <row r="3581" spans="24:41" x14ac:dyDescent="0.4">
      <c r="X3581"/>
      <c r="AO3581"/>
    </row>
    <row r="3582" spans="24:41" x14ac:dyDescent="0.4">
      <c r="X3582"/>
      <c r="AO3582"/>
    </row>
    <row r="3583" spans="24:41" x14ac:dyDescent="0.4">
      <c r="X3583"/>
      <c r="AO3583"/>
    </row>
    <row r="3584" spans="24:41" x14ac:dyDescent="0.4">
      <c r="X3584"/>
      <c r="AO3584"/>
    </row>
    <row r="3585" spans="24:41" x14ac:dyDescent="0.4">
      <c r="X3585"/>
      <c r="AO3585"/>
    </row>
    <row r="3586" spans="24:41" x14ac:dyDescent="0.4">
      <c r="X3586"/>
      <c r="AO3586"/>
    </row>
    <row r="3587" spans="24:41" x14ac:dyDescent="0.4">
      <c r="X3587"/>
      <c r="AO3587"/>
    </row>
    <row r="3588" spans="24:41" x14ac:dyDescent="0.4">
      <c r="X3588"/>
      <c r="AO3588"/>
    </row>
    <row r="3589" spans="24:41" x14ac:dyDescent="0.4">
      <c r="X3589"/>
      <c r="AO3589"/>
    </row>
    <row r="3590" spans="24:41" x14ac:dyDescent="0.4">
      <c r="X3590"/>
      <c r="AO3590"/>
    </row>
    <row r="3591" spans="24:41" x14ac:dyDescent="0.4">
      <c r="X3591"/>
      <c r="AO3591"/>
    </row>
    <row r="3592" spans="24:41" x14ac:dyDescent="0.4">
      <c r="X3592"/>
      <c r="AO3592"/>
    </row>
    <row r="3593" spans="24:41" x14ac:dyDescent="0.4">
      <c r="X3593"/>
      <c r="AO3593"/>
    </row>
    <row r="3594" spans="24:41" x14ac:dyDescent="0.4">
      <c r="X3594"/>
      <c r="AO3594"/>
    </row>
    <row r="3595" spans="24:41" x14ac:dyDescent="0.4">
      <c r="X3595"/>
      <c r="AO3595"/>
    </row>
    <row r="3596" spans="24:41" x14ac:dyDescent="0.4">
      <c r="X3596"/>
      <c r="AO3596"/>
    </row>
    <row r="3597" spans="24:41" x14ac:dyDescent="0.4">
      <c r="X3597"/>
      <c r="AO3597"/>
    </row>
    <row r="3598" spans="24:41" x14ac:dyDescent="0.4">
      <c r="X3598"/>
      <c r="AO3598"/>
    </row>
    <row r="3599" spans="24:41" x14ac:dyDescent="0.4">
      <c r="X3599"/>
      <c r="AO3599"/>
    </row>
    <row r="3600" spans="24:41" x14ac:dyDescent="0.4">
      <c r="X3600"/>
      <c r="AO3600"/>
    </row>
    <row r="3601" spans="24:41" x14ac:dyDescent="0.4">
      <c r="X3601"/>
      <c r="AO3601"/>
    </row>
    <row r="3602" spans="24:41" x14ac:dyDescent="0.4">
      <c r="X3602"/>
      <c r="AO3602"/>
    </row>
    <row r="3603" spans="24:41" x14ac:dyDescent="0.4">
      <c r="X3603"/>
      <c r="AO3603"/>
    </row>
    <row r="3604" spans="24:41" x14ac:dyDescent="0.4">
      <c r="X3604"/>
      <c r="AO3604"/>
    </row>
    <row r="3605" spans="24:41" x14ac:dyDescent="0.4">
      <c r="X3605"/>
      <c r="AO3605"/>
    </row>
    <row r="3606" spans="24:41" x14ac:dyDescent="0.4">
      <c r="X3606"/>
      <c r="AO3606"/>
    </row>
    <row r="3607" spans="24:41" x14ac:dyDescent="0.4">
      <c r="X3607"/>
      <c r="AO3607"/>
    </row>
    <row r="3608" spans="24:41" x14ac:dyDescent="0.4">
      <c r="X3608"/>
      <c r="AO3608"/>
    </row>
    <row r="3609" spans="24:41" x14ac:dyDescent="0.4">
      <c r="X3609"/>
      <c r="AO3609"/>
    </row>
    <row r="3610" spans="24:41" x14ac:dyDescent="0.4">
      <c r="X3610"/>
      <c r="AO3610"/>
    </row>
    <row r="3611" spans="24:41" x14ac:dyDescent="0.4">
      <c r="X3611"/>
      <c r="AO3611"/>
    </row>
    <row r="3612" spans="24:41" x14ac:dyDescent="0.4">
      <c r="X3612"/>
      <c r="AO3612"/>
    </row>
    <row r="3613" spans="24:41" x14ac:dyDescent="0.4">
      <c r="X3613"/>
      <c r="AO3613"/>
    </row>
    <row r="3614" spans="24:41" x14ac:dyDescent="0.4">
      <c r="X3614"/>
      <c r="AO3614"/>
    </row>
    <row r="3615" spans="24:41" x14ac:dyDescent="0.4">
      <c r="X3615"/>
      <c r="AO3615"/>
    </row>
    <row r="3616" spans="24:41" x14ac:dyDescent="0.4">
      <c r="X3616"/>
      <c r="AO3616"/>
    </row>
    <row r="3617" spans="24:41" x14ac:dyDescent="0.4">
      <c r="X3617"/>
      <c r="AO3617"/>
    </row>
    <row r="3618" spans="24:41" x14ac:dyDescent="0.4">
      <c r="X3618"/>
      <c r="AO3618"/>
    </row>
    <row r="3619" spans="24:41" x14ac:dyDescent="0.4">
      <c r="X3619"/>
      <c r="AO3619"/>
    </row>
    <row r="3620" spans="24:41" x14ac:dyDescent="0.4">
      <c r="X3620"/>
      <c r="AO3620"/>
    </row>
    <row r="3621" spans="24:41" x14ac:dyDescent="0.4">
      <c r="X3621"/>
      <c r="AO3621"/>
    </row>
    <row r="3622" spans="24:41" x14ac:dyDescent="0.4">
      <c r="X3622"/>
      <c r="AO3622"/>
    </row>
    <row r="3623" spans="24:41" x14ac:dyDescent="0.4">
      <c r="X3623"/>
      <c r="AO3623"/>
    </row>
    <row r="3624" spans="24:41" x14ac:dyDescent="0.4">
      <c r="X3624"/>
      <c r="AO3624"/>
    </row>
    <row r="3625" spans="24:41" x14ac:dyDescent="0.4">
      <c r="X3625"/>
      <c r="AO3625"/>
    </row>
    <row r="3626" spans="24:41" x14ac:dyDescent="0.4">
      <c r="X3626"/>
      <c r="AO3626"/>
    </row>
    <row r="3627" spans="24:41" x14ac:dyDescent="0.4">
      <c r="X3627"/>
      <c r="AO3627"/>
    </row>
    <row r="3628" spans="24:41" x14ac:dyDescent="0.4">
      <c r="X3628"/>
      <c r="AO3628"/>
    </row>
    <row r="3629" spans="24:41" x14ac:dyDescent="0.4">
      <c r="X3629"/>
      <c r="AO3629"/>
    </row>
    <row r="3630" spans="24:41" x14ac:dyDescent="0.4">
      <c r="X3630"/>
      <c r="AO3630"/>
    </row>
    <row r="3631" spans="24:41" x14ac:dyDescent="0.4">
      <c r="X3631"/>
      <c r="AO3631"/>
    </row>
    <row r="3632" spans="24:41" x14ac:dyDescent="0.4">
      <c r="X3632"/>
      <c r="AO3632"/>
    </row>
    <row r="3633" spans="24:41" x14ac:dyDescent="0.4">
      <c r="X3633"/>
      <c r="AO3633"/>
    </row>
    <row r="3634" spans="24:41" x14ac:dyDescent="0.4">
      <c r="X3634"/>
      <c r="AO3634"/>
    </row>
    <row r="3635" spans="24:41" x14ac:dyDescent="0.4">
      <c r="X3635"/>
      <c r="AO3635"/>
    </row>
    <row r="3636" spans="24:41" x14ac:dyDescent="0.4">
      <c r="X3636"/>
      <c r="AO3636"/>
    </row>
    <row r="3637" spans="24:41" x14ac:dyDescent="0.4">
      <c r="X3637"/>
      <c r="AO3637"/>
    </row>
    <row r="3638" spans="24:41" x14ac:dyDescent="0.4">
      <c r="X3638"/>
      <c r="AO3638"/>
    </row>
    <row r="3639" spans="24:41" x14ac:dyDescent="0.4">
      <c r="X3639"/>
      <c r="AO3639"/>
    </row>
    <row r="3640" spans="24:41" x14ac:dyDescent="0.4">
      <c r="X3640"/>
      <c r="AO3640"/>
    </row>
    <row r="3641" spans="24:41" x14ac:dyDescent="0.4">
      <c r="X3641"/>
      <c r="AO3641"/>
    </row>
    <row r="3642" spans="24:41" x14ac:dyDescent="0.4">
      <c r="X3642"/>
      <c r="AO3642"/>
    </row>
    <row r="3643" spans="24:41" x14ac:dyDescent="0.4">
      <c r="X3643"/>
      <c r="AO3643"/>
    </row>
    <row r="3644" spans="24:41" x14ac:dyDescent="0.4">
      <c r="X3644"/>
      <c r="AO3644"/>
    </row>
    <row r="3645" spans="24:41" x14ac:dyDescent="0.4">
      <c r="X3645"/>
      <c r="AO3645"/>
    </row>
    <row r="3646" spans="24:41" x14ac:dyDescent="0.4">
      <c r="X3646"/>
      <c r="AO3646"/>
    </row>
    <row r="3647" spans="24:41" x14ac:dyDescent="0.4">
      <c r="X3647"/>
      <c r="AO3647"/>
    </row>
    <row r="3648" spans="24:41" x14ac:dyDescent="0.4">
      <c r="X3648"/>
      <c r="AO3648"/>
    </row>
    <row r="3649" spans="24:41" x14ac:dyDescent="0.4">
      <c r="X3649"/>
      <c r="AO3649"/>
    </row>
    <row r="3650" spans="24:41" x14ac:dyDescent="0.4">
      <c r="X3650"/>
      <c r="AO3650"/>
    </row>
    <row r="3651" spans="24:41" x14ac:dyDescent="0.4">
      <c r="X3651"/>
      <c r="AO3651"/>
    </row>
    <row r="3652" spans="24:41" x14ac:dyDescent="0.4">
      <c r="X3652"/>
      <c r="AO3652"/>
    </row>
    <row r="3653" spans="24:41" x14ac:dyDescent="0.4">
      <c r="X3653"/>
      <c r="AO3653"/>
    </row>
    <row r="3654" spans="24:41" x14ac:dyDescent="0.4">
      <c r="X3654"/>
      <c r="AO3654"/>
    </row>
    <row r="3655" spans="24:41" x14ac:dyDescent="0.4">
      <c r="X3655"/>
      <c r="AO3655"/>
    </row>
    <row r="3656" spans="24:41" x14ac:dyDescent="0.4">
      <c r="X3656"/>
      <c r="AO3656"/>
    </row>
    <row r="3657" spans="24:41" x14ac:dyDescent="0.4">
      <c r="X3657"/>
      <c r="AO3657"/>
    </row>
    <row r="3658" spans="24:41" x14ac:dyDescent="0.4">
      <c r="X3658"/>
      <c r="AO3658"/>
    </row>
    <row r="3659" spans="24:41" x14ac:dyDescent="0.4">
      <c r="X3659"/>
      <c r="AO3659"/>
    </row>
    <row r="3660" spans="24:41" x14ac:dyDescent="0.4">
      <c r="X3660"/>
      <c r="AO3660"/>
    </row>
    <row r="3661" spans="24:41" x14ac:dyDescent="0.4">
      <c r="X3661"/>
      <c r="AO3661"/>
    </row>
    <row r="3662" spans="24:41" x14ac:dyDescent="0.4">
      <c r="X3662"/>
      <c r="AO3662"/>
    </row>
    <row r="3663" spans="24:41" x14ac:dyDescent="0.4">
      <c r="X3663"/>
      <c r="AO3663"/>
    </row>
    <row r="3664" spans="24:41" x14ac:dyDescent="0.4">
      <c r="X3664"/>
      <c r="AO3664"/>
    </row>
    <row r="3665" spans="24:41" x14ac:dyDescent="0.4">
      <c r="X3665"/>
      <c r="AO3665"/>
    </row>
    <row r="3666" spans="24:41" x14ac:dyDescent="0.4">
      <c r="X3666"/>
      <c r="AO3666"/>
    </row>
    <row r="3667" spans="24:41" x14ac:dyDescent="0.4">
      <c r="X3667"/>
      <c r="AO3667"/>
    </row>
    <row r="3668" spans="24:41" x14ac:dyDescent="0.4">
      <c r="X3668"/>
      <c r="AO3668"/>
    </row>
    <row r="3669" spans="24:41" x14ac:dyDescent="0.4">
      <c r="X3669"/>
      <c r="AO3669"/>
    </row>
    <row r="3670" spans="24:41" x14ac:dyDescent="0.4">
      <c r="X3670"/>
      <c r="AO3670"/>
    </row>
    <row r="3671" spans="24:41" x14ac:dyDescent="0.4">
      <c r="X3671"/>
      <c r="AO3671"/>
    </row>
    <row r="3672" spans="24:41" x14ac:dyDescent="0.4">
      <c r="X3672"/>
      <c r="AO3672"/>
    </row>
    <row r="3673" spans="24:41" x14ac:dyDescent="0.4">
      <c r="X3673"/>
      <c r="AO3673"/>
    </row>
    <row r="3674" spans="24:41" x14ac:dyDescent="0.4">
      <c r="X3674"/>
      <c r="AO3674"/>
    </row>
    <row r="3675" spans="24:41" x14ac:dyDescent="0.4">
      <c r="X3675"/>
      <c r="AO3675"/>
    </row>
    <row r="3676" spans="24:41" x14ac:dyDescent="0.4">
      <c r="X3676"/>
      <c r="AO3676"/>
    </row>
    <row r="3677" spans="24:41" x14ac:dyDescent="0.4">
      <c r="X3677"/>
      <c r="AO3677"/>
    </row>
    <row r="3678" spans="24:41" x14ac:dyDescent="0.4">
      <c r="X3678"/>
      <c r="AO3678"/>
    </row>
    <row r="3679" spans="24:41" x14ac:dyDescent="0.4">
      <c r="X3679"/>
      <c r="AO3679"/>
    </row>
    <row r="3680" spans="24:41" x14ac:dyDescent="0.4">
      <c r="X3680"/>
      <c r="AO3680"/>
    </row>
    <row r="3681" spans="24:41" x14ac:dyDescent="0.4">
      <c r="X3681"/>
      <c r="AO3681"/>
    </row>
    <row r="3682" spans="24:41" x14ac:dyDescent="0.4">
      <c r="X3682"/>
      <c r="AO3682"/>
    </row>
    <row r="3683" spans="24:41" x14ac:dyDescent="0.4">
      <c r="X3683"/>
      <c r="AO3683"/>
    </row>
    <row r="3684" spans="24:41" x14ac:dyDescent="0.4">
      <c r="X3684"/>
      <c r="AO3684"/>
    </row>
    <row r="3685" spans="24:41" x14ac:dyDescent="0.4">
      <c r="X3685"/>
      <c r="AO3685"/>
    </row>
    <row r="3686" spans="24:41" x14ac:dyDescent="0.4">
      <c r="X3686"/>
      <c r="AO3686"/>
    </row>
    <row r="3687" spans="24:41" x14ac:dyDescent="0.4">
      <c r="X3687"/>
      <c r="AO3687"/>
    </row>
    <row r="3688" spans="24:41" x14ac:dyDescent="0.4">
      <c r="X3688"/>
      <c r="AO3688"/>
    </row>
    <row r="3689" spans="24:41" x14ac:dyDescent="0.4">
      <c r="X3689"/>
      <c r="AO3689"/>
    </row>
    <row r="3690" spans="24:41" x14ac:dyDescent="0.4">
      <c r="X3690"/>
      <c r="AO3690"/>
    </row>
    <row r="3691" spans="24:41" x14ac:dyDescent="0.4">
      <c r="X3691"/>
      <c r="AO3691"/>
    </row>
    <row r="3692" spans="24:41" x14ac:dyDescent="0.4">
      <c r="X3692"/>
      <c r="AO3692"/>
    </row>
    <row r="3693" spans="24:41" x14ac:dyDescent="0.4">
      <c r="X3693"/>
      <c r="AO3693"/>
    </row>
    <row r="3694" spans="24:41" x14ac:dyDescent="0.4">
      <c r="X3694"/>
      <c r="AO3694"/>
    </row>
    <row r="3695" spans="24:41" x14ac:dyDescent="0.4">
      <c r="X3695"/>
      <c r="AO3695"/>
    </row>
    <row r="3696" spans="24:41" x14ac:dyDescent="0.4">
      <c r="X3696"/>
      <c r="AO3696"/>
    </row>
    <row r="3697" spans="24:41" x14ac:dyDescent="0.4">
      <c r="X3697"/>
      <c r="AO3697"/>
    </row>
    <row r="3698" spans="24:41" x14ac:dyDescent="0.4">
      <c r="X3698"/>
      <c r="AO3698"/>
    </row>
    <row r="3699" spans="24:41" x14ac:dyDescent="0.4">
      <c r="X3699"/>
      <c r="AO3699"/>
    </row>
    <row r="3700" spans="24:41" x14ac:dyDescent="0.4">
      <c r="X3700"/>
      <c r="AO3700"/>
    </row>
    <row r="3701" spans="24:41" x14ac:dyDescent="0.4">
      <c r="X3701"/>
      <c r="AO3701"/>
    </row>
    <row r="3702" spans="24:41" x14ac:dyDescent="0.4">
      <c r="X3702"/>
      <c r="AO3702"/>
    </row>
    <row r="3703" spans="24:41" x14ac:dyDescent="0.4">
      <c r="X3703"/>
      <c r="AO3703"/>
    </row>
    <row r="3704" spans="24:41" x14ac:dyDescent="0.4">
      <c r="X3704"/>
      <c r="AO3704"/>
    </row>
    <row r="3705" spans="24:41" x14ac:dyDescent="0.4">
      <c r="X3705"/>
      <c r="AO3705"/>
    </row>
    <row r="3706" spans="24:41" x14ac:dyDescent="0.4">
      <c r="X3706"/>
      <c r="AO3706"/>
    </row>
    <row r="3707" spans="24:41" x14ac:dyDescent="0.4">
      <c r="X3707"/>
      <c r="AO3707"/>
    </row>
    <row r="3708" spans="24:41" x14ac:dyDescent="0.4">
      <c r="X3708"/>
      <c r="AO3708"/>
    </row>
    <row r="3709" spans="24:41" x14ac:dyDescent="0.4">
      <c r="X3709"/>
      <c r="AO3709"/>
    </row>
    <row r="3710" spans="24:41" x14ac:dyDescent="0.4">
      <c r="X3710"/>
      <c r="AO3710"/>
    </row>
    <row r="3711" spans="24:41" x14ac:dyDescent="0.4">
      <c r="X3711"/>
      <c r="AO3711"/>
    </row>
    <row r="3712" spans="24:41" x14ac:dyDescent="0.4">
      <c r="X3712"/>
      <c r="AO3712"/>
    </row>
    <row r="3713" spans="24:41" x14ac:dyDescent="0.4">
      <c r="X3713"/>
      <c r="AO3713"/>
    </row>
    <row r="3714" spans="24:41" x14ac:dyDescent="0.4">
      <c r="X3714"/>
      <c r="AO3714"/>
    </row>
    <row r="3715" spans="24:41" x14ac:dyDescent="0.4">
      <c r="X3715"/>
      <c r="AO3715"/>
    </row>
    <row r="3716" spans="24:41" x14ac:dyDescent="0.4">
      <c r="X3716"/>
      <c r="AO3716"/>
    </row>
    <row r="3717" spans="24:41" x14ac:dyDescent="0.4">
      <c r="X3717"/>
      <c r="AO3717"/>
    </row>
    <row r="3718" spans="24:41" x14ac:dyDescent="0.4">
      <c r="X3718"/>
      <c r="AO3718"/>
    </row>
    <row r="3719" spans="24:41" x14ac:dyDescent="0.4">
      <c r="X3719"/>
      <c r="AO3719"/>
    </row>
    <row r="3720" spans="24:41" x14ac:dyDescent="0.4">
      <c r="X3720"/>
      <c r="AO3720"/>
    </row>
    <row r="3721" spans="24:41" x14ac:dyDescent="0.4">
      <c r="X3721"/>
      <c r="AO3721"/>
    </row>
    <row r="3722" spans="24:41" x14ac:dyDescent="0.4">
      <c r="X3722"/>
      <c r="AO3722"/>
    </row>
    <row r="3723" spans="24:41" x14ac:dyDescent="0.4">
      <c r="X3723"/>
      <c r="AO3723"/>
    </row>
    <row r="3724" spans="24:41" x14ac:dyDescent="0.4">
      <c r="X3724"/>
      <c r="AO3724"/>
    </row>
    <row r="3725" spans="24:41" x14ac:dyDescent="0.4">
      <c r="X3725"/>
      <c r="AO3725"/>
    </row>
    <row r="3726" spans="24:41" x14ac:dyDescent="0.4">
      <c r="X3726"/>
      <c r="AO3726"/>
    </row>
    <row r="3727" spans="24:41" x14ac:dyDescent="0.4">
      <c r="X3727"/>
      <c r="AO3727"/>
    </row>
    <row r="3728" spans="24:41" x14ac:dyDescent="0.4">
      <c r="X3728"/>
      <c r="AO3728"/>
    </row>
    <row r="3729" spans="24:41" x14ac:dyDescent="0.4">
      <c r="X3729"/>
      <c r="AO3729"/>
    </row>
    <row r="3730" spans="24:41" x14ac:dyDescent="0.4">
      <c r="X3730"/>
      <c r="AO3730"/>
    </row>
    <row r="3731" spans="24:41" x14ac:dyDescent="0.4">
      <c r="X3731"/>
      <c r="AO3731"/>
    </row>
    <row r="3732" spans="24:41" x14ac:dyDescent="0.4">
      <c r="X3732"/>
      <c r="AO3732"/>
    </row>
    <row r="3733" spans="24:41" x14ac:dyDescent="0.4">
      <c r="X3733"/>
      <c r="AO3733"/>
    </row>
    <row r="3734" spans="24:41" x14ac:dyDescent="0.4">
      <c r="X3734"/>
      <c r="AO3734"/>
    </row>
    <row r="3735" spans="24:41" x14ac:dyDescent="0.4">
      <c r="X3735"/>
      <c r="AO3735"/>
    </row>
    <row r="3736" spans="24:41" x14ac:dyDescent="0.4">
      <c r="X3736"/>
      <c r="AO3736"/>
    </row>
    <row r="3737" spans="24:41" x14ac:dyDescent="0.4">
      <c r="X3737"/>
      <c r="AO3737"/>
    </row>
    <row r="3738" spans="24:41" x14ac:dyDescent="0.4">
      <c r="X3738"/>
      <c r="AO3738"/>
    </row>
    <row r="3739" spans="24:41" x14ac:dyDescent="0.4">
      <c r="X3739"/>
      <c r="AO3739"/>
    </row>
    <row r="3740" spans="24:41" x14ac:dyDescent="0.4">
      <c r="X3740"/>
      <c r="AO3740"/>
    </row>
    <row r="3741" spans="24:41" x14ac:dyDescent="0.4">
      <c r="X3741"/>
      <c r="AO3741"/>
    </row>
    <row r="3742" spans="24:41" x14ac:dyDescent="0.4">
      <c r="X3742"/>
      <c r="AO3742"/>
    </row>
    <row r="3743" spans="24:41" x14ac:dyDescent="0.4">
      <c r="X3743"/>
      <c r="AO3743"/>
    </row>
    <row r="3744" spans="24:41" x14ac:dyDescent="0.4">
      <c r="X3744"/>
      <c r="AO3744"/>
    </row>
    <row r="3745" spans="24:41" x14ac:dyDescent="0.4">
      <c r="X3745"/>
      <c r="AO3745"/>
    </row>
    <row r="3746" spans="24:41" x14ac:dyDescent="0.4">
      <c r="X3746"/>
      <c r="AO3746"/>
    </row>
    <row r="3747" spans="24:41" x14ac:dyDescent="0.4">
      <c r="X3747"/>
      <c r="AO3747"/>
    </row>
    <row r="3748" spans="24:41" x14ac:dyDescent="0.4">
      <c r="X3748"/>
      <c r="AO3748"/>
    </row>
    <row r="3749" spans="24:41" x14ac:dyDescent="0.4">
      <c r="X3749"/>
      <c r="AO3749"/>
    </row>
    <row r="3750" spans="24:41" x14ac:dyDescent="0.4">
      <c r="X3750"/>
      <c r="AO3750"/>
    </row>
    <row r="3751" spans="24:41" x14ac:dyDescent="0.4">
      <c r="X3751"/>
      <c r="AO3751"/>
    </row>
    <row r="3752" spans="24:41" x14ac:dyDescent="0.4">
      <c r="X3752"/>
      <c r="AO3752"/>
    </row>
    <row r="3753" spans="24:41" x14ac:dyDescent="0.4">
      <c r="X3753"/>
      <c r="AO3753"/>
    </row>
    <row r="3754" spans="24:41" x14ac:dyDescent="0.4">
      <c r="X3754"/>
      <c r="AO3754"/>
    </row>
    <row r="3755" spans="24:41" x14ac:dyDescent="0.4">
      <c r="X3755"/>
      <c r="AO3755"/>
    </row>
    <row r="3756" spans="24:41" x14ac:dyDescent="0.4">
      <c r="X3756"/>
      <c r="AO3756"/>
    </row>
    <row r="3757" spans="24:41" x14ac:dyDescent="0.4">
      <c r="X3757"/>
      <c r="AO3757"/>
    </row>
    <row r="3758" spans="24:41" x14ac:dyDescent="0.4">
      <c r="X3758"/>
      <c r="AO3758"/>
    </row>
    <row r="3759" spans="24:41" x14ac:dyDescent="0.4">
      <c r="X3759"/>
      <c r="AO3759"/>
    </row>
    <row r="3760" spans="24:41" x14ac:dyDescent="0.4">
      <c r="X3760"/>
      <c r="AO3760"/>
    </row>
    <row r="3761" spans="24:41" x14ac:dyDescent="0.4">
      <c r="X3761"/>
      <c r="AO3761"/>
    </row>
    <row r="3762" spans="24:41" x14ac:dyDescent="0.4">
      <c r="X3762"/>
      <c r="AO3762"/>
    </row>
    <row r="3763" spans="24:41" x14ac:dyDescent="0.4">
      <c r="X3763"/>
      <c r="AO3763"/>
    </row>
    <row r="3764" spans="24:41" x14ac:dyDescent="0.4">
      <c r="X3764"/>
      <c r="AO3764"/>
    </row>
    <row r="3765" spans="24:41" x14ac:dyDescent="0.4">
      <c r="X3765"/>
      <c r="AO3765"/>
    </row>
    <row r="3766" spans="24:41" x14ac:dyDescent="0.4">
      <c r="X3766"/>
      <c r="AO3766"/>
    </row>
    <row r="3767" spans="24:41" x14ac:dyDescent="0.4">
      <c r="X3767"/>
      <c r="AO3767"/>
    </row>
    <row r="3768" spans="24:41" x14ac:dyDescent="0.4">
      <c r="X3768"/>
      <c r="AO3768"/>
    </row>
    <row r="3769" spans="24:41" x14ac:dyDescent="0.4">
      <c r="X3769"/>
      <c r="AO3769"/>
    </row>
    <row r="3770" spans="24:41" x14ac:dyDescent="0.4">
      <c r="X3770"/>
      <c r="AO3770"/>
    </row>
    <row r="3771" spans="24:41" x14ac:dyDescent="0.4">
      <c r="X3771"/>
      <c r="AO3771"/>
    </row>
    <row r="3772" spans="24:41" x14ac:dyDescent="0.4">
      <c r="X3772"/>
      <c r="AO3772"/>
    </row>
    <row r="3773" spans="24:41" x14ac:dyDescent="0.4">
      <c r="X3773"/>
      <c r="AO3773"/>
    </row>
    <row r="3774" spans="24:41" x14ac:dyDescent="0.4">
      <c r="X3774"/>
      <c r="AO3774"/>
    </row>
    <row r="3775" spans="24:41" x14ac:dyDescent="0.4">
      <c r="X3775"/>
      <c r="AO3775"/>
    </row>
    <row r="3776" spans="24:41" x14ac:dyDescent="0.4">
      <c r="X3776"/>
      <c r="AO3776"/>
    </row>
    <row r="3777" spans="24:41" x14ac:dyDescent="0.4">
      <c r="X3777"/>
      <c r="AO3777"/>
    </row>
    <row r="3778" spans="24:41" x14ac:dyDescent="0.4">
      <c r="X3778"/>
      <c r="AO3778"/>
    </row>
    <row r="3779" spans="24:41" x14ac:dyDescent="0.4">
      <c r="X3779"/>
      <c r="AO3779"/>
    </row>
    <row r="3780" spans="24:41" x14ac:dyDescent="0.4">
      <c r="X3780"/>
      <c r="AO3780"/>
    </row>
    <row r="3781" spans="24:41" x14ac:dyDescent="0.4">
      <c r="X3781"/>
      <c r="AO3781"/>
    </row>
    <row r="3782" spans="24:41" x14ac:dyDescent="0.4">
      <c r="X3782"/>
      <c r="AO3782"/>
    </row>
    <row r="3783" spans="24:41" x14ac:dyDescent="0.4">
      <c r="X3783"/>
      <c r="AO3783"/>
    </row>
    <row r="3784" spans="24:41" x14ac:dyDescent="0.4">
      <c r="X3784"/>
      <c r="AO3784"/>
    </row>
    <row r="3785" spans="24:41" x14ac:dyDescent="0.4">
      <c r="X3785"/>
      <c r="AO3785"/>
    </row>
    <row r="3786" spans="24:41" x14ac:dyDescent="0.4">
      <c r="X3786"/>
      <c r="AO3786"/>
    </row>
    <row r="3787" spans="24:41" x14ac:dyDescent="0.4">
      <c r="X3787"/>
      <c r="AO3787"/>
    </row>
    <row r="3788" spans="24:41" x14ac:dyDescent="0.4">
      <c r="X3788"/>
      <c r="AO3788"/>
    </row>
    <row r="3789" spans="24:41" x14ac:dyDescent="0.4">
      <c r="X3789"/>
      <c r="AO3789"/>
    </row>
    <row r="3790" spans="24:41" x14ac:dyDescent="0.4">
      <c r="X3790"/>
      <c r="AO3790"/>
    </row>
    <row r="3791" spans="24:41" x14ac:dyDescent="0.4">
      <c r="X3791"/>
      <c r="AO3791"/>
    </row>
    <row r="3792" spans="24:41" x14ac:dyDescent="0.4">
      <c r="X3792"/>
      <c r="AO3792"/>
    </row>
    <row r="3793" spans="24:41" x14ac:dyDescent="0.4">
      <c r="X3793"/>
      <c r="AO3793"/>
    </row>
    <row r="3794" spans="24:41" x14ac:dyDescent="0.4">
      <c r="X3794"/>
      <c r="AO3794"/>
    </row>
    <row r="3795" spans="24:41" x14ac:dyDescent="0.4">
      <c r="X3795"/>
      <c r="AO3795"/>
    </row>
    <row r="3796" spans="24:41" x14ac:dyDescent="0.4">
      <c r="X3796"/>
      <c r="AO3796"/>
    </row>
    <row r="3797" spans="24:41" x14ac:dyDescent="0.4">
      <c r="X3797"/>
      <c r="AO3797"/>
    </row>
    <row r="3798" spans="24:41" x14ac:dyDescent="0.4">
      <c r="X3798"/>
      <c r="AO3798"/>
    </row>
    <row r="3799" spans="24:41" x14ac:dyDescent="0.4">
      <c r="X3799"/>
      <c r="AO3799"/>
    </row>
    <row r="3800" spans="24:41" x14ac:dyDescent="0.4">
      <c r="X3800"/>
      <c r="AO3800"/>
    </row>
    <row r="3801" spans="24:41" x14ac:dyDescent="0.4">
      <c r="X3801"/>
      <c r="AO3801"/>
    </row>
    <row r="3802" spans="24:41" x14ac:dyDescent="0.4">
      <c r="X3802"/>
      <c r="AO3802"/>
    </row>
    <row r="3803" spans="24:41" x14ac:dyDescent="0.4">
      <c r="X3803"/>
      <c r="AO3803"/>
    </row>
    <row r="3804" spans="24:41" x14ac:dyDescent="0.4">
      <c r="X3804"/>
      <c r="AO3804"/>
    </row>
    <row r="3805" spans="24:41" x14ac:dyDescent="0.4">
      <c r="X3805"/>
      <c r="AO3805"/>
    </row>
    <row r="3806" spans="24:41" x14ac:dyDescent="0.4">
      <c r="X3806"/>
      <c r="AO3806"/>
    </row>
    <row r="3807" spans="24:41" x14ac:dyDescent="0.4">
      <c r="X3807"/>
      <c r="AO3807"/>
    </row>
    <row r="3808" spans="24:41" x14ac:dyDescent="0.4">
      <c r="X3808"/>
      <c r="AO3808"/>
    </row>
    <row r="3809" spans="24:41" x14ac:dyDescent="0.4">
      <c r="X3809"/>
      <c r="AO3809"/>
    </row>
    <row r="3810" spans="24:41" x14ac:dyDescent="0.4">
      <c r="X3810"/>
      <c r="AO3810"/>
    </row>
    <row r="3811" spans="24:41" x14ac:dyDescent="0.4">
      <c r="X3811"/>
      <c r="AO3811"/>
    </row>
    <row r="3812" spans="24:41" x14ac:dyDescent="0.4">
      <c r="X3812"/>
      <c r="AO3812"/>
    </row>
    <row r="3813" spans="24:41" x14ac:dyDescent="0.4">
      <c r="X3813"/>
      <c r="AO3813"/>
    </row>
    <row r="3814" spans="24:41" x14ac:dyDescent="0.4">
      <c r="X3814"/>
      <c r="AO3814"/>
    </row>
    <row r="3815" spans="24:41" x14ac:dyDescent="0.4">
      <c r="X3815"/>
      <c r="AO3815"/>
    </row>
    <row r="3816" spans="24:41" x14ac:dyDescent="0.4">
      <c r="X3816"/>
      <c r="AO3816"/>
    </row>
    <row r="3817" spans="24:41" x14ac:dyDescent="0.4">
      <c r="X3817"/>
      <c r="AO3817"/>
    </row>
    <row r="3818" spans="24:41" x14ac:dyDescent="0.4">
      <c r="X3818"/>
      <c r="AO3818"/>
    </row>
    <row r="3819" spans="24:41" x14ac:dyDescent="0.4">
      <c r="X3819"/>
      <c r="AO3819"/>
    </row>
    <row r="3820" spans="24:41" x14ac:dyDescent="0.4">
      <c r="X3820"/>
      <c r="AO3820"/>
    </row>
    <row r="3821" spans="24:41" x14ac:dyDescent="0.4">
      <c r="X3821"/>
      <c r="AO3821"/>
    </row>
    <row r="3822" spans="24:41" x14ac:dyDescent="0.4">
      <c r="X3822"/>
      <c r="AO3822"/>
    </row>
    <row r="3823" spans="24:41" x14ac:dyDescent="0.4">
      <c r="X3823"/>
      <c r="AO3823"/>
    </row>
    <row r="3824" spans="24:41" x14ac:dyDescent="0.4">
      <c r="X3824"/>
      <c r="AO3824"/>
    </row>
    <row r="3825" spans="24:41" x14ac:dyDescent="0.4">
      <c r="X3825"/>
      <c r="AO3825"/>
    </row>
    <row r="3826" spans="24:41" x14ac:dyDescent="0.4">
      <c r="X3826"/>
      <c r="AO3826"/>
    </row>
    <row r="3827" spans="24:41" x14ac:dyDescent="0.4">
      <c r="X3827"/>
      <c r="AO3827"/>
    </row>
    <row r="3828" spans="24:41" x14ac:dyDescent="0.4">
      <c r="X3828"/>
      <c r="AO3828"/>
    </row>
    <row r="3829" spans="24:41" x14ac:dyDescent="0.4">
      <c r="X3829"/>
      <c r="AO3829"/>
    </row>
    <row r="3830" spans="24:41" x14ac:dyDescent="0.4">
      <c r="X3830"/>
      <c r="AO3830"/>
    </row>
    <row r="3831" spans="24:41" x14ac:dyDescent="0.4">
      <c r="X3831"/>
      <c r="AO3831"/>
    </row>
    <row r="3832" spans="24:41" x14ac:dyDescent="0.4">
      <c r="X3832"/>
      <c r="AO3832"/>
    </row>
    <row r="3833" spans="24:41" x14ac:dyDescent="0.4">
      <c r="X3833"/>
      <c r="AO3833"/>
    </row>
    <row r="3834" spans="24:41" x14ac:dyDescent="0.4">
      <c r="X3834"/>
      <c r="AO3834"/>
    </row>
    <row r="3835" spans="24:41" x14ac:dyDescent="0.4">
      <c r="X3835"/>
      <c r="AO3835"/>
    </row>
    <row r="3836" spans="24:41" x14ac:dyDescent="0.4">
      <c r="X3836"/>
      <c r="AO3836"/>
    </row>
    <row r="3837" spans="24:41" x14ac:dyDescent="0.4">
      <c r="X3837"/>
      <c r="AO3837"/>
    </row>
    <row r="3838" spans="24:41" x14ac:dyDescent="0.4">
      <c r="X3838"/>
      <c r="AO3838"/>
    </row>
    <row r="3839" spans="24:41" x14ac:dyDescent="0.4">
      <c r="X3839"/>
      <c r="AO3839"/>
    </row>
    <row r="3840" spans="24:41" x14ac:dyDescent="0.4">
      <c r="X3840"/>
      <c r="AO3840"/>
    </row>
    <row r="3841" spans="24:41" x14ac:dyDescent="0.4">
      <c r="X3841"/>
      <c r="AO3841"/>
    </row>
    <row r="3842" spans="24:41" x14ac:dyDescent="0.4">
      <c r="X3842"/>
      <c r="AO3842"/>
    </row>
    <row r="3843" spans="24:41" x14ac:dyDescent="0.4">
      <c r="X3843"/>
      <c r="AO3843"/>
    </row>
    <row r="3844" spans="24:41" x14ac:dyDescent="0.4">
      <c r="X3844"/>
      <c r="AO3844"/>
    </row>
    <row r="3845" spans="24:41" x14ac:dyDescent="0.4">
      <c r="X3845"/>
      <c r="AO3845"/>
    </row>
    <row r="3846" spans="24:41" x14ac:dyDescent="0.4">
      <c r="X3846"/>
      <c r="AO3846"/>
    </row>
    <row r="3847" spans="24:41" x14ac:dyDescent="0.4">
      <c r="X3847"/>
      <c r="AO3847"/>
    </row>
    <row r="3848" spans="24:41" x14ac:dyDescent="0.4">
      <c r="X3848"/>
      <c r="AO3848"/>
    </row>
    <row r="3849" spans="24:41" x14ac:dyDescent="0.4">
      <c r="X3849"/>
      <c r="AO3849"/>
    </row>
    <row r="3850" spans="24:41" x14ac:dyDescent="0.4">
      <c r="X3850"/>
      <c r="AO3850"/>
    </row>
    <row r="3851" spans="24:41" x14ac:dyDescent="0.4">
      <c r="X3851"/>
      <c r="AO3851"/>
    </row>
    <row r="3852" spans="24:41" x14ac:dyDescent="0.4">
      <c r="X3852"/>
      <c r="AO3852"/>
    </row>
    <row r="3853" spans="24:41" x14ac:dyDescent="0.4">
      <c r="X3853"/>
      <c r="AO3853"/>
    </row>
    <row r="3854" spans="24:41" x14ac:dyDescent="0.4">
      <c r="X3854"/>
      <c r="AO3854"/>
    </row>
    <row r="3855" spans="24:41" x14ac:dyDescent="0.4">
      <c r="X3855"/>
      <c r="AO3855"/>
    </row>
    <row r="3856" spans="24:41" x14ac:dyDescent="0.4">
      <c r="X3856"/>
      <c r="AO3856"/>
    </row>
    <row r="3857" spans="24:41" x14ac:dyDescent="0.4">
      <c r="X3857"/>
      <c r="AO3857"/>
    </row>
    <row r="3858" spans="24:41" x14ac:dyDescent="0.4">
      <c r="X3858"/>
      <c r="AO3858"/>
    </row>
    <row r="3859" spans="24:41" x14ac:dyDescent="0.4">
      <c r="X3859"/>
      <c r="AO3859"/>
    </row>
    <row r="3860" spans="24:41" x14ac:dyDescent="0.4">
      <c r="X3860"/>
      <c r="AO3860"/>
    </row>
    <row r="3861" spans="24:41" x14ac:dyDescent="0.4">
      <c r="X3861"/>
      <c r="AO3861"/>
    </row>
    <row r="3862" spans="24:41" x14ac:dyDescent="0.4">
      <c r="X3862"/>
      <c r="AO3862"/>
    </row>
    <row r="3863" spans="24:41" x14ac:dyDescent="0.4">
      <c r="X3863"/>
      <c r="AO3863"/>
    </row>
    <row r="3864" spans="24:41" x14ac:dyDescent="0.4">
      <c r="X3864"/>
      <c r="AO3864"/>
    </row>
    <row r="3865" spans="24:41" x14ac:dyDescent="0.4">
      <c r="X3865"/>
      <c r="AO3865"/>
    </row>
    <row r="3866" spans="24:41" x14ac:dyDescent="0.4">
      <c r="X3866"/>
      <c r="AO3866"/>
    </row>
    <row r="3867" spans="24:41" x14ac:dyDescent="0.4">
      <c r="X3867"/>
      <c r="AO3867"/>
    </row>
    <row r="3868" spans="24:41" x14ac:dyDescent="0.4">
      <c r="X3868"/>
      <c r="AO3868"/>
    </row>
    <row r="3869" spans="24:41" x14ac:dyDescent="0.4">
      <c r="X3869"/>
      <c r="AO3869"/>
    </row>
    <row r="3870" spans="24:41" x14ac:dyDescent="0.4">
      <c r="X3870"/>
      <c r="AO3870"/>
    </row>
    <row r="3871" spans="24:41" x14ac:dyDescent="0.4">
      <c r="X3871"/>
      <c r="AO3871"/>
    </row>
    <row r="3872" spans="24:41" x14ac:dyDescent="0.4">
      <c r="X3872"/>
      <c r="AO3872"/>
    </row>
    <row r="3873" spans="24:41" x14ac:dyDescent="0.4">
      <c r="X3873"/>
      <c r="AO3873"/>
    </row>
    <row r="3874" spans="24:41" x14ac:dyDescent="0.4">
      <c r="X3874"/>
      <c r="AO3874"/>
    </row>
    <row r="3875" spans="24:41" x14ac:dyDescent="0.4">
      <c r="X3875"/>
      <c r="AO3875"/>
    </row>
    <row r="3876" spans="24:41" x14ac:dyDescent="0.4">
      <c r="X3876"/>
      <c r="AO3876"/>
    </row>
    <row r="3877" spans="24:41" x14ac:dyDescent="0.4">
      <c r="X3877"/>
      <c r="AO3877"/>
    </row>
    <row r="3878" spans="24:41" x14ac:dyDescent="0.4">
      <c r="X3878"/>
      <c r="AO3878"/>
    </row>
    <row r="3879" spans="24:41" x14ac:dyDescent="0.4">
      <c r="X3879"/>
      <c r="AO3879"/>
    </row>
    <row r="3880" spans="24:41" x14ac:dyDescent="0.4">
      <c r="X3880"/>
      <c r="AO3880"/>
    </row>
    <row r="3881" spans="24:41" x14ac:dyDescent="0.4">
      <c r="X3881"/>
      <c r="AO3881"/>
    </row>
    <row r="3882" spans="24:41" x14ac:dyDescent="0.4">
      <c r="X3882"/>
      <c r="AO3882"/>
    </row>
    <row r="3883" spans="24:41" x14ac:dyDescent="0.4">
      <c r="X3883"/>
      <c r="AO3883"/>
    </row>
    <row r="3884" spans="24:41" x14ac:dyDescent="0.4">
      <c r="X3884"/>
      <c r="AO3884"/>
    </row>
    <row r="3885" spans="24:41" x14ac:dyDescent="0.4">
      <c r="X3885"/>
      <c r="AO3885"/>
    </row>
    <row r="3886" spans="24:41" x14ac:dyDescent="0.4">
      <c r="X3886"/>
      <c r="AO3886"/>
    </row>
    <row r="3887" spans="24:41" x14ac:dyDescent="0.4">
      <c r="X3887"/>
      <c r="AO3887"/>
    </row>
    <row r="3888" spans="24:41" x14ac:dyDescent="0.4">
      <c r="X3888"/>
      <c r="AO3888"/>
    </row>
    <row r="3889" spans="24:41" x14ac:dyDescent="0.4">
      <c r="X3889"/>
      <c r="AO3889"/>
    </row>
    <row r="3890" spans="24:41" x14ac:dyDescent="0.4">
      <c r="X3890"/>
      <c r="AO3890"/>
    </row>
    <row r="3891" spans="24:41" x14ac:dyDescent="0.4">
      <c r="X3891"/>
      <c r="AO3891"/>
    </row>
    <row r="3892" spans="24:41" x14ac:dyDescent="0.4">
      <c r="X3892"/>
      <c r="AO3892"/>
    </row>
    <row r="3893" spans="24:41" x14ac:dyDescent="0.4">
      <c r="X3893"/>
      <c r="AO3893"/>
    </row>
    <row r="3894" spans="24:41" x14ac:dyDescent="0.4">
      <c r="X3894"/>
      <c r="AO3894"/>
    </row>
    <row r="3895" spans="24:41" x14ac:dyDescent="0.4">
      <c r="X3895"/>
      <c r="AO3895"/>
    </row>
    <row r="3896" spans="24:41" x14ac:dyDescent="0.4">
      <c r="X3896"/>
      <c r="AO3896"/>
    </row>
    <row r="3897" spans="24:41" x14ac:dyDescent="0.4">
      <c r="X3897"/>
      <c r="AO3897"/>
    </row>
    <row r="3898" spans="24:41" x14ac:dyDescent="0.4">
      <c r="X3898"/>
      <c r="AO3898"/>
    </row>
    <row r="3899" spans="24:41" x14ac:dyDescent="0.4">
      <c r="X3899"/>
      <c r="AO3899"/>
    </row>
    <row r="3900" spans="24:41" x14ac:dyDescent="0.4">
      <c r="X3900"/>
      <c r="AO3900"/>
    </row>
    <row r="3901" spans="24:41" x14ac:dyDescent="0.4">
      <c r="X3901"/>
      <c r="AO3901"/>
    </row>
    <row r="3902" spans="24:41" x14ac:dyDescent="0.4">
      <c r="X3902"/>
      <c r="AO3902"/>
    </row>
    <row r="3903" spans="24:41" x14ac:dyDescent="0.4">
      <c r="X3903"/>
      <c r="AO3903"/>
    </row>
    <row r="3904" spans="24:41" x14ac:dyDescent="0.4">
      <c r="X3904"/>
      <c r="AO3904"/>
    </row>
    <row r="3905" spans="24:41" x14ac:dyDescent="0.4">
      <c r="X3905"/>
      <c r="AO3905"/>
    </row>
    <row r="3906" spans="24:41" x14ac:dyDescent="0.4">
      <c r="X3906"/>
      <c r="AO3906"/>
    </row>
    <row r="3907" spans="24:41" x14ac:dyDescent="0.4">
      <c r="X3907"/>
      <c r="AO3907"/>
    </row>
    <row r="3908" spans="24:41" x14ac:dyDescent="0.4">
      <c r="X3908"/>
      <c r="AO3908"/>
    </row>
    <row r="3909" spans="24:41" x14ac:dyDescent="0.4">
      <c r="X3909"/>
      <c r="AO3909"/>
    </row>
    <row r="3910" spans="24:41" x14ac:dyDescent="0.4">
      <c r="X3910"/>
      <c r="AO3910"/>
    </row>
    <row r="3911" spans="24:41" x14ac:dyDescent="0.4">
      <c r="X3911"/>
      <c r="AO3911"/>
    </row>
    <row r="3912" spans="24:41" x14ac:dyDescent="0.4">
      <c r="X3912"/>
      <c r="AO3912"/>
    </row>
    <row r="3913" spans="24:41" x14ac:dyDescent="0.4">
      <c r="X3913"/>
      <c r="AO3913"/>
    </row>
    <row r="3914" spans="24:41" x14ac:dyDescent="0.4">
      <c r="X3914"/>
      <c r="AO3914"/>
    </row>
    <row r="3915" spans="24:41" x14ac:dyDescent="0.4">
      <c r="X3915"/>
      <c r="AO3915"/>
    </row>
    <row r="3916" spans="24:41" x14ac:dyDescent="0.4">
      <c r="X3916"/>
      <c r="AO3916"/>
    </row>
    <row r="3917" spans="24:41" x14ac:dyDescent="0.4">
      <c r="X3917"/>
      <c r="AO3917"/>
    </row>
    <row r="3918" spans="24:41" x14ac:dyDescent="0.4">
      <c r="X3918"/>
      <c r="AO3918"/>
    </row>
    <row r="3919" spans="24:41" x14ac:dyDescent="0.4">
      <c r="X3919"/>
      <c r="AO3919"/>
    </row>
    <row r="3920" spans="24:41" x14ac:dyDescent="0.4">
      <c r="X3920"/>
      <c r="AO3920"/>
    </row>
    <row r="3921" spans="24:41" x14ac:dyDescent="0.4">
      <c r="X3921"/>
      <c r="AO3921"/>
    </row>
    <row r="3922" spans="24:41" x14ac:dyDescent="0.4">
      <c r="X3922"/>
      <c r="AO3922"/>
    </row>
    <row r="3923" spans="24:41" x14ac:dyDescent="0.4">
      <c r="X3923"/>
      <c r="AO3923"/>
    </row>
    <row r="3924" spans="24:41" x14ac:dyDescent="0.4">
      <c r="X3924"/>
      <c r="AO3924"/>
    </row>
    <row r="3925" spans="24:41" x14ac:dyDescent="0.4">
      <c r="X3925"/>
      <c r="AO3925"/>
    </row>
    <row r="3926" spans="24:41" x14ac:dyDescent="0.4">
      <c r="X3926"/>
      <c r="AO3926"/>
    </row>
    <row r="3927" spans="24:41" x14ac:dyDescent="0.4">
      <c r="X3927"/>
      <c r="AO3927"/>
    </row>
    <row r="3928" spans="24:41" x14ac:dyDescent="0.4">
      <c r="X3928"/>
      <c r="AO3928"/>
    </row>
    <row r="3929" spans="24:41" x14ac:dyDescent="0.4">
      <c r="X3929"/>
      <c r="AO3929"/>
    </row>
    <row r="3930" spans="24:41" x14ac:dyDescent="0.4">
      <c r="X3930"/>
      <c r="AO3930"/>
    </row>
    <row r="3931" spans="24:41" x14ac:dyDescent="0.4">
      <c r="X3931"/>
      <c r="AO3931"/>
    </row>
    <row r="3932" spans="24:41" x14ac:dyDescent="0.4">
      <c r="X3932"/>
      <c r="AO3932"/>
    </row>
    <row r="3933" spans="24:41" x14ac:dyDescent="0.4">
      <c r="X3933"/>
      <c r="AO3933"/>
    </row>
    <row r="3934" spans="24:41" x14ac:dyDescent="0.4">
      <c r="X3934"/>
      <c r="AO3934"/>
    </row>
    <row r="3935" spans="24:41" x14ac:dyDescent="0.4">
      <c r="X3935"/>
      <c r="AO3935"/>
    </row>
    <row r="3936" spans="24:41" x14ac:dyDescent="0.4">
      <c r="X3936"/>
      <c r="AO3936"/>
    </row>
    <row r="3937" spans="24:41" x14ac:dyDescent="0.4">
      <c r="X3937"/>
      <c r="AO3937"/>
    </row>
    <row r="3938" spans="24:41" x14ac:dyDescent="0.4">
      <c r="X3938"/>
      <c r="AO3938"/>
    </row>
    <row r="3939" spans="24:41" x14ac:dyDescent="0.4">
      <c r="X3939"/>
      <c r="AO3939"/>
    </row>
    <row r="3940" spans="24:41" x14ac:dyDescent="0.4">
      <c r="X3940"/>
      <c r="AO3940"/>
    </row>
    <row r="3941" spans="24:41" x14ac:dyDescent="0.4">
      <c r="X3941"/>
      <c r="AO3941"/>
    </row>
    <row r="3942" spans="24:41" x14ac:dyDescent="0.4">
      <c r="X3942"/>
      <c r="AO3942"/>
    </row>
    <row r="3943" spans="24:41" x14ac:dyDescent="0.4">
      <c r="X3943"/>
      <c r="AO3943"/>
    </row>
    <row r="3944" spans="24:41" x14ac:dyDescent="0.4">
      <c r="X3944"/>
      <c r="AO3944"/>
    </row>
    <row r="3945" spans="24:41" x14ac:dyDescent="0.4">
      <c r="X3945"/>
      <c r="AO3945"/>
    </row>
    <row r="3946" spans="24:41" x14ac:dyDescent="0.4">
      <c r="X3946"/>
      <c r="AO3946"/>
    </row>
    <row r="3947" spans="24:41" x14ac:dyDescent="0.4">
      <c r="X3947"/>
      <c r="AO3947"/>
    </row>
    <row r="3948" spans="24:41" x14ac:dyDescent="0.4">
      <c r="X3948"/>
      <c r="AO3948"/>
    </row>
    <row r="3949" spans="24:41" x14ac:dyDescent="0.4">
      <c r="X3949"/>
      <c r="AO3949"/>
    </row>
    <row r="3950" spans="24:41" x14ac:dyDescent="0.4">
      <c r="X3950"/>
      <c r="AO3950"/>
    </row>
    <row r="3951" spans="24:41" x14ac:dyDescent="0.4">
      <c r="X3951"/>
      <c r="AO3951"/>
    </row>
    <row r="3952" spans="24:41" x14ac:dyDescent="0.4">
      <c r="X3952"/>
      <c r="AO3952"/>
    </row>
    <row r="3953" spans="24:41" x14ac:dyDescent="0.4">
      <c r="X3953"/>
      <c r="AO3953"/>
    </row>
    <row r="3954" spans="24:41" x14ac:dyDescent="0.4">
      <c r="X3954"/>
      <c r="AO3954"/>
    </row>
    <row r="3955" spans="24:41" x14ac:dyDescent="0.4">
      <c r="X3955"/>
      <c r="AO3955"/>
    </row>
    <row r="3956" spans="24:41" x14ac:dyDescent="0.4">
      <c r="X3956"/>
      <c r="AO3956"/>
    </row>
    <row r="3957" spans="24:41" x14ac:dyDescent="0.4">
      <c r="X3957"/>
      <c r="AO3957"/>
    </row>
    <row r="3958" spans="24:41" x14ac:dyDescent="0.4">
      <c r="X3958"/>
      <c r="AO3958"/>
    </row>
    <row r="3959" spans="24:41" x14ac:dyDescent="0.4">
      <c r="X3959"/>
      <c r="AO3959"/>
    </row>
    <row r="3960" spans="24:41" x14ac:dyDescent="0.4">
      <c r="X3960"/>
      <c r="AO3960"/>
    </row>
    <row r="3961" spans="24:41" x14ac:dyDescent="0.4">
      <c r="X3961"/>
      <c r="AO3961"/>
    </row>
    <row r="3962" spans="24:41" x14ac:dyDescent="0.4">
      <c r="X3962"/>
      <c r="AO3962"/>
    </row>
    <row r="3963" spans="24:41" x14ac:dyDescent="0.4">
      <c r="X3963"/>
      <c r="AO3963"/>
    </row>
    <row r="3964" spans="24:41" x14ac:dyDescent="0.4">
      <c r="X3964"/>
      <c r="AO3964"/>
    </row>
    <row r="3965" spans="24:41" x14ac:dyDescent="0.4">
      <c r="X3965"/>
      <c r="AO3965"/>
    </row>
    <row r="3966" spans="24:41" x14ac:dyDescent="0.4">
      <c r="X3966"/>
      <c r="AO3966"/>
    </row>
    <row r="3967" spans="24:41" x14ac:dyDescent="0.4">
      <c r="X3967"/>
      <c r="AO3967"/>
    </row>
    <row r="3968" spans="24:41" x14ac:dyDescent="0.4">
      <c r="X3968"/>
      <c r="AO3968"/>
    </row>
    <row r="3969" spans="24:41" x14ac:dyDescent="0.4">
      <c r="X3969"/>
      <c r="AO3969"/>
    </row>
    <row r="3970" spans="24:41" x14ac:dyDescent="0.4">
      <c r="X3970"/>
      <c r="AO3970"/>
    </row>
    <row r="3971" spans="24:41" x14ac:dyDescent="0.4">
      <c r="X3971"/>
      <c r="AO3971"/>
    </row>
    <row r="3972" spans="24:41" x14ac:dyDescent="0.4">
      <c r="X3972"/>
      <c r="AO3972"/>
    </row>
    <row r="3973" spans="24:41" x14ac:dyDescent="0.4">
      <c r="X3973"/>
      <c r="AO3973"/>
    </row>
    <row r="3974" spans="24:41" x14ac:dyDescent="0.4">
      <c r="X3974"/>
      <c r="AO3974"/>
    </row>
    <row r="3975" spans="24:41" x14ac:dyDescent="0.4">
      <c r="X3975"/>
      <c r="AO3975"/>
    </row>
    <row r="3976" spans="24:41" x14ac:dyDescent="0.4">
      <c r="X3976"/>
      <c r="AO3976"/>
    </row>
    <row r="3977" spans="24:41" x14ac:dyDescent="0.4">
      <c r="X3977"/>
      <c r="AO3977"/>
    </row>
    <row r="3978" spans="24:41" x14ac:dyDescent="0.4">
      <c r="X3978"/>
      <c r="AO3978"/>
    </row>
    <row r="3979" spans="24:41" x14ac:dyDescent="0.4">
      <c r="X3979"/>
      <c r="AO3979"/>
    </row>
    <row r="3980" spans="24:41" x14ac:dyDescent="0.4">
      <c r="X3980"/>
      <c r="AO3980"/>
    </row>
    <row r="3981" spans="24:41" x14ac:dyDescent="0.4">
      <c r="X3981"/>
      <c r="AO3981"/>
    </row>
    <row r="3982" spans="24:41" x14ac:dyDescent="0.4">
      <c r="X3982"/>
      <c r="AO3982"/>
    </row>
    <row r="3983" spans="24:41" x14ac:dyDescent="0.4">
      <c r="X3983"/>
      <c r="AO3983"/>
    </row>
    <row r="3984" spans="24:41" x14ac:dyDescent="0.4">
      <c r="X3984"/>
      <c r="AO3984"/>
    </row>
    <row r="3985" spans="24:41" x14ac:dyDescent="0.4">
      <c r="X3985"/>
      <c r="AO3985"/>
    </row>
    <row r="3986" spans="24:41" x14ac:dyDescent="0.4">
      <c r="X3986"/>
      <c r="AO3986"/>
    </row>
    <row r="3987" spans="24:41" x14ac:dyDescent="0.4">
      <c r="X3987"/>
      <c r="AO3987"/>
    </row>
    <row r="3988" spans="24:41" x14ac:dyDescent="0.4">
      <c r="X3988"/>
      <c r="AO3988"/>
    </row>
    <row r="3989" spans="24:41" x14ac:dyDescent="0.4">
      <c r="X3989"/>
      <c r="AO3989"/>
    </row>
    <row r="3990" spans="24:41" x14ac:dyDescent="0.4">
      <c r="X3990"/>
      <c r="AO3990"/>
    </row>
    <row r="3991" spans="24:41" x14ac:dyDescent="0.4">
      <c r="X3991"/>
      <c r="AO3991"/>
    </row>
    <row r="3992" spans="24:41" x14ac:dyDescent="0.4">
      <c r="X3992"/>
      <c r="AO3992"/>
    </row>
    <row r="3993" spans="24:41" x14ac:dyDescent="0.4">
      <c r="X3993"/>
      <c r="AO3993"/>
    </row>
    <row r="3994" spans="24:41" x14ac:dyDescent="0.4">
      <c r="X3994"/>
      <c r="AO3994"/>
    </row>
    <row r="3995" spans="24:41" x14ac:dyDescent="0.4">
      <c r="X3995"/>
      <c r="AO3995"/>
    </row>
    <row r="3996" spans="24:41" x14ac:dyDescent="0.4">
      <c r="X3996"/>
      <c r="AO3996"/>
    </row>
    <row r="3997" spans="24:41" x14ac:dyDescent="0.4">
      <c r="X3997"/>
      <c r="AO3997"/>
    </row>
    <row r="3998" spans="24:41" x14ac:dyDescent="0.4">
      <c r="X3998"/>
      <c r="AO3998"/>
    </row>
    <row r="3999" spans="24:41" x14ac:dyDescent="0.4">
      <c r="X3999"/>
      <c r="AO3999"/>
    </row>
    <row r="4000" spans="24:41" x14ac:dyDescent="0.4">
      <c r="X4000"/>
      <c r="AO4000"/>
    </row>
    <row r="4001" spans="24:41" x14ac:dyDescent="0.4">
      <c r="X4001"/>
      <c r="AO4001"/>
    </row>
    <row r="4002" spans="24:41" x14ac:dyDescent="0.4">
      <c r="X4002"/>
      <c r="AO4002"/>
    </row>
    <row r="4003" spans="24:41" x14ac:dyDescent="0.4">
      <c r="X4003"/>
      <c r="AO4003"/>
    </row>
    <row r="4004" spans="24:41" x14ac:dyDescent="0.4">
      <c r="X4004"/>
      <c r="AO4004"/>
    </row>
    <row r="4005" spans="24:41" x14ac:dyDescent="0.4">
      <c r="X4005"/>
      <c r="AO4005"/>
    </row>
    <row r="4006" spans="24:41" x14ac:dyDescent="0.4">
      <c r="X4006"/>
      <c r="AO4006"/>
    </row>
    <row r="4007" spans="24:41" x14ac:dyDescent="0.4">
      <c r="X4007"/>
      <c r="AO4007"/>
    </row>
    <row r="4008" spans="24:41" x14ac:dyDescent="0.4">
      <c r="X4008"/>
      <c r="AO4008"/>
    </row>
    <row r="4009" spans="24:41" x14ac:dyDescent="0.4">
      <c r="X4009"/>
      <c r="AO4009"/>
    </row>
    <row r="4010" spans="24:41" x14ac:dyDescent="0.4">
      <c r="X4010"/>
      <c r="AO4010"/>
    </row>
    <row r="4011" spans="24:41" x14ac:dyDescent="0.4">
      <c r="X4011"/>
      <c r="AO4011"/>
    </row>
    <row r="4012" spans="24:41" x14ac:dyDescent="0.4">
      <c r="X4012"/>
      <c r="AO4012"/>
    </row>
    <row r="4013" spans="24:41" x14ac:dyDescent="0.4">
      <c r="X4013"/>
      <c r="AO4013"/>
    </row>
    <row r="4014" spans="24:41" x14ac:dyDescent="0.4">
      <c r="X4014"/>
      <c r="AO4014"/>
    </row>
    <row r="4015" spans="24:41" x14ac:dyDescent="0.4">
      <c r="X4015"/>
      <c r="AO4015"/>
    </row>
    <row r="4016" spans="24:41" x14ac:dyDescent="0.4">
      <c r="X4016"/>
      <c r="AO4016"/>
    </row>
    <row r="4017" spans="24:41" x14ac:dyDescent="0.4">
      <c r="X4017"/>
      <c r="AO4017"/>
    </row>
    <row r="4018" spans="24:41" x14ac:dyDescent="0.4">
      <c r="X4018"/>
      <c r="AO4018"/>
    </row>
    <row r="4019" spans="24:41" x14ac:dyDescent="0.4">
      <c r="X4019"/>
      <c r="AO4019"/>
    </row>
    <row r="4020" spans="24:41" x14ac:dyDescent="0.4">
      <c r="X4020"/>
      <c r="AO4020"/>
    </row>
    <row r="4021" spans="24:41" x14ac:dyDescent="0.4">
      <c r="X4021"/>
      <c r="AO4021"/>
    </row>
    <row r="4022" spans="24:41" x14ac:dyDescent="0.4">
      <c r="X4022"/>
      <c r="AO4022"/>
    </row>
    <row r="4023" spans="24:41" x14ac:dyDescent="0.4">
      <c r="X4023"/>
      <c r="AO4023"/>
    </row>
    <row r="4024" spans="24:41" x14ac:dyDescent="0.4">
      <c r="X4024"/>
      <c r="AO4024"/>
    </row>
    <row r="4025" spans="24:41" x14ac:dyDescent="0.4">
      <c r="X4025"/>
      <c r="AO4025"/>
    </row>
    <row r="4026" spans="24:41" x14ac:dyDescent="0.4">
      <c r="X4026"/>
      <c r="AO4026"/>
    </row>
    <row r="4027" spans="24:41" x14ac:dyDescent="0.4">
      <c r="X4027"/>
      <c r="AO4027"/>
    </row>
    <row r="4028" spans="24:41" x14ac:dyDescent="0.4">
      <c r="X4028"/>
      <c r="AO4028"/>
    </row>
    <row r="4029" spans="24:41" x14ac:dyDescent="0.4">
      <c r="X4029"/>
      <c r="AO4029"/>
    </row>
    <row r="4030" spans="24:41" x14ac:dyDescent="0.4">
      <c r="X4030"/>
      <c r="AO4030"/>
    </row>
    <row r="4031" spans="24:41" x14ac:dyDescent="0.4">
      <c r="X4031"/>
      <c r="AO4031"/>
    </row>
    <row r="4032" spans="24:41" x14ac:dyDescent="0.4">
      <c r="X4032"/>
      <c r="AO4032"/>
    </row>
    <row r="4033" spans="24:41" x14ac:dyDescent="0.4">
      <c r="X4033"/>
      <c r="AO4033"/>
    </row>
    <row r="4034" spans="24:41" x14ac:dyDescent="0.4">
      <c r="X4034"/>
      <c r="AO4034"/>
    </row>
    <row r="4035" spans="24:41" x14ac:dyDescent="0.4">
      <c r="X4035"/>
      <c r="AO4035"/>
    </row>
    <row r="4036" spans="24:41" x14ac:dyDescent="0.4">
      <c r="X4036"/>
      <c r="AO4036"/>
    </row>
    <row r="4037" spans="24:41" x14ac:dyDescent="0.4">
      <c r="X4037"/>
      <c r="AO4037"/>
    </row>
    <row r="4038" spans="24:41" x14ac:dyDescent="0.4">
      <c r="X4038"/>
      <c r="AO4038"/>
    </row>
    <row r="4039" spans="24:41" x14ac:dyDescent="0.4">
      <c r="X4039"/>
      <c r="AO4039"/>
    </row>
    <row r="4040" spans="24:41" x14ac:dyDescent="0.4">
      <c r="X4040"/>
      <c r="AO4040"/>
    </row>
    <row r="4041" spans="24:41" x14ac:dyDescent="0.4">
      <c r="X4041"/>
      <c r="AO4041"/>
    </row>
    <row r="4042" spans="24:41" x14ac:dyDescent="0.4">
      <c r="X4042"/>
      <c r="AO4042"/>
    </row>
    <row r="4043" spans="24:41" x14ac:dyDescent="0.4">
      <c r="X4043"/>
      <c r="AO4043"/>
    </row>
    <row r="4044" spans="24:41" x14ac:dyDescent="0.4">
      <c r="X4044"/>
      <c r="AO4044"/>
    </row>
    <row r="4045" spans="24:41" x14ac:dyDescent="0.4">
      <c r="X4045"/>
      <c r="AO4045"/>
    </row>
    <row r="4046" spans="24:41" x14ac:dyDescent="0.4">
      <c r="X4046"/>
      <c r="AO4046"/>
    </row>
    <row r="4047" spans="24:41" x14ac:dyDescent="0.4">
      <c r="X4047"/>
      <c r="AO4047"/>
    </row>
    <row r="4048" spans="24:41" x14ac:dyDescent="0.4">
      <c r="X4048"/>
      <c r="AO4048"/>
    </row>
    <row r="4049" spans="24:41" x14ac:dyDescent="0.4">
      <c r="X4049"/>
      <c r="AO4049"/>
    </row>
    <row r="4050" spans="24:41" x14ac:dyDescent="0.4">
      <c r="X4050"/>
      <c r="AO4050"/>
    </row>
    <row r="4051" spans="24:41" x14ac:dyDescent="0.4">
      <c r="X4051"/>
      <c r="AO4051"/>
    </row>
    <row r="4052" spans="24:41" x14ac:dyDescent="0.4">
      <c r="X4052"/>
      <c r="AO4052"/>
    </row>
    <row r="4053" spans="24:41" x14ac:dyDescent="0.4">
      <c r="X4053"/>
      <c r="AO4053"/>
    </row>
    <row r="4054" spans="24:41" x14ac:dyDescent="0.4">
      <c r="X4054"/>
      <c r="AO4054"/>
    </row>
    <row r="4055" spans="24:41" x14ac:dyDescent="0.4">
      <c r="X4055"/>
      <c r="AO4055"/>
    </row>
    <row r="4056" spans="24:41" x14ac:dyDescent="0.4">
      <c r="X4056"/>
      <c r="AO4056"/>
    </row>
    <row r="4057" spans="24:41" x14ac:dyDescent="0.4">
      <c r="X4057"/>
      <c r="AO4057"/>
    </row>
    <row r="4058" spans="24:41" x14ac:dyDescent="0.4">
      <c r="X4058"/>
      <c r="AO4058"/>
    </row>
    <row r="4059" spans="24:41" x14ac:dyDescent="0.4">
      <c r="X4059"/>
      <c r="AO4059"/>
    </row>
    <row r="4060" spans="24:41" x14ac:dyDescent="0.4">
      <c r="X4060"/>
      <c r="AO4060"/>
    </row>
    <row r="4061" spans="24:41" x14ac:dyDescent="0.4">
      <c r="X4061"/>
      <c r="AO4061"/>
    </row>
    <row r="4062" spans="24:41" x14ac:dyDescent="0.4">
      <c r="X4062"/>
      <c r="AO4062"/>
    </row>
    <row r="4063" spans="24:41" x14ac:dyDescent="0.4">
      <c r="X4063"/>
      <c r="AO4063"/>
    </row>
    <row r="4064" spans="24:41" x14ac:dyDescent="0.4">
      <c r="X4064"/>
      <c r="AO4064"/>
    </row>
    <row r="4065" spans="24:41" x14ac:dyDescent="0.4">
      <c r="X4065"/>
      <c r="AO4065"/>
    </row>
    <row r="4066" spans="24:41" x14ac:dyDescent="0.4">
      <c r="X4066"/>
      <c r="AO4066"/>
    </row>
    <row r="4067" spans="24:41" x14ac:dyDescent="0.4">
      <c r="X4067"/>
      <c r="AO4067"/>
    </row>
    <row r="4068" spans="24:41" x14ac:dyDescent="0.4">
      <c r="X4068"/>
      <c r="AO4068"/>
    </row>
    <row r="4069" spans="24:41" x14ac:dyDescent="0.4">
      <c r="X4069"/>
      <c r="AO4069"/>
    </row>
    <row r="4070" spans="24:41" x14ac:dyDescent="0.4">
      <c r="X4070"/>
      <c r="AO4070"/>
    </row>
    <row r="4071" spans="24:41" x14ac:dyDescent="0.4">
      <c r="X4071"/>
      <c r="AO4071"/>
    </row>
    <row r="4072" spans="24:41" x14ac:dyDescent="0.4">
      <c r="X4072"/>
      <c r="AO4072"/>
    </row>
    <row r="4073" spans="24:41" x14ac:dyDescent="0.4">
      <c r="X4073"/>
      <c r="AO4073"/>
    </row>
    <row r="4074" spans="24:41" x14ac:dyDescent="0.4">
      <c r="X4074"/>
      <c r="AO4074"/>
    </row>
    <row r="4075" spans="24:41" x14ac:dyDescent="0.4">
      <c r="X4075"/>
      <c r="AO4075"/>
    </row>
    <row r="4076" spans="24:41" x14ac:dyDescent="0.4">
      <c r="X4076"/>
      <c r="AO4076"/>
    </row>
    <row r="4077" spans="24:41" x14ac:dyDescent="0.4">
      <c r="X4077"/>
      <c r="AO4077"/>
    </row>
    <row r="4078" spans="24:41" x14ac:dyDescent="0.4">
      <c r="X4078"/>
      <c r="AO4078"/>
    </row>
    <row r="4079" spans="24:41" x14ac:dyDescent="0.4">
      <c r="X4079"/>
      <c r="AO4079"/>
    </row>
    <row r="4080" spans="24:41" x14ac:dyDescent="0.4">
      <c r="X4080"/>
      <c r="AO4080"/>
    </row>
    <row r="4081" spans="24:41" x14ac:dyDescent="0.4">
      <c r="X4081"/>
      <c r="AO4081"/>
    </row>
    <row r="4082" spans="24:41" x14ac:dyDescent="0.4">
      <c r="X4082"/>
      <c r="AO4082"/>
    </row>
    <row r="4083" spans="24:41" x14ac:dyDescent="0.4">
      <c r="X4083"/>
      <c r="AO4083"/>
    </row>
    <row r="4084" spans="24:41" x14ac:dyDescent="0.4">
      <c r="X4084"/>
      <c r="AO4084"/>
    </row>
    <row r="4085" spans="24:41" x14ac:dyDescent="0.4">
      <c r="X4085"/>
      <c r="AO4085"/>
    </row>
    <row r="4086" spans="24:41" x14ac:dyDescent="0.4">
      <c r="X4086"/>
      <c r="AO4086"/>
    </row>
    <row r="4087" spans="24:41" x14ac:dyDescent="0.4">
      <c r="X4087"/>
      <c r="AO4087"/>
    </row>
    <row r="4088" spans="24:41" x14ac:dyDescent="0.4">
      <c r="X4088"/>
      <c r="AO4088"/>
    </row>
    <row r="4089" spans="24:41" x14ac:dyDescent="0.4">
      <c r="X4089"/>
      <c r="AO4089"/>
    </row>
    <row r="4090" spans="24:41" x14ac:dyDescent="0.4">
      <c r="X4090"/>
      <c r="AO4090"/>
    </row>
    <row r="4091" spans="24:41" x14ac:dyDescent="0.4">
      <c r="X4091"/>
      <c r="AO4091"/>
    </row>
    <row r="4092" spans="24:41" x14ac:dyDescent="0.4">
      <c r="X4092"/>
      <c r="AO4092"/>
    </row>
    <row r="4093" spans="24:41" x14ac:dyDescent="0.4">
      <c r="X4093"/>
      <c r="AO4093"/>
    </row>
    <row r="4094" spans="24:41" x14ac:dyDescent="0.4">
      <c r="X4094"/>
      <c r="AO4094"/>
    </row>
    <row r="4095" spans="24:41" x14ac:dyDescent="0.4">
      <c r="X4095"/>
      <c r="AO4095"/>
    </row>
    <row r="4096" spans="24:41" x14ac:dyDescent="0.4">
      <c r="X4096"/>
      <c r="AO4096"/>
    </row>
    <row r="4097" spans="24:41" x14ac:dyDescent="0.4">
      <c r="X4097"/>
      <c r="AO4097"/>
    </row>
    <row r="4098" spans="24:41" x14ac:dyDescent="0.4">
      <c r="X4098"/>
      <c r="AO4098"/>
    </row>
    <row r="4099" spans="24:41" x14ac:dyDescent="0.4">
      <c r="X4099"/>
      <c r="AO4099"/>
    </row>
    <row r="4100" spans="24:41" x14ac:dyDescent="0.4">
      <c r="X4100"/>
      <c r="AO4100"/>
    </row>
    <row r="4101" spans="24:41" x14ac:dyDescent="0.4">
      <c r="X4101"/>
      <c r="AO4101"/>
    </row>
    <row r="4102" spans="24:41" x14ac:dyDescent="0.4">
      <c r="X4102"/>
      <c r="AO4102"/>
    </row>
    <row r="4103" spans="24:41" x14ac:dyDescent="0.4">
      <c r="X4103"/>
      <c r="AO4103"/>
    </row>
    <row r="4104" spans="24:41" x14ac:dyDescent="0.4">
      <c r="X4104"/>
      <c r="AO4104"/>
    </row>
    <row r="4105" spans="24:41" x14ac:dyDescent="0.4">
      <c r="X4105"/>
      <c r="AO4105"/>
    </row>
    <row r="4106" spans="24:41" x14ac:dyDescent="0.4">
      <c r="X4106"/>
      <c r="AO4106"/>
    </row>
    <row r="4107" spans="24:41" x14ac:dyDescent="0.4">
      <c r="X4107"/>
      <c r="AO4107"/>
    </row>
    <row r="4108" spans="24:41" x14ac:dyDescent="0.4">
      <c r="X4108"/>
      <c r="AO4108"/>
    </row>
    <row r="4109" spans="24:41" x14ac:dyDescent="0.4">
      <c r="X4109"/>
      <c r="AO4109"/>
    </row>
    <row r="4110" spans="24:41" x14ac:dyDescent="0.4">
      <c r="X4110"/>
      <c r="AO4110"/>
    </row>
    <row r="4111" spans="24:41" x14ac:dyDescent="0.4">
      <c r="X4111"/>
      <c r="AO4111"/>
    </row>
    <row r="4112" spans="24:41" x14ac:dyDescent="0.4">
      <c r="X4112"/>
      <c r="AO4112"/>
    </row>
    <row r="4113" spans="24:41" x14ac:dyDescent="0.4">
      <c r="X4113"/>
      <c r="AO4113"/>
    </row>
    <row r="4114" spans="24:41" x14ac:dyDescent="0.4">
      <c r="X4114"/>
      <c r="AO4114"/>
    </row>
    <row r="4115" spans="24:41" x14ac:dyDescent="0.4">
      <c r="X4115"/>
      <c r="AO4115"/>
    </row>
    <row r="4116" spans="24:41" x14ac:dyDescent="0.4">
      <c r="X4116"/>
      <c r="AO4116"/>
    </row>
    <row r="4117" spans="24:41" x14ac:dyDescent="0.4">
      <c r="X4117"/>
      <c r="AO4117"/>
    </row>
    <row r="4118" spans="24:41" x14ac:dyDescent="0.4">
      <c r="X4118"/>
      <c r="AO4118"/>
    </row>
    <row r="4119" spans="24:41" x14ac:dyDescent="0.4">
      <c r="X4119"/>
      <c r="AO4119"/>
    </row>
    <row r="4120" spans="24:41" x14ac:dyDescent="0.4">
      <c r="X4120"/>
      <c r="AO4120"/>
    </row>
    <row r="4121" spans="24:41" x14ac:dyDescent="0.4">
      <c r="X4121"/>
      <c r="AO4121"/>
    </row>
    <row r="4122" spans="24:41" x14ac:dyDescent="0.4">
      <c r="X4122"/>
      <c r="AO4122"/>
    </row>
    <row r="4123" spans="24:41" x14ac:dyDescent="0.4">
      <c r="X4123"/>
      <c r="AO4123"/>
    </row>
    <row r="4124" spans="24:41" x14ac:dyDescent="0.4">
      <c r="X4124"/>
      <c r="AO4124"/>
    </row>
    <row r="4125" spans="24:41" x14ac:dyDescent="0.4">
      <c r="X4125"/>
      <c r="AO4125"/>
    </row>
    <row r="4126" spans="24:41" x14ac:dyDescent="0.4">
      <c r="X4126"/>
      <c r="AO4126"/>
    </row>
    <row r="4127" spans="24:41" x14ac:dyDescent="0.4">
      <c r="X4127"/>
      <c r="AO4127"/>
    </row>
    <row r="4128" spans="24:41" x14ac:dyDescent="0.4">
      <c r="X4128"/>
      <c r="AO4128"/>
    </row>
    <row r="4129" spans="24:41" x14ac:dyDescent="0.4">
      <c r="X4129"/>
      <c r="AO4129"/>
    </row>
    <row r="4130" spans="24:41" x14ac:dyDescent="0.4">
      <c r="X4130"/>
      <c r="AO4130"/>
    </row>
    <row r="4131" spans="24:41" x14ac:dyDescent="0.4">
      <c r="X4131"/>
      <c r="AO4131"/>
    </row>
    <row r="4132" spans="24:41" x14ac:dyDescent="0.4">
      <c r="X4132"/>
      <c r="AO4132"/>
    </row>
    <row r="4133" spans="24:41" x14ac:dyDescent="0.4">
      <c r="X4133"/>
      <c r="AO4133"/>
    </row>
    <row r="4134" spans="24:41" x14ac:dyDescent="0.4">
      <c r="X4134"/>
      <c r="AO4134"/>
    </row>
    <row r="4135" spans="24:41" x14ac:dyDescent="0.4">
      <c r="X4135"/>
      <c r="AO4135"/>
    </row>
    <row r="4136" spans="24:41" x14ac:dyDescent="0.4">
      <c r="X4136"/>
      <c r="AO4136"/>
    </row>
    <row r="4137" spans="24:41" x14ac:dyDescent="0.4">
      <c r="X4137"/>
      <c r="AO4137"/>
    </row>
    <row r="4138" spans="24:41" x14ac:dyDescent="0.4">
      <c r="X4138"/>
      <c r="AO4138"/>
    </row>
    <row r="4139" spans="24:41" x14ac:dyDescent="0.4">
      <c r="X4139"/>
      <c r="AO4139"/>
    </row>
    <row r="4140" spans="24:41" x14ac:dyDescent="0.4">
      <c r="X4140"/>
      <c r="AO4140"/>
    </row>
    <row r="4141" spans="24:41" x14ac:dyDescent="0.4">
      <c r="X4141"/>
      <c r="AO4141"/>
    </row>
    <row r="4142" spans="24:41" x14ac:dyDescent="0.4">
      <c r="X4142"/>
      <c r="AO4142"/>
    </row>
    <row r="4143" spans="24:41" x14ac:dyDescent="0.4">
      <c r="X4143"/>
      <c r="AO4143"/>
    </row>
    <row r="4144" spans="24:41" x14ac:dyDescent="0.4">
      <c r="X4144"/>
      <c r="AO4144"/>
    </row>
    <row r="4145" spans="24:41" x14ac:dyDescent="0.4">
      <c r="X4145"/>
      <c r="AO4145"/>
    </row>
    <row r="4146" spans="24:41" x14ac:dyDescent="0.4">
      <c r="X4146"/>
      <c r="AO4146"/>
    </row>
    <row r="4147" spans="24:41" x14ac:dyDescent="0.4">
      <c r="X4147"/>
      <c r="AO4147"/>
    </row>
    <row r="4148" spans="24:41" x14ac:dyDescent="0.4">
      <c r="X4148"/>
      <c r="AO4148"/>
    </row>
    <row r="4149" spans="24:41" x14ac:dyDescent="0.4">
      <c r="X4149"/>
      <c r="AO4149"/>
    </row>
    <row r="4150" spans="24:41" x14ac:dyDescent="0.4">
      <c r="X4150"/>
      <c r="AO4150"/>
    </row>
    <row r="4151" spans="24:41" x14ac:dyDescent="0.4">
      <c r="X4151"/>
      <c r="AO4151"/>
    </row>
    <row r="4152" spans="24:41" x14ac:dyDescent="0.4">
      <c r="X4152"/>
      <c r="AO4152"/>
    </row>
    <row r="4153" spans="24:41" x14ac:dyDescent="0.4">
      <c r="X4153"/>
      <c r="AO4153"/>
    </row>
    <row r="4154" spans="24:41" x14ac:dyDescent="0.4">
      <c r="X4154"/>
      <c r="AO4154"/>
    </row>
    <row r="4155" spans="24:41" x14ac:dyDescent="0.4">
      <c r="X4155"/>
      <c r="AO4155"/>
    </row>
    <row r="4156" spans="24:41" x14ac:dyDescent="0.4">
      <c r="X4156"/>
      <c r="AO4156"/>
    </row>
    <row r="4157" spans="24:41" x14ac:dyDescent="0.4">
      <c r="X4157"/>
      <c r="AO4157"/>
    </row>
    <row r="4158" spans="24:41" x14ac:dyDescent="0.4">
      <c r="X4158"/>
      <c r="AO4158"/>
    </row>
    <row r="4159" spans="24:41" x14ac:dyDescent="0.4">
      <c r="X4159"/>
      <c r="AO4159"/>
    </row>
    <row r="4160" spans="24:41" x14ac:dyDescent="0.4">
      <c r="X4160"/>
      <c r="AO4160"/>
    </row>
    <row r="4161" spans="24:41" x14ac:dyDescent="0.4">
      <c r="X4161"/>
      <c r="AO4161"/>
    </row>
    <row r="4162" spans="24:41" x14ac:dyDescent="0.4">
      <c r="X4162"/>
      <c r="AO4162"/>
    </row>
    <row r="4163" spans="24:41" x14ac:dyDescent="0.4">
      <c r="X4163"/>
      <c r="AO4163"/>
    </row>
    <row r="4164" spans="24:41" x14ac:dyDescent="0.4">
      <c r="X4164"/>
      <c r="AO4164"/>
    </row>
    <row r="4165" spans="24:41" x14ac:dyDescent="0.4">
      <c r="X4165"/>
      <c r="AO4165"/>
    </row>
    <row r="4166" spans="24:41" x14ac:dyDescent="0.4">
      <c r="X4166"/>
      <c r="AO4166"/>
    </row>
    <row r="4167" spans="24:41" x14ac:dyDescent="0.4">
      <c r="X4167"/>
      <c r="AO4167"/>
    </row>
    <row r="4168" spans="24:41" x14ac:dyDescent="0.4">
      <c r="X4168"/>
      <c r="AO4168"/>
    </row>
    <row r="4169" spans="24:41" x14ac:dyDescent="0.4">
      <c r="X4169"/>
      <c r="AO4169"/>
    </row>
    <row r="4170" spans="24:41" x14ac:dyDescent="0.4">
      <c r="X4170"/>
      <c r="AO4170"/>
    </row>
    <row r="4171" spans="24:41" x14ac:dyDescent="0.4">
      <c r="X4171"/>
      <c r="AO4171"/>
    </row>
    <row r="4172" spans="24:41" x14ac:dyDescent="0.4">
      <c r="X4172"/>
      <c r="AO4172"/>
    </row>
    <row r="4173" spans="24:41" x14ac:dyDescent="0.4">
      <c r="X4173"/>
      <c r="AO4173"/>
    </row>
    <row r="4174" spans="24:41" x14ac:dyDescent="0.4">
      <c r="X4174"/>
      <c r="AO4174"/>
    </row>
    <row r="4175" spans="24:41" x14ac:dyDescent="0.4">
      <c r="X4175"/>
      <c r="AO4175"/>
    </row>
    <row r="4176" spans="24:41" x14ac:dyDescent="0.4">
      <c r="X4176"/>
      <c r="AO4176"/>
    </row>
    <row r="4177" spans="24:41" x14ac:dyDescent="0.4">
      <c r="X4177"/>
      <c r="AO4177"/>
    </row>
    <row r="4178" spans="24:41" x14ac:dyDescent="0.4">
      <c r="X4178"/>
      <c r="AO4178"/>
    </row>
    <row r="4179" spans="24:41" x14ac:dyDescent="0.4">
      <c r="X4179"/>
      <c r="AO4179"/>
    </row>
    <row r="4180" spans="24:41" x14ac:dyDescent="0.4">
      <c r="X4180"/>
      <c r="AO4180"/>
    </row>
    <row r="4181" spans="24:41" x14ac:dyDescent="0.4">
      <c r="X4181"/>
      <c r="AO4181"/>
    </row>
    <row r="4182" spans="24:41" x14ac:dyDescent="0.4">
      <c r="X4182"/>
      <c r="AO4182"/>
    </row>
    <row r="4183" spans="24:41" x14ac:dyDescent="0.4">
      <c r="X4183"/>
      <c r="AO4183"/>
    </row>
    <row r="4184" spans="24:41" x14ac:dyDescent="0.4">
      <c r="X4184"/>
      <c r="AO4184"/>
    </row>
    <row r="4185" spans="24:41" x14ac:dyDescent="0.4">
      <c r="X4185"/>
      <c r="AO4185"/>
    </row>
    <row r="4186" spans="24:41" x14ac:dyDescent="0.4">
      <c r="X4186"/>
      <c r="AO4186"/>
    </row>
    <row r="4187" spans="24:41" x14ac:dyDescent="0.4">
      <c r="X4187"/>
      <c r="AO4187"/>
    </row>
    <row r="4188" spans="24:41" x14ac:dyDescent="0.4">
      <c r="X4188"/>
      <c r="AO4188"/>
    </row>
    <row r="4189" spans="24:41" x14ac:dyDescent="0.4">
      <c r="X4189"/>
      <c r="AO4189"/>
    </row>
    <row r="4190" spans="24:41" x14ac:dyDescent="0.4">
      <c r="X4190"/>
      <c r="AO4190"/>
    </row>
    <row r="4191" spans="24:41" x14ac:dyDescent="0.4">
      <c r="X4191"/>
      <c r="AO4191"/>
    </row>
    <row r="4192" spans="24:41" x14ac:dyDescent="0.4">
      <c r="X4192"/>
      <c r="AO4192"/>
    </row>
    <row r="4193" spans="24:41" x14ac:dyDescent="0.4">
      <c r="X4193"/>
      <c r="AO4193"/>
    </row>
    <row r="4194" spans="24:41" x14ac:dyDescent="0.4">
      <c r="X4194"/>
      <c r="AO4194"/>
    </row>
    <row r="4195" spans="24:41" x14ac:dyDescent="0.4">
      <c r="X4195"/>
      <c r="AO4195"/>
    </row>
    <row r="4196" spans="24:41" x14ac:dyDescent="0.4">
      <c r="X4196"/>
      <c r="AO4196"/>
    </row>
    <row r="4197" spans="24:41" x14ac:dyDescent="0.4">
      <c r="X4197"/>
      <c r="AO4197"/>
    </row>
    <row r="4198" spans="24:41" x14ac:dyDescent="0.4">
      <c r="X4198"/>
      <c r="AO4198"/>
    </row>
    <row r="4199" spans="24:41" x14ac:dyDescent="0.4">
      <c r="X4199"/>
      <c r="AO4199"/>
    </row>
    <row r="4200" spans="24:41" x14ac:dyDescent="0.4">
      <c r="X4200"/>
      <c r="AO4200"/>
    </row>
    <row r="4201" spans="24:41" x14ac:dyDescent="0.4">
      <c r="X4201"/>
      <c r="AO4201"/>
    </row>
    <row r="4202" spans="24:41" x14ac:dyDescent="0.4">
      <c r="X4202"/>
      <c r="AO4202"/>
    </row>
    <row r="4203" spans="24:41" x14ac:dyDescent="0.4">
      <c r="X4203"/>
      <c r="AO4203"/>
    </row>
    <row r="4204" spans="24:41" x14ac:dyDescent="0.4">
      <c r="X4204"/>
      <c r="AO4204"/>
    </row>
    <row r="4205" spans="24:41" x14ac:dyDescent="0.4">
      <c r="X4205"/>
      <c r="AO4205"/>
    </row>
    <row r="4206" spans="24:41" x14ac:dyDescent="0.4">
      <c r="X4206"/>
      <c r="AO4206"/>
    </row>
    <row r="4207" spans="24:41" x14ac:dyDescent="0.4">
      <c r="X4207"/>
      <c r="AO4207"/>
    </row>
    <row r="4208" spans="24:41" x14ac:dyDescent="0.4">
      <c r="X4208"/>
      <c r="AO4208"/>
    </row>
    <row r="4209" spans="24:41" x14ac:dyDescent="0.4">
      <c r="X4209"/>
      <c r="AO4209"/>
    </row>
    <row r="4210" spans="24:41" x14ac:dyDescent="0.4">
      <c r="X4210"/>
      <c r="AO4210"/>
    </row>
    <row r="4211" spans="24:41" x14ac:dyDescent="0.4">
      <c r="X4211"/>
      <c r="AO4211"/>
    </row>
    <row r="4212" spans="24:41" x14ac:dyDescent="0.4">
      <c r="X4212"/>
      <c r="AO4212"/>
    </row>
    <row r="4213" spans="24:41" x14ac:dyDescent="0.4">
      <c r="X4213"/>
      <c r="AO4213"/>
    </row>
    <row r="4214" spans="24:41" x14ac:dyDescent="0.4">
      <c r="X4214"/>
      <c r="AO4214"/>
    </row>
    <row r="4215" spans="24:41" x14ac:dyDescent="0.4">
      <c r="X4215"/>
      <c r="AO4215"/>
    </row>
    <row r="4216" spans="24:41" x14ac:dyDescent="0.4">
      <c r="X4216"/>
      <c r="AO4216"/>
    </row>
    <row r="4217" spans="24:41" x14ac:dyDescent="0.4">
      <c r="X4217"/>
      <c r="AO4217"/>
    </row>
    <row r="4218" spans="24:41" x14ac:dyDescent="0.4">
      <c r="X4218"/>
      <c r="AO4218"/>
    </row>
    <row r="4219" spans="24:41" x14ac:dyDescent="0.4">
      <c r="X4219"/>
      <c r="AO4219"/>
    </row>
    <row r="4220" spans="24:41" x14ac:dyDescent="0.4">
      <c r="X4220"/>
      <c r="AO4220"/>
    </row>
    <row r="4221" spans="24:41" x14ac:dyDescent="0.4">
      <c r="X4221"/>
      <c r="AO4221"/>
    </row>
    <row r="4222" spans="24:41" x14ac:dyDescent="0.4">
      <c r="X4222"/>
      <c r="AO4222"/>
    </row>
    <row r="4223" spans="24:41" x14ac:dyDescent="0.4">
      <c r="X4223"/>
      <c r="AO4223"/>
    </row>
    <row r="4224" spans="24:41" x14ac:dyDescent="0.4">
      <c r="X4224"/>
      <c r="AO4224"/>
    </row>
    <row r="4225" spans="24:41" x14ac:dyDescent="0.4">
      <c r="X4225"/>
      <c r="AO4225"/>
    </row>
    <row r="4226" spans="24:41" x14ac:dyDescent="0.4">
      <c r="X4226"/>
      <c r="AO4226"/>
    </row>
    <row r="4227" spans="24:41" x14ac:dyDescent="0.4">
      <c r="X4227"/>
      <c r="AO4227"/>
    </row>
    <row r="4228" spans="24:41" x14ac:dyDescent="0.4">
      <c r="X4228"/>
      <c r="AO4228"/>
    </row>
    <row r="4229" spans="24:41" x14ac:dyDescent="0.4">
      <c r="X4229"/>
      <c r="AO4229"/>
    </row>
    <row r="4230" spans="24:41" x14ac:dyDescent="0.4">
      <c r="X4230"/>
      <c r="AO4230"/>
    </row>
    <row r="4231" spans="24:41" x14ac:dyDescent="0.4">
      <c r="X4231"/>
      <c r="AO4231"/>
    </row>
    <row r="4232" spans="24:41" x14ac:dyDescent="0.4">
      <c r="X4232"/>
      <c r="AO4232"/>
    </row>
    <row r="4233" spans="24:41" x14ac:dyDescent="0.4">
      <c r="X4233"/>
      <c r="AO4233"/>
    </row>
    <row r="4234" spans="24:41" x14ac:dyDescent="0.4">
      <c r="X4234"/>
      <c r="AO4234"/>
    </row>
    <row r="4235" spans="24:41" x14ac:dyDescent="0.4">
      <c r="X4235"/>
      <c r="AO4235"/>
    </row>
    <row r="4236" spans="24:41" x14ac:dyDescent="0.4">
      <c r="X4236"/>
      <c r="AO4236"/>
    </row>
    <row r="4237" spans="24:41" x14ac:dyDescent="0.4">
      <c r="X4237"/>
      <c r="AO4237"/>
    </row>
    <row r="4238" spans="24:41" x14ac:dyDescent="0.4">
      <c r="X4238"/>
      <c r="AO4238"/>
    </row>
    <row r="4239" spans="24:41" x14ac:dyDescent="0.4">
      <c r="X4239"/>
      <c r="AO4239"/>
    </row>
    <row r="4240" spans="24:41" x14ac:dyDescent="0.4">
      <c r="X4240"/>
      <c r="AO4240"/>
    </row>
    <row r="4241" spans="24:41" x14ac:dyDescent="0.4">
      <c r="X4241"/>
      <c r="AO4241"/>
    </row>
    <row r="4242" spans="24:41" x14ac:dyDescent="0.4">
      <c r="X4242"/>
      <c r="AO4242"/>
    </row>
    <row r="4243" spans="24:41" x14ac:dyDescent="0.4">
      <c r="X4243"/>
      <c r="AO4243"/>
    </row>
    <row r="4244" spans="24:41" x14ac:dyDescent="0.4">
      <c r="X4244"/>
      <c r="AO4244"/>
    </row>
    <row r="4245" spans="24:41" x14ac:dyDescent="0.4">
      <c r="X4245"/>
      <c r="AO4245"/>
    </row>
    <row r="4246" spans="24:41" x14ac:dyDescent="0.4">
      <c r="X4246"/>
      <c r="AO4246"/>
    </row>
    <row r="4247" spans="24:41" x14ac:dyDescent="0.4">
      <c r="X4247"/>
      <c r="AO4247"/>
    </row>
    <row r="4248" spans="24:41" x14ac:dyDescent="0.4">
      <c r="X4248"/>
      <c r="AO4248"/>
    </row>
    <row r="4249" spans="24:41" x14ac:dyDescent="0.4">
      <c r="X4249"/>
      <c r="AO4249"/>
    </row>
    <row r="4250" spans="24:41" x14ac:dyDescent="0.4">
      <c r="X4250"/>
      <c r="AO4250"/>
    </row>
    <row r="4251" spans="24:41" x14ac:dyDescent="0.4">
      <c r="X4251"/>
      <c r="AO4251"/>
    </row>
    <row r="4252" spans="24:41" x14ac:dyDescent="0.4">
      <c r="X4252"/>
      <c r="AO4252"/>
    </row>
    <row r="4253" spans="24:41" x14ac:dyDescent="0.4">
      <c r="X4253"/>
      <c r="AO4253"/>
    </row>
    <row r="4254" spans="24:41" x14ac:dyDescent="0.4">
      <c r="X4254"/>
      <c r="AO4254"/>
    </row>
    <row r="4255" spans="24:41" x14ac:dyDescent="0.4">
      <c r="X4255"/>
      <c r="AO4255"/>
    </row>
    <row r="4256" spans="24:41" x14ac:dyDescent="0.4">
      <c r="X4256"/>
      <c r="AO4256"/>
    </row>
    <row r="4257" spans="24:41" x14ac:dyDescent="0.4">
      <c r="X4257"/>
      <c r="AO4257"/>
    </row>
    <row r="4258" spans="24:41" x14ac:dyDescent="0.4">
      <c r="X4258"/>
      <c r="AO4258"/>
    </row>
    <row r="4259" spans="24:41" x14ac:dyDescent="0.4">
      <c r="X4259"/>
      <c r="AO4259"/>
    </row>
    <row r="4260" spans="24:41" x14ac:dyDescent="0.4">
      <c r="X4260"/>
      <c r="AO4260"/>
    </row>
    <row r="4261" spans="24:41" x14ac:dyDescent="0.4">
      <c r="X4261"/>
      <c r="AO4261"/>
    </row>
    <row r="4262" spans="24:41" x14ac:dyDescent="0.4">
      <c r="X4262"/>
      <c r="AO4262"/>
    </row>
    <row r="4263" spans="24:41" x14ac:dyDescent="0.4">
      <c r="X4263"/>
      <c r="AO4263"/>
    </row>
    <row r="4264" spans="24:41" x14ac:dyDescent="0.4">
      <c r="X4264"/>
      <c r="AO4264"/>
    </row>
    <row r="4265" spans="24:41" x14ac:dyDescent="0.4">
      <c r="X4265"/>
      <c r="AO4265"/>
    </row>
    <row r="4266" spans="24:41" x14ac:dyDescent="0.4">
      <c r="X4266"/>
      <c r="AO4266"/>
    </row>
    <row r="4267" spans="24:41" x14ac:dyDescent="0.4">
      <c r="X4267"/>
      <c r="AO4267"/>
    </row>
    <row r="4268" spans="24:41" x14ac:dyDescent="0.4">
      <c r="X4268"/>
      <c r="AO4268"/>
    </row>
    <row r="4269" spans="24:41" x14ac:dyDescent="0.4">
      <c r="X4269"/>
      <c r="AO4269"/>
    </row>
    <row r="4270" spans="24:41" x14ac:dyDescent="0.4">
      <c r="X4270"/>
      <c r="AO4270"/>
    </row>
    <row r="4271" spans="24:41" x14ac:dyDescent="0.4">
      <c r="X4271"/>
      <c r="AO4271"/>
    </row>
    <row r="4272" spans="24:41" x14ac:dyDescent="0.4">
      <c r="X4272"/>
      <c r="AO4272"/>
    </row>
    <row r="4273" spans="24:41" x14ac:dyDescent="0.4">
      <c r="X4273"/>
      <c r="AO4273"/>
    </row>
    <row r="4274" spans="24:41" x14ac:dyDescent="0.4">
      <c r="X4274"/>
      <c r="AO4274"/>
    </row>
    <row r="4275" spans="24:41" x14ac:dyDescent="0.4">
      <c r="X4275"/>
      <c r="AO4275"/>
    </row>
    <row r="4276" spans="24:41" x14ac:dyDescent="0.4">
      <c r="X4276"/>
      <c r="AO4276"/>
    </row>
    <row r="4277" spans="24:41" x14ac:dyDescent="0.4">
      <c r="X4277"/>
      <c r="AO4277"/>
    </row>
    <row r="4278" spans="24:41" x14ac:dyDescent="0.4">
      <c r="X4278"/>
      <c r="AO4278"/>
    </row>
    <row r="4279" spans="24:41" x14ac:dyDescent="0.4">
      <c r="X4279"/>
      <c r="AO4279"/>
    </row>
    <row r="4280" spans="24:41" x14ac:dyDescent="0.4">
      <c r="X4280"/>
      <c r="AO4280"/>
    </row>
    <row r="4281" spans="24:41" x14ac:dyDescent="0.4">
      <c r="X4281"/>
      <c r="AO4281"/>
    </row>
    <row r="4282" spans="24:41" x14ac:dyDescent="0.4">
      <c r="X4282"/>
      <c r="AO4282"/>
    </row>
    <row r="4283" spans="24:41" x14ac:dyDescent="0.4">
      <c r="X4283"/>
      <c r="AO4283"/>
    </row>
    <row r="4284" spans="24:41" x14ac:dyDescent="0.4">
      <c r="X4284"/>
      <c r="AO4284"/>
    </row>
    <row r="4285" spans="24:41" x14ac:dyDescent="0.4">
      <c r="X4285"/>
      <c r="AO4285"/>
    </row>
    <row r="4286" spans="24:41" x14ac:dyDescent="0.4">
      <c r="X4286"/>
      <c r="AO4286"/>
    </row>
    <row r="4287" spans="24:41" x14ac:dyDescent="0.4">
      <c r="X4287"/>
      <c r="AO4287"/>
    </row>
    <row r="4288" spans="24:41" x14ac:dyDescent="0.4">
      <c r="X4288"/>
      <c r="AO4288"/>
    </row>
    <row r="4289" spans="24:41" x14ac:dyDescent="0.4">
      <c r="X4289"/>
      <c r="AO4289"/>
    </row>
    <row r="4290" spans="24:41" x14ac:dyDescent="0.4">
      <c r="X4290"/>
      <c r="AO4290"/>
    </row>
    <row r="4291" spans="24:41" x14ac:dyDescent="0.4">
      <c r="X4291"/>
      <c r="AO4291"/>
    </row>
    <row r="4292" spans="24:41" x14ac:dyDescent="0.4">
      <c r="X4292"/>
      <c r="AO4292"/>
    </row>
    <row r="4293" spans="24:41" x14ac:dyDescent="0.4">
      <c r="X4293"/>
      <c r="AO4293"/>
    </row>
    <row r="4294" spans="24:41" x14ac:dyDescent="0.4">
      <c r="X4294"/>
      <c r="AO4294"/>
    </row>
    <row r="4295" spans="24:41" x14ac:dyDescent="0.4">
      <c r="X4295"/>
      <c r="AO4295"/>
    </row>
    <row r="4296" spans="24:41" x14ac:dyDescent="0.4">
      <c r="X4296"/>
      <c r="AO4296"/>
    </row>
    <row r="4297" spans="24:41" x14ac:dyDescent="0.4">
      <c r="X4297"/>
      <c r="AO4297"/>
    </row>
    <row r="4298" spans="24:41" x14ac:dyDescent="0.4">
      <c r="X4298"/>
      <c r="AO4298"/>
    </row>
    <row r="4299" spans="24:41" x14ac:dyDescent="0.4">
      <c r="X4299"/>
      <c r="AO4299"/>
    </row>
    <row r="4300" spans="24:41" x14ac:dyDescent="0.4">
      <c r="X4300"/>
      <c r="AO4300"/>
    </row>
    <row r="4301" spans="24:41" x14ac:dyDescent="0.4">
      <c r="X4301"/>
      <c r="AO4301"/>
    </row>
    <row r="4302" spans="24:41" x14ac:dyDescent="0.4">
      <c r="X4302"/>
      <c r="AO4302"/>
    </row>
    <row r="4303" spans="24:41" x14ac:dyDescent="0.4">
      <c r="X4303"/>
      <c r="AO4303"/>
    </row>
    <row r="4304" spans="24:41" x14ac:dyDescent="0.4">
      <c r="X4304"/>
      <c r="AO4304"/>
    </row>
    <row r="4305" spans="24:41" x14ac:dyDescent="0.4">
      <c r="X4305"/>
      <c r="AO4305"/>
    </row>
    <row r="4306" spans="24:41" x14ac:dyDescent="0.4">
      <c r="X4306"/>
      <c r="AO4306"/>
    </row>
    <row r="4307" spans="24:41" x14ac:dyDescent="0.4">
      <c r="X4307"/>
      <c r="AO4307"/>
    </row>
    <row r="4308" spans="24:41" x14ac:dyDescent="0.4">
      <c r="X4308"/>
      <c r="AO4308"/>
    </row>
    <row r="4309" spans="24:41" x14ac:dyDescent="0.4">
      <c r="X4309"/>
      <c r="AO4309"/>
    </row>
    <row r="4310" spans="24:41" x14ac:dyDescent="0.4">
      <c r="X4310"/>
      <c r="AO4310"/>
    </row>
    <row r="4311" spans="24:41" x14ac:dyDescent="0.4">
      <c r="X4311"/>
      <c r="AO4311"/>
    </row>
    <row r="4312" spans="24:41" x14ac:dyDescent="0.4">
      <c r="X4312"/>
      <c r="AO4312"/>
    </row>
    <row r="4313" spans="24:41" x14ac:dyDescent="0.4">
      <c r="X4313"/>
      <c r="AO4313"/>
    </row>
    <row r="4314" spans="24:41" x14ac:dyDescent="0.4">
      <c r="X4314"/>
      <c r="AO4314"/>
    </row>
    <row r="4315" spans="24:41" x14ac:dyDescent="0.4">
      <c r="X4315"/>
      <c r="AO4315"/>
    </row>
    <row r="4316" spans="24:41" x14ac:dyDescent="0.4">
      <c r="X4316"/>
      <c r="AO4316"/>
    </row>
    <row r="4317" spans="24:41" x14ac:dyDescent="0.4">
      <c r="X4317"/>
      <c r="AO4317"/>
    </row>
    <row r="4318" spans="24:41" x14ac:dyDescent="0.4">
      <c r="X4318"/>
      <c r="AO4318"/>
    </row>
    <row r="4319" spans="24:41" x14ac:dyDescent="0.4">
      <c r="X4319"/>
      <c r="AO4319"/>
    </row>
    <row r="4320" spans="24:41" x14ac:dyDescent="0.4">
      <c r="X4320"/>
      <c r="AO4320"/>
    </row>
    <row r="4321" spans="24:41" x14ac:dyDescent="0.4">
      <c r="X4321"/>
      <c r="AO4321"/>
    </row>
    <row r="4322" spans="24:41" x14ac:dyDescent="0.4">
      <c r="X4322"/>
      <c r="AO4322"/>
    </row>
    <row r="4323" spans="24:41" x14ac:dyDescent="0.4">
      <c r="X4323"/>
      <c r="AO4323"/>
    </row>
    <row r="4324" spans="24:41" x14ac:dyDescent="0.4">
      <c r="X4324"/>
      <c r="AO4324"/>
    </row>
    <row r="4325" spans="24:41" x14ac:dyDescent="0.4">
      <c r="X4325"/>
      <c r="AO4325"/>
    </row>
    <row r="4326" spans="24:41" x14ac:dyDescent="0.4">
      <c r="X4326"/>
      <c r="AO4326"/>
    </row>
    <row r="4327" spans="24:41" x14ac:dyDescent="0.4">
      <c r="X4327"/>
      <c r="AO4327"/>
    </row>
    <row r="4328" spans="24:41" x14ac:dyDescent="0.4">
      <c r="X4328"/>
      <c r="AO4328"/>
    </row>
    <row r="4329" spans="24:41" x14ac:dyDescent="0.4">
      <c r="X4329"/>
      <c r="AO4329"/>
    </row>
    <row r="4330" spans="24:41" x14ac:dyDescent="0.4">
      <c r="X4330"/>
      <c r="AO4330"/>
    </row>
    <row r="4331" spans="24:41" x14ac:dyDescent="0.4">
      <c r="X4331"/>
      <c r="AO4331"/>
    </row>
    <row r="4332" spans="24:41" x14ac:dyDescent="0.4">
      <c r="X4332"/>
      <c r="AO4332"/>
    </row>
    <row r="4333" spans="24:41" x14ac:dyDescent="0.4">
      <c r="X4333"/>
      <c r="AO4333"/>
    </row>
    <row r="4334" spans="24:41" x14ac:dyDescent="0.4">
      <c r="X4334"/>
      <c r="AO4334"/>
    </row>
    <row r="4335" spans="24:41" x14ac:dyDescent="0.4">
      <c r="X4335"/>
      <c r="AO4335"/>
    </row>
    <row r="4336" spans="24:41" x14ac:dyDescent="0.4">
      <c r="X4336"/>
      <c r="AO4336"/>
    </row>
    <row r="4337" spans="24:41" x14ac:dyDescent="0.4">
      <c r="X4337"/>
      <c r="AO4337"/>
    </row>
    <row r="4338" spans="24:41" x14ac:dyDescent="0.4">
      <c r="X4338"/>
      <c r="AO4338"/>
    </row>
    <row r="4339" spans="24:41" x14ac:dyDescent="0.4">
      <c r="X4339"/>
      <c r="AO4339"/>
    </row>
    <row r="4340" spans="24:41" x14ac:dyDescent="0.4">
      <c r="X4340"/>
      <c r="AO4340"/>
    </row>
    <row r="4341" spans="24:41" x14ac:dyDescent="0.4">
      <c r="X4341"/>
      <c r="AO4341"/>
    </row>
    <row r="4342" spans="24:41" x14ac:dyDescent="0.4">
      <c r="X4342"/>
      <c r="AO4342"/>
    </row>
    <row r="4343" spans="24:41" x14ac:dyDescent="0.4">
      <c r="X4343"/>
      <c r="AO4343"/>
    </row>
    <row r="4344" spans="24:41" x14ac:dyDescent="0.4">
      <c r="X4344"/>
      <c r="AO4344"/>
    </row>
    <row r="4345" spans="24:41" x14ac:dyDescent="0.4">
      <c r="X4345"/>
      <c r="AO4345"/>
    </row>
    <row r="4346" spans="24:41" x14ac:dyDescent="0.4">
      <c r="X4346"/>
      <c r="AO4346"/>
    </row>
    <row r="4347" spans="24:41" x14ac:dyDescent="0.4">
      <c r="X4347"/>
      <c r="AO4347"/>
    </row>
    <row r="4348" spans="24:41" x14ac:dyDescent="0.4">
      <c r="X4348"/>
      <c r="AO4348"/>
    </row>
    <row r="4349" spans="24:41" x14ac:dyDescent="0.4">
      <c r="X4349"/>
      <c r="AO4349"/>
    </row>
    <row r="4350" spans="24:41" x14ac:dyDescent="0.4">
      <c r="X4350"/>
      <c r="AO4350"/>
    </row>
    <row r="4351" spans="24:41" x14ac:dyDescent="0.4">
      <c r="X4351"/>
      <c r="AO4351"/>
    </row>
    <row r="4352" spans="24:41" x14ac:dyDescent="0.4">
      <c r="X4352"/>
      <c r="AO4352"/>
    </row>
    <row r="4353" spans="24:41" x14ac:dyDescent="0.4">
      <c r="X4353"/>
      <c r="AO4353"/>
    </row>
    <row r="4354" spans="24:41" x14ac:dyDescent="0.4">
      <c r="X4354"/>
      <c r="AO4354"/>
    </row>
    <row r="4355" spans="24:41" x14ac:dyDescent="0.4">
      <c r="X4355"/>
      <c r="AO4355"/>
    </row>
    <row r="4356" spans="24:41" x14ac:dyDescent="0.4">
      <c r="X4356"/>
      <c r="AO4356"/>
    </row>
    <row r="4357" spans="24:41" x14ac:dyDescent="0.4">
      <c r="X4357"/>
      <c r="AO4357"/>
    </row>
    <row r="4358" spans="24:41" x14ac:dyDescent="0.4">
      <c r="X4358"/>
      <c r="AO4358"/>
    </row>
    <row r="4359" spans="24:41" x14ac:dyDescent="0.4">
      <c r="X4359"/>
      <c r="AO4359"/>
    </row>
    <row r="4360" spans="24:41" x14ac:dyDescent="0.4">
      <c r="X4360"/>
      <c r="AO4360"/>
    </row>
    <row r="4361" spans="24:41" x14ac:dyDescent="0.4">
      <c r="X4361"/>
      <c r="AO4361"/>
    </row>
    <row r="4362" spans="24:41" x14ac:dyDescent="0.4">
      <c r="X4362"/>
      <c r="AO4362"/>
    </row>
    <row r="4363" spans="24:41" x14ac:dyDescent="0.4">
      <c r="X4363"/>
      <c r="AO4363"/>
    </row>
    <row r="4364" spans="24:41" x14ac:dyDescent="0.4">
      <c r="X4364"/>
      <c r="AO4364"/>
    </row>
    <row r="4365" spans="24:41" x14ac:dyDescent="0.4">
      <c r="X4365"/>
      <c r="AO4365"/>
    </row>
    <row r="4366" spans="24:41" x14ac:dyDescent="0.4">
      <c r="X4366"/>
      <c r="AO4366"/>
    </row>
    <row r="4367" spans="24:41" x14ac:dyDescent="0.4">
      <c r="X4367"/>
      <c r="AO4367"/>
    </row>
    <row r="4368" spans="24:41" x14ac:dyDescent="0.4">
      <c r="X4368"/>
      <c r="AO4368"/>
    </row>
    <row r="4369" spans="24:41" x14ac:dyDescent="0.4">
      <c r="X4369"/>
      <c r="AO4369"/>
    </row>
    <row r="4370" spans="24:41" x14ac:dyDescent="0.4">
      <c r="X4370"/>
      <c r="AO4370"/>
    </row>
    <row r="4371" spans="24:41" x14ac:dyDescent="0.4">
      <c r="X4371"/>
      <c r="AO4371"/>
    </row>
    <row r="4372" spans="24:41" x14ac:dyDescent="0.4">
      <c r="X4372"/>
      <c r="AO4372"/>
    </row>
    <row r="4373" spans="24:41" x14ac:dyDescent="0.4">
      <c r="X4373"/>
      <c r="AO4373"/>
    </row>
    <row r="4374" spans="24:41" x14ac:dyDescent="0.4">
      <c r="X4374"/>
      <c r="AO4374"/>
    </row>
    <row r="4375" spans="24:41" x14ac:dyDescent="0.4">
      <c r="X4375"/>
      <c r="AO4375"/>
    </row>
    <row r="4376" spans="24:41" x14ac:dyDescent="0.4">
      <c r="X4376"/>
      <c r="AO4376"/>
    </row>
    <row r="4377" spans="24:41" x14ac:dyDescent="0.4">
      <c r="X4377"/>
      <c r="AO4377"/>
    </row>
    <row r="4378" spans="24:41" x14ac:dyDescent="0.4">
      <c r="X4378"/>
      <c r="AO4378"/>
    </row>
    <row r="4379" spans="24:41" x14ac:dyDescent="0.4">
      <c r="X4379"/>
      <c r="AO4379"/>
    </row>
    <row r="4380" spans="24:41" x14ac:dyDescent="0.4">
      <c r="X4380"/>
      <c r="AO4380"/>
    </row>
    <row r="4381" spans="24:41" x14ac:dyDescent="0.4">
      <c r="X4381"/>
      <c r="AO4381"/>
    </row>
    <row r="4382" spans="24:41" x14ac:dyDescent="0.4">
      <c r="X4382"/>
      <c r="AO4382"/>
    </row>
    <row r="4383" spans="24:41" x14ac:dyDescent="0.4">
      <c r="X4383"/>
      <c r="AO4383"/>
    </row>
    <row r="4384" spans="24:41" x14ac:dyDescent="0.4">
      <c r="X4384"/>
      <c r="AO4384"/>
    </row>
    <row r="4385" spans="24:41" x14ac:dyDescent="0.4">
      <c r="X4385"/>
      <c r="AO4385"/>
    </row>
    <row r="4386" spans="24:41" x14ac:dyDescent="0.4">
      <c r="X4386"/>
      <c r="AO4386"/>
    </row>
    <row r="4387" spans="24:41" x14ac:dyDescent="0.4">
      <c r="X4387"/>
      <c r="AO4387"/>
    </row>
    <row r="4388" spans="24:41" x14ac:dyDescent="0.4">
      <c r="X4388"/>
      <c r="AO4388"/>
    </row>
    <row r="4389" spans="24:41" x14ac:dyDescent="0.4">
      <c r="X4389"/>
      <c r="AO4389"/>
    </row>
    <row r="4390" spans="24:41" x14ac:dyDescent="0.4">
      <c r="X4390"/>
      <c r="AO4390"/>
    </row>
    <row r="4391" spans="24:41" x14ac:dyDescent="0.4">
      <c r="X4391"/>
      <c r="AO4391"/>
    </row>
    <row r="4392" spans="24:41" x14ac:dyDescent="0.4">
      <c r="X4392"/>
      <c r="AO4392"/>
    </row>
    <row r="4393" spans="24:41" x14ac:dyDescent="0.4">
      <c r="X4393"/>
      <c r="AO4393"/>
    </row>
    <row r="4394" spans="24:41" x14ac:dyDescent="0.4">
      <c r="X4394"/>
      <c r="AO4394"/>
    </row>
    <row r="4395" spans="24:41" x14ac:dyDescent="0.4">
      <c r="X4395"/>
      <c r="AO4395"/>
    </row>
    <row r="4396" spans="24:41" x14ac:dyDescent="0.4">
      <c r="X4396"/>
      <c r="AO4396"/>
    </row>
    <row r="4397" spans="24:41" x14ac:dyDescent="0.4">
      <c r="X4397"/>
      <c r="AO4397"/>
    </row>
    <row r="4398" spans="24:41" x14ac:dyDescent="0.4">
      <c r="X4398"/>
      <c r="AO4398"/>
    </row>
    <row r="4399" spans="24:41" x14ac:dyDescent="0.4">
      <c r="X4399"/>
      <c r="AO4399"/>
    </row>
    <row r="4400" spans="24:41" x14ac:dyDescent="0.4">
      <c r="X4400"/>
      <c r="AO4400"/>
    </row>
    <row r="4401" spans="24:41" x14ac:dyDescent="0.4">
      <c r="X4401"/>
      <c r="AO4401"/>
    </row>
    <row r="4402" spans="24:41" x14ac:dyDescent="0.4">
      <c r="X4402"/>
      <c r="AO4402"/>
    </row>
    <row r="4403" spans="24:41" x14ac:dyDescent="0.4">
      <c r="X4403"/>
      <c r="AO4403"/>
    </row>
    <row r="4404" spans="24:41" x14ac:dyDescent="0.4">
      <c r="X4404"/>
      <c r="AO4404"/>
    </row>
    <row r="4405" spans="24:41" x14ac:dyDescent="0.4">
      <c r="X4405"/>
      <c r="AO4405"/>
    </row>
    <row r="4406" spans="24:41" x14ac:dyDescent="0.4">
      <c r="X4406"/>
      <c r="AO4406"/>
    </row>
    <row r="4407" spans="24:41" x14ac:dyDescent="0.4">
      <c r="X4407"/>
      <c r="AO4407"/>
    </row>
    <row r="4408" spans="24:41" x14ac:dyDescent="0.4">
      <c r="X4408"/>
      <c r="AO4408"/>
    </row>
    <row r="4409" spans="24:41" x14ac:dyDescent="0.4">
      <c r="X4409"/>
      <c r="AO4409"/>
    </row>
    <row r="4410" spans="24:41" x14ac:dyDescent="0.4">
      <c r="X4410"/>
      <c r="AO4410"/>
    </row>
    <row r="4411" spans="24:41" x14ac:dyDescent="0.4">
      <c r="X4411"/>
      <c r="AO4411"/>
    </row>
    <row r="4412" spans="24:41" x14ac:dyDescent="0.4">
      <c r="X4412"/>
      <c r="AO4412"/>
    </row>
    <row r="4413" spans="24:41" x14ac:dyDescent="0.4">
      <c r="X4413"/>
      <c r="AO4413"/>
    </row>
    <row r="4414" spans="24:41" x14ac:dyDescent="0.4">
      <c r="X4414"/>
      <c r="AO4414"/>
    </row>
    <row r="4415" spans="24:41" x14ac:dyDescent="0.4">
      <c r="X4415"/>
      <c r="AO4415"/>
    </row>
    <row r="4416" spans="24:41" x14ac:dyDescent="0.4">
      <c r="X4416"/>
      <c r="AO4416"/>
    </row>
    <row r="4417" spans="24:41" x14ac:dyDescent="0.4">
      <c r="X4417"/>
      <c r="AO4417"/>
    </row>
    <row r="4418" spans="24:41" x14ac:dyDescent="0.4">
      <c r="X4418"/>
      <c r="AO4418"/>
    </row>
    <row r="4419" spans="24:41" x14ac:dyDescent="0.4">
      <c r="X4419"/>
      <c r="AO4419"/>
    </row>
    <row r="4420" spans="24:41" x14ac:dyDescent="0.4">
      <c r="X4420"/>
      <c r="AO4420"/>
    </row>
    <row r="4421" spans="24:41" x14ac:dyDescent="0.4">
      <c r="X4421"/>
      <c r="AO4421"/>
    </row>
    <row r="4422" spans="24:41" x14ac:dyDescent="0.4">
      <c r="X4422"/>
      <c r="AO4422"/>
    </row>
    <row r="4423" spans="24:41" x14ac:dyDescent="0.4">
      <c r="X4423"/>
      <c r="AO4423"/>
    </row>
    <row r="4424" spans="24:41" x14ac:dyDescent="0.4">
      <c r="X4424"/>
      <c r="AO4424"/>
    </row>
    <row r="4425" spans="24:41" x14ac:dyDescent="0.4">
      <c r="X4425"/>
      <c r="AO4425"/>
    </row>
    <row r="4426" spans="24:41" x14ac:dyDescent="0.4">
      <c r="X4426"/>
      <c r="AO4426"/>
    </row>
    <row r="4427" spans="24:41" x14ac:dyDescent="0.4">
      <c r="X4427"/>
      <c r="AO4427"/>
    </row>
    <row r="4428" spans="24:41" x14ac:dyDescent="0.4">
      <c r="X4428"/>
      <c r="AO4428"/>
    </row>
    <row r="4429" spans="24:41" x14ac:dyDescent="0.4">
      <c r="X4429"/>
      <c r="AO4429"/>
    </row>
    <row r="4430" spans="24:41" x14ac:dyDescent="0.4">
      <c r="X4430"/>
      <c r="AO4430"/>
    </row>
    <row r="4431" spans="24:41" x14ac:dyDescent="0.4">
      <c r="X4431"/>
      <c r="AO4431"/>
    </row>
    <row r="4432" spans="24:41" x14ac:dyDescent="0.4">
      <c r="X4432"/>
      <c r="AO4432"/>
    </row>
    <row r="4433" spans="24:41" x14ac:dyDescent="0.4">
      <c r="X4433"/>
      <c r="AO4433"/>
    </row>
    <row r="4434" spans="24:41" x14ac:dyDescent="0.4">
      <c r="X4434"/>
      <c r="AO4434"/>
    </row>
    <row r="4435" spans="24:41" x14ac:dyDescent="0.4">
      <c r="X4435"/>
      <c r="AO4435"/>
    </row>
    <row r="4436" spans="24:41" x14ac:dyDescent="0.4">
      <c r="X4436"/>
      <c r="AO4436"/>
    </row>
    <row r="4437" spans="24:41" x14ac:dyDescent="0.4">
      <c r="X4437"/>
      <c r="AO4437"/>
    </row>
    <row r="4438" spans="24:41" x14ac:dyDescent="0.4">
      <c r="X4438"/>
      <c r="AO4438"/>
    </row>
    <row r="4439" spans="24:41" x14ac:dyDescent="0.4">
      <c r="X4439"/>
      <c r="AO4439"/>
    </row>
    <row r="4440" spans="24:41" x14ac:dyDescent="0.4">
      <c r="X4440"/>
      <c r="AO4440"/>
    </row>
    <row r="4441" spans="24:41" x14ac:dyDescent="0.4">
      <c r="X4441"/>
      <c r="AO4441"/>
    </row>
    <row r="4442" spans="24:41" x14ac:dyDescent="0.4">
      <c r="X4442"/>
      <c r="AO4442"/>
    </row>
    <row r="4443" spans="24:41" x14ac:dyDescent="0.4">
      <c r="X4443"/>
      <c r="AO4443"/>
    </row>
    <row r="4444" spans="24:41" x14ac:dyDescent="0.4">
      <c r="X4444"/>
      <c r="AO4444"/>
    </row>
    <row r="4445" spans="24:41" x14ac:dyDescent="0.4">
      <c r="X4445"/>
      <c r="AO4445"/>
    </row>
    <row r="4446" spans="24:41" x14ac:dyDescent="0.4">
      <c r="X4446"/>
      <c r="AO4446"/>
    </row>
    <row r="4447" spans="24:41" x14ac:dyDescent="0.4">
      <c r="X4447"/>
      <c r="AO4447"/>
    </row>
    <row r="4448" spans="24:41" x14ac:dyDescent="0.4">
      <c r="X4448"/>
      <c r="AO4448"/>
    </row>
    <row r="4449" spans="24:41" x14ac:dyDescent="0.4">
      <c r="X4449"/>
      <c r="AO4449"/>
    </row>
    <row r="4450" spans="24:41" x14ac:dyDescent="0.4">
      <c r="X4450"/>
      <c r="AO4450"/>
    </row>
    <row r="4451" spans="24:41" x14ac:dyDescent="0.4">
      <c r="X4451"/>
      <c r="AO4451"/>
    </row>
    <row r="4452" spans="24:41" x14ac:dyDescent="0.4">
      <c r="X4452"/>
      <c r="AO4452"/>
    </row>
    <row r="4453" spans="24:41" x14ac:dyDescent="0.4">
      <c r="X4453"/>
      <c r="AO4453"/>
    </row>
    <row r="4454" spans="24:41" x14ac:dyDescent="0.4">
      <c r="X4454"/>
      <c r="AO4454"/>
    </row>
    <row r="4455" spans="24:41" x14ac:dyDescent="0.4">
      <c r="X4455"/>
      <c r="AO4455"/>
    </row>
    <row r="4456" spans="24:41" x14ac:dyDescent="0.4">
      <c r="X4456"/>
      <c r="AO4456"/>
    </row>
    <row r="4457" spans="24:41" x14ac:dyDescent="0.4">
      <c r="X4457"/>
      <c r="AO4457"/>
    </row>
    <row r="4458" spans="24:41" x14ac:dyDescent="0.4">
      <c r="X4458"/>
      <c r="AO4458"/>
    </row>
    <row r="4459" spans="24:41" x14ac:dyDescent="0.4">
      <c r="X4459"/>
      <c r="AO4459"/>
    </row>
    <row r="4460" spans="24:41" x14ac:dyDescent="0.4">
      <c r="X4460"/>
      <c r="AO4460"/>
    </row>
    <row r="4461" spans="24:41" x14ac:dyDescent="0.4">
      <c r="X4461"/>
      <c r="AO4461"/>
    </row>
    <row r="4462" spans="24:41" x14ac:dyDescent="0.4">
      <c r="X4462"/>
      <c r="AO4462"/>
    </row>
    <row r="4463" spans="24:41" x14ac:dyDescent="0.4">
      <c r="X4463"/>
      <c r="AO4463"/>
    </row>
    <row r="4464" spans="24:41" x14ac:dyDescent="0.4">
      <c r="X4464"/>
      <c r="AO4464"/>
    </row>
    <row r="4465" spans="24:41" x14ac:dyDescent="0.4">
      <c r="X4465"/>
      <c r="AO4465"/>
    </row>
    <row r="4466" spans="24:41" x14ac:dyDescent="0.4">
      <c r="X4466"/>
      <c r="AO4466"/>
    </row>
    <row r="4467" spans="24:41" x14ac:dyDescent="0.4">
      <c r="X4467"/>
      <c r="AO4467"/>
    </row>
    <row r="4468" spans="24:41" x14ac:dyDescent="0.4">
      <c r="X4468"/>
      <c r="AO4468"/>
    </row>
    <row r="4469" spans="24:41" x14ac:dyDescent="0.4">
      <c r="X4469"/>
      <c r="AO4469"/>
    </row>
    <row r="4470" spans="24:41" x14ac:dyDescent="0.4">
      <c r="X4470"/>
      <c r="AO4470"/>
    </row>
    <row r="4471" spans="24:41" x14ac:dyDescent="0.4">
      <c r="X4471"/>
      <c r="AO4471"/>
    </row>
    <row r="4472" spans="24:41" x14ac:dyDescent="0.4">
      <c r="X4472"/>
      <c r="AO4472"/>
    </row>
    <row r="4473" spans="24:41" x14ac:dyDescent="0.4">
      <c r="X4473"/>
      <c r="AO4473"/>
    </row>
    <row r="4474" spans="24:41" x14ac:dyDescent="0.4">
      <c r="X4474"/>
      <c r="AO4474"/>
    </row>
    <row r="4475" spans="24:41" x14ac:dyDescent="0.4">
      <c r="X4475"/>
      <c r="AO4475"/>
    </row>
    <row r="4476" spans="24:41" x14ac:dyDescent="0.4">
      <c r="X4476"/>
      <c r="AO4476"/>
    </row>
    <row r="4477" spans="24:41" x14ac:dyDescent="0.4">
      <c r="X4477"/>
      <c r="AO4477"/>
    </row>
    <row r="4478" spans="24:41" x14ac:dyDescent="0.4">
      <c r="X4478"/>
      <c r="AO4478"/>
    </row>
    <row r="4479" spans="24:41" x14ac:dyDescent="0.4">
      <c r="X4479"/>
      <c r="AO4479"/>
    </row>
    <row r="4480" spans="24:41" x14ac:dyDescent="0.4">
      <c r="X4480"/>
      <c r="AO4480"/>
    </row>
    <row r="4481" spans="24:41" x14ac:dyDescent="0.4">
      <c r="X4481"/>
      <c r="AO4481"/>
    </row>
    <row r="4482" spans="24:41" x14ac:dyDescent="0.4">
      <c r="X4482"/>
      <c r="AO4482"/>
    </row>
    <row r="4483" spans="24:41" x14ac:dyDescent="0.4">
      <c r="X4483"/>
      <c r="AO4483"/>
    </row>
    <row r="4484" spans="24:41" x14ac:dyDescent="0.4">
      <c r="X4484"/>
      <c r="AO4484"/>
    </row>
    <row r="4485" spans="24:41" x14ac:dyDescent="0.4">
      <c r="X4485"/>
      <c r="AO4485"/>
    </row>
    <row r="4486" spans="24:41" x14ac:dyDescent="0.4">
      <c r="X4486"/>
      <c r="AO4486"/>
    </row>
    <row r="4487" spans="24:41" x14ac:dyDescent="0.4">
      <c r="X4487"/>
      <c r="AO4487"/>
    </row>
    <row r="4488" spans="24:41" x14ac:dyDescent="0.4">
      <c r="X4488"/>
      <c r="AO4488"/>
    </row>
    <row r="4489" spans="24:41" x14ac:dyDescent="0.4">
      <c r="X4489"/>
      <c r="AO4489"/>
    </row>
    <row r="4490" spans="24:41" x14ac:dyDescent="0.4">
      <c r="X4490"/>
      <c r="AO4490"/>
    </row>
    <row r="4491" spans="24:41" x14ac:dyDescent="0.4">
      <c r="X4491"/>
      <c r="AO4491"/>
    </row>
    <row r="4492" spans="24:41" x14ac:dyDescent="0.4">
      <c r="X4492"/>
      <c r="AO4492"/>
    </row>
    <row r="4493" spans="24:41" x14ac:dyDescent="0.4">
      <c r="X4493"/>
      <c r="AO4493"/>
    </row>
    <row r="4494" spans="24:41" x14ac:dyDescent="0.4">
      <c r="X4494"/>
      <c r="AO4494"/>
    </row>
    <row r="4495" spans="24:41" x14ac:dyDescent="0.4">
      <c r="X4495"/>
      <c r="AO4495"/>
    </row>
    <row r="4496" spans="24:41" x14ac:dyDescent="0.4">
      <c r="X4496"/>
      <c r="AO4496"/>
    </row>
    <row r="4497" spans="24:41" x14ac:dyDescent="0.4">
      <c r="X4497"/>
      <c r="AO4497"/>
    </row>
    <row r="4498" spans="24:41" x14ac:dyDescent="0.4">
      <c r="X4498"/>
      <c r="AO4498"/>
    </row>
    <row r="4499" spans="24:41" x14ac:dyDescent="0.4">
      <c r="X4499"/>
      <c r="AO4499"/>
    </row>
    <row r="4500" spans="24:41" x14ac:dyDescent="0.4">
      <c r="X4500"/>
      <c r="AO4500"/>
    </row>
    <row r="4501" spans="24:41" x14ac:dyDescent="0.4">
      <c r="X4501"/>
      <c r="AO4501"/>
    </row>
    <row r="4502" spans="24:41" x14ac:dyDescent="0.4">
      <c r="X4502"/>
      <c r="AO4502"/>
    </row>
    <row r="4503" spans="24:41" x14ac:dyDescent="0.4">
      <c r="X4503"/>
      <c r="AO4503"/>
    </row>
    <row r="4504" spans="24:41" x14ac:dyDescent="0.4">
      <c r="X4504"/>
      <c r="AO4504"/>
    </row>
    <row r="4505" spans="24:41" x14ac:dyDescent="0.4">
      <c r="X4505"/>
      <c r="AO4505"/>
    </row>
    <row r="4506" spans="24:41" x14ac:dyDescent="0.4">
      <c r="X4506"/>
      <c r="AO4506"/>
    </row>
    <row r="4507" spans="24:41" x14ac:dyDescent="0.4">
      <c r="X4507"/>
      <c r="AO4507"/>
    </row>
    <row r="4508" spans="24:41" x14ac:dyDescent="0.4">
      <c r="X4508"/>
      <c r="AO4508"/>
    </row>
    <row r="4509" spans="24:41" x14ac:dyDescent="0.4">
      <c r="X4509"/>
      <c r="AO4509"/>
    </row>
    <row r="4510" spans="24:41" x14ac:dyDescent="0.4">
      <c r="X4510"/>
      <c r="AO4510"/>
    </row>
    <row r="4511" spans="24:41" x14ac:dyDescent="0.4">
      <c r="X4511"/>
      <c r="AO4511"/>
    </row>
    <row r="4512" spans="24:41" x14ac:dyDescent="0.4">
      <c r="X4512"/>
      <c r="AO4512"/>
    </row>
    <row r="4513" spans="24:41" x14ac:dyDescent="0.4">
      <c r="X4513"/>
      <c r="AO4513"/>
    </row>
    <row r="4514" spans="24:41" x14ac:dyDescent="0.4">
      <c r="X4514"/>
      <c r="AO4514"/>
    </row>
    <row r="4515" spans="24:41" x14ac:dyDescent="0.4">
      <c r="X4515"/>
      <c r="AO4515"/>
    </row>
    <row r="4516" spans="24:41" x14ac:dyDescent="0.4">
      <c r="X4516"/>
      <c r="AO4516"/>
    </row>
    <row r="4517" spans="24:41" x14ac:dyDescent="0.4">
      <c r="X4517"/>
      <c r="AO4517"/>
    </row>
    <row r="4518" spans="24:41" x14ac:dyDescent="0.4">
      <c r="X4518"/>
      <c r="AO4518"/>
    </row>
    <row r="4519" spans="24:41" x14ac:dyDescent="0.4">
      <c r="X4519"/>
      <c r="AO4519"/>
    </row>
    <row r="4520" spans="24:41" x14ac:dyDescent="0.4">
      <c r="X4520"/>
      <c r="AO4520"/>
    </row>
    <row r="4521" spans="24:41" x14ac:dyDescent="0.4">
      <c r="X4521"/>
      <c r="AO4521"/>
    </row>
    <row r="4522" spans="24:41" x14ac:dyDescent="0.4">
      <c r="X4522"/>
      <c r="AO4522"/>
    </row>
    <row r="4523" spans="24:41" x14ac:dyDescent="0.4">
      <c r="X4523"/>
      <c r="AO4523"/>
    </row>
    <row r="4524" spans="24:41" x14ac:dyDescent="0.4">
      <c r="X4524"/>
      <c r="AO4524"/>
    </row>
    <row r="4525" spans="24:41" x14ac:dyDescent="0.4">
      <c r="X4525"/>
      <c r="AO4525"/>
    </row>
    <row r="4526" spans="24:41" x14ac:dyDescent="0.4">
      <c r="X4526"/>
      <c r="AO4526"/>
    </row>
    <row r="4527" spans="24:41" x14ac:dyDescent="0.4">
      <c r="X4527"/>
      <c r="AO4527"/>
    </row>
    <row r="4528" spans="24:41" x14ac:dyDescent="0.4">
      <c r="X4528"/>
      <c r="AO4528"/>
    </row>
    <row r="4529" spans="24:41" x14ac:dyDescent="0.4">
      <c r="X4529"/>
      <c r="AO4529"/>
    </row>
    <row r="4530" spans="24:41" x14ac:dyDescent="0.4">
      <c r="X4530"/>
      <c r="AO4530"/>
    </row>
    <row r="4531" spans="24:41" x14ac:dyDescent="0.4">
      <c r="X4531"/>
      <c r="AO4531"/>
    </row>
    <row r="4532" spans="24:41" x14ac:dyDescent="0.4">
      <c r="X4532"/>
      <c r="AO4532"/>
    </row>
    <row r="4533" spans="24:41" x14ac:dyDescent="0.4">
      <c r="X4533"/>
      <c r="AO4533"/>
    </row>
    <row r="4534" spans="24:41" x14ac:dyDescent="0.4">
      <c r="X4534"/>
      <c r="AO4534"/>
    </row>
    <row r="4535" spans="24:41" x14ac:dyDescent="0.4">
      <c r="X4535"/>
      <c r="AO4535"/>
    </row>
    <row r="4536" spans="24:41" x14ac:dyDescent="0.4">
      <c r="X4536"/>
      <c r="AO4536"/>
    </row>
    <row r="4537" spans="24:41" x14ac:dyDescent="0.4">
      <c r="X4537"/>
      <c r="AO4537"/>
    </row>
    <row r="4538" spans="24:41" x14ac:dyDescent="0.4">
      <c r="X4538"/>
      <c r="AO4538"/>
    </row>
    <row r="4539" spans="24:41" x14ac:dyDescent="0.4">
      <c r="X4539"/>
      <c r="AO4539"/>
    </row>
    <row r="4540" spans="24:41" x14ac:dyDescent="0.4">
      <c r="X4540"/>
      <c r="AO4540"/>
    </row>
    <row r="4541" spans="24:41" x14ac:dyDescent="0.4">
      <c r="X4541"/>
      <c r="AO4541"/>
    </row>
    <row r="4542" spans="24:41" x14ac:dyDescent="0.4">
      <c r="X4542"/>
      <c r="AO4542"/>
    </row>
    <row r="4543" spans="24:41" x14ac:dyDescent="0.4">
      <c r="X4543"/>
      <c r="AO4543"/>
    </row>
    <row r="4544" spans="24:41" x14ac:dyDescent="0.4">
      <c r="X4544"/>
      <c r="AO4544"/>
    </row>
    <row r="4545" spans="24:41" x14ac:dyDescent="0.4">
      <c r="X4545"/>
      <c r="AO4545"/>
    </row>
    <row r="4546" spans="24:41" x14ac:dyDescent="0.4">
      <c r="X4546"/>
      <c r="AO4546"/>
    </row>
    <row r="4547" spans="24:41" x14ac:dyDescent="0.4">
      <c r="X4547"/>
      <c r="AO4547"/>
    </row>
    <row r="4548" spans="24:41" x14ac:dyDescent="0.4">
      <c r="X4548"/>
      <c r="AO4548"/>
    </row>
    <row r="4549" spans="24:41" x14ac:dyDescent="0.4">
      <c r="X4549"/>
      <c r="AO4549"/>
    </row>
    <row r="4550" spans="24:41" x14ac:dyDescent="0.4">
      <c r="X4550"/>
      <c r="AO4550"/>
    </row>
    <row r="4551" spans="24:41" x14ac:dyDescent="0.4">
      <c r="X4551"/>
      <c r="AO4551"/>
    </row>
    <row r="4552" spans="24:41" x14ac:dyDescent="0.4">
      <c r="X4552"/>
      <c r="AO4552"/>
    </row>
    <row r="4553" spans="24:41" x14ac:dyDescent="0.4">
      <c r="X4553"/>
      <c r="AO4553"/>
    </row>
    <row r="4554" spans="24:41" x14ac:dyDescent="0.4">
      <c r="X4554"/>
      <c r="AO4554"/>
    </row>
    <row r="4555" spans="24:41" x14ac:dyDescent="0.4">
      <c r="X4555"/>
      <c r="AO4555"/>
    </row>
    <row r="4556" spans="24:41" x14ac:dyDescent="0.4">
      <c r="X4556"/>
      <c r="AO4556"/>
    </row>
    <row r="4557" spans="24:41" x14ac:dyDescent="0.4">
      <c r="X4557"/>
      <c r="AO4557"/>
    </row>
    <row r="4558" spans="24:41" x14ac:dyDescent="0.4">
      <c r="X4558"/>
      <c r="AO4558"/>
    </row>
    <row r="4559" spans="24:41" x14ac:dyDescent="0.4">
      <c r="X4559"/>
      <c r="AO4559"/>
    </row>
    <row r="4560" spans="24:41" x14ac:dyDescent="0.4">
      <c r="X4560"/>
      <c r="AO4560"/>
    </row>
    <row r="4561" spans="24:41" x14ac:dyDescent="0.4">
      <c r="X4561"/>
      <c r="AO4561"/>
    </row>
    <row r="4562" spans="24:41" x14ac:dyDescent="0.4">
      <c r="X4562"/>
      <c r="AO4562"/>
    </row>
    <row r="4563" spans="24:41" x14ac:dyDescent="0.4">
      <c r="X4563"/>
      <c r="AO4563"/>
    </row>
    <row r="4564" spans="24:41" x14ac:dyDescent="0.4">
      <c r="X4564"/>
      <c r="AO4564"/>
    </row>
    <row r="4565" spans="24:41" x14ac:dyDescent="0.4">
      <c r="X4565"/>
      <c r="AO4565"/>
    </row>
    <row r="4566" spans="24:41" x14ac:dyDescent="0.4">
      <c r="X4566"/>
      <c r="AO4566"/>
    </row>
    <row r="4567" spans="24:41" x14ac:dyDescent="0.4">
      <c r="X4567"/>
      <c r="AO4567"/>
    </row>
    <row r="4568" spans="24:41" x14ac:dyDescent="0.4">
      <c r="X4568"/>
      <c r="AO4568"/>
    </row>
    <row r="4569" spans="24:41" x14ac:dyDescent="0.4">
      <c r="X4569"/>
      <c r="AO4569"/>
    </row>
    <row r="4570" spans="24:41" x14ac:dyDescent="0.4">
      <c r="X4570"/>
      <c r="AO4570"/>
    </row>
    <row r="4571" spans="24:41" x14ac:dyDescent="0.4">
      <c r="X4571"/>
      <c r="AO4571"/>
    </row>
    <row r="4572" spans="24:41" x14ac:dyDescent="0.4">
      <c r="X4572"/>
      <c r="AO4572"/>
    </row>
    <row r="4573" spans="24:41" x14ac:dyDescent="0.4">
      <c r="X4573"/>
      <c r="AO4573"/>
    </row>
    <row r="4574" spans="24:41" x14ac:dyDescent="0.4">
      <c r="X4574"/>
      <c r="AO4574"/>
    </row>
    <row r="4575" spans="24:41" x14ac:dyDescent="0.4">
      <c r="X4575"/>
      <c r="AO4575"/>
    </row>
    <row r="4576" spans="24:41" x14ac:dyDescent="0.4">
      <c r="X4576"/>
      <c r="AO4576"/>
    </row>
    <row r="4577" spans="24:41" x14ac:dyDescent="0.4">
      <c r="X4577"/>
      <c r="AO4577"/>
    </row>
    <row r="4578" spans="24:41" x14ac:dyDescent="0.4">
      <c r="X4578"/>
      <c r="AO4578"/>
    </row>
    <row r="4579" spans="24:41" x14ac:dyDescent="0.4">
      <c r="X4579"/>
      <c r="AO4579"/>
    </row>
    <row r="4580" spans="24:41" x14ac:dyDescent="0.4">
      <c r="X4580"/>
      <c r="AO4580"/>
    </row>
    <row r="4581" spans="24:41" x14ac:dyDescent="0.4">
      <c r="X4581"/>
      <c r="AO4581"/>
    </row>
    <row r="4582" spans="24:41" x14ac:dyDescent="0.4">
      <c r="X4582"/>
      <c r="AO4582"/>
    </row>
    <row r="4583" spans="24:41" x14ac:dyDescent="0.4">
      <c r="X4583"/>
      <c r="AO4583"/>
    </row>
    <row r="4584" spans="24:41" x14ac:dyDescent="0.4">
      <c r="X4584"/>
      <c r="AO4584"/>
    </row>
    <row r="4585" spans="24:41" x14ac:dyDescent="0.4">
      <c r="X4585"/>
      <c r="AO4585"/>
    </row>
    <row r="4586" spans="24:41" x14ac:dyDescent="0.4">
      <c r="X4586"/>
      <c r="AO4586"/>
    </row>
    <row r="4587" spans="24:41" x14ac:dyDescent="0.4">
      <c r="X4587"/>
      <c r="AO4587"/>
    </row>
    <row r="4588" spans="24:41" x14ac:dyDescent="0.4">
      <c r="X4588"/>
      <c r="AO4588"/>
    </row>
    <row r="4589" spans="24:41" x14ac:dyDescent="0.4">
      <c r="X4589"/>
      <c r="AO4589"/>
    </row>
    <row r="4590" spans="24:41" x14ac:dyDescent="0.4">
      <c r="X4590"/>
      <c r="AO4590"/>
    </row>
    <row r="4591" spans="24:41" x14ac:dyDescent="0.4">
      <c r="X4591"/>
      <c r="AO4591"/>
    </row>
    <row r="4592" spans="24:41" x14ac:dyDescent="0.4">
      <c r="X4592"/>
      <c r="AO4592"/>
    </row>
    <row r="4593" spans="24:41" x14ac:dyDescent="0.4">
      <c r="X4593"/>
      <c r="AO4593"/>
    </row>
    <row r="4594" spans="24:41" x14ac:dyDescent="0.4">
      <c r="X4594"/>
      <c r="AO4594"/>
    </row>
    <row r="4595" spans="24:41" x14ac:dyDescent="0.4">
      <c r="X4595"/>
      <c r="AO4595"/>
    </row>
    <row r="4596" spans="24:41" x14ac:dyDescent="0.4">
      <c r="X4596"/>
      <c r="AO4596"/>
    </row>
    <row r="4597" spans="24:41" x14ac:dyDescent="0.4">
      <c r="X4597"/>
      <c r="AO4597"/>
    </row>
    <row r="4598" spans="24:41" x14ac:dyDescent="0.4">
      <c r="X4598"/>
      <c r="AO4598"/>
    </row>
    <row r="4599" spans="24:41" x14ac:dyDescent="0.4">
      <c r="X4599"/>
      <c r="AO4599"/>
    </row>
    <row r="4600" spans="24:41" x14ac:dyDescent="0.4">
      <c r="X4600"/>
      <c r="AO4600"/>
    </row>
    <row r="4601" spans="24:41" x14ac:dyDescent="0.4">
      <c r="X4601"/>
      <c r="AO4601"/>
    </row>
    <row r="4602" spans="24:41" x14ac:dyDescent="0.4">
      <c r="X4602"/>
      <c r="AO4602"/>
    </row>
    <row r="4603" spans="24:41" x14ac:dyDescent="0.4">
      <c r="X4603"/>
      <c r="AO4603"/>
    </row>
    <row r="4604" spans="24:41" x14ac:dyDescent="0.4">
      <c r="X4604"/>
      <c r="AO4604"/>
    </row>
    <row r="4605" spans="24:41" x14ac:dyDescent="0.4">
      <c r="X4605"/>
      <c r="AO4605"/>
    </row>
    <row r="4606" spans="24:41" x14ac:dyDescent="0.4">
      <c r="X4606"/>
      <c r="AO4606"/>
    </row>
    <row r="4607" spans="24:41" x14ac:dyDescent="0.4">
      <c r="X4607"/>
      <c r="AO4607"/>
    </row>
    <row r="4608" spans="24:41" x14ac:dyDescent="0.4">
      <c r="X4608"/>
      <c r="AO4608"/>
    </row>
    <row r="4609" spans="24:41" x14ac:dyDescent="0.4">
      <c r="X4609"/>
      <c r="AO4609"/>
    </row>
    <row r="4610" spans="24:41" x14ac:dyDescent="0.4">
      <c r="X4610"/>
      <c r="AO4610"/>
    </row>
    <row r="4611" spans="24:41" x14ac:dyDescent="0.4">
      <c r="X4611"/>
      <c r="AO4611"/>
    </row>
    <row r="4612" spans="24:41" x14ac:dyDescent="0.4">
      <c r="X4612"/>
      <c r="AO4612"/>
    </row>
    <row r="4613" spans="24:41" x14ac:dyDescent="0.4">
      <c r="X4613"/>
      <c r="AO4613"/>
    </row>
    <row r="4614" spans="24:41" x14ac:dyDescent="0.4">
      <c r="X4614"/>
      <c r="AO4614"/>
    </row>
    <row r="4615" spans="24:41" x14ac:dyDescent="0.4">
      <c r="X4615"/>
      <c r="AO4615"/>
    </row>
    <row r="4616" spans="24:41" x14ac:dyDescent="0.4">
      <c r="X4616"/>
      <c r="AO4616"/>
    </row>
    <row r="4617" spans="24:41" x14ac:dyDescent="0.4">
      <c r="X4617"/>
      <c r="AO4617"/>
    </row>
    <row r="4618" spans="24:41" x14ac:dyDescent="0.4">
      <c r="X4618"/>
      <c r="AO4618"/>
    </row>
    <row r="4619" spans="24:41" x14ac:dyDescent="0.4">
      <c r="X4619"/>
      <c r="AO4619"/>
    </row>
    <row r="4620" spans="24:41" x14ac:dyDescent="0.4">
      <c r="X4620"/>
      <c r="AO4620"/>
    </row>
    <row r="4621" spans="24:41" x14ac:dyDescent="0.4">
      <c r="X4621"/>
      <c r="AO4621"/>
    </row>
    <row r="4622" spans="24:41" x14ac:dyDescent="0.4">
      <c r="X4622"/>
      <c r="AO4622"/>
    </row>
    <row r="4623" spans="24:41" x14ac:dyDescent="0.4">
      <c r="X4623"/>
      <c r="AO4623"/>
    </row>
    <row r="4624" spans="24:41" x14ac:dyDescent="0.4">
      <c r="X4624"/>
      <c r="AO4624"/>
    </row>
    <row r="4625" spans="24:41" x14ac:dyDescent="0.4">
      <c r="X4625"/>
      <c r="AO4625"/>
    </row>
    <row r="4626" spans="24:41" x14ac:dyDescent="0.4">
      <c r="X4626"/>
      <c r="AO4626"/>
    </row>
    <row r="4627" spans="24:41" x14ac:dyDescent="0.4">
      <c r="X4627"/>
      <c r="AO4627"/>
    </row>
    <row r="4628" spans="24:41" x14ac:dyDescent="0.4">
      <c r="X4628"/>
      <c r="AO4628"/>
    </row>
    <row r="4629" spans="24:41" x14ac:dyDescent="0.4">
      <c r="X4629"/>
      <c r="AO4629"/>
    </row>
    <row r="4630" spans="24:41" x14ac:dyDescent="0.4">
      <c r="X4630"/>
      <c r="AO4630"/>
    </row>
    <row r="4631" spans="24:41" x14ac:dyDescent="0.4">
      <c r="X4631"/>
      <c r="AO4631"/>
    </row>
    <row r="4632" spans="24:41" x14ac:dyDescent="0.4">
      <c r="X4632"/>
      <c r="AO4632"/>
    </row>
    <row r="4633" spans="24:41" x14ac:dyDescent="0.4">
      <c r="X4633"/>
      <c r="AO4633"/>
    </row>
    <row r="4634" spans="24:41" x14ac:dyDescent="0.4">
      <c r="X4634"/>
      <c r="AO4634"/>
    </row>
    <row r="4635" spans="24:41" x14ac:dyDescent="0.4">
      <c r="X4635"/>
      <c r="AO4635"/>
    </row>
    <row r="4636" spans="24:41" x14ac:dyDescent="0.4">
      <c r="X4636"/>
      <c r="AO4636"/>
    </row>
    <row r="4637" spans="24:41" x14ac:dyDescent="0.4">
      <c r="X4637"/>
      <c r="AO4637"/>
    </row>
    <row r="4638" spans="24:41" x14ac:dyDescent="0.4">
      <c r="X4638"/>
      <c r="AO4638"/>
    </row>
    <row r="4639" spans="24:41" x14ac:dyDescent="0.4">
      <c r="X4639"/>
      <c r="AO4639"/>
    </row>
    <row r="4640" spans="24:41" x14ac:dyDescent="0.4">
      <c r="X4640"/>
      <c r="AO4640"/>
    </row>
    <row r="4641" spans="24:41" x14ac:dyDescent="0.4">
      <c r="X4641"/>
      <c r="AO4641"/>
    </row>
    <row r="4642" spans="24:41" x14ac:dyDescent="0.4">
      <c r="X4642"/>
      <c r="AO4642"/>
    </row>
    <row r="4643" spans="24:41" x14ac:dyDescent="0.4">
      <c r="X4643"/>
      <c r="AO4643"/>
    </row>
    <row r="4644" spans="24:41" x14ac:dyDescent="0.4">
      <c r="X4644"/>
      <c r="AO4644"/>
    </row>
    <row r="4645" spans="24:41" x14ac:dyDescent="0.4">
      <c r="X4645"/>
      <c r="AO4645"/>
    </row>
    <row r="4646" spans="24:41" x14ac:dyDescent="0.4">
      <c r="X4646"/>
      <c r="AO4646"/>
    </row>
    <row r="4647" spans="24:41" x14ac:dyDescent="0.4">
      <c r="X4647"/>
      <c r="AO4647"/>
    </row>
    <row r="4648" spans="24:41" x14ac:dyDescent="0.4">
      <c r="X4648"/>
      <c r="AO4648"/>
    </row>
    <row r="4649" spans="24:41" x14ac:dyDescent="0.4">
      <c r="X4649"/>
      <c r="AO4649"/>
    </row>
    <row r="4650" spans="24:41" x14ac:dyDescent="0.4">
      <c r="X4650"/>
      <c r="AO4650"/>
    </row>
    <row r="4651" spans="24:41" x14ac:dyDescent="0.4">
      <c r="X4651"/>
      <c r="AO4651"/>
    </row>
    <row r="4652" spans="24:41" x14ac:dyDescent="0.4">
      <c r="X4652"/>
      <c r="AO4652"/>
    </row>
    <row r="4653" spans="24:41" x14ac:dyDescent="0.4">
      <c r="X4653"/>
      <c r="AO4653"/>
    </row>
    <row r="4654" spans="24:41" x14ac:dyDescent="0.4">
      <c r="X4654"/>
      <c r="AO4654"/>
    </row>
    <row r="4655" spans="24:41" x14ac:dyDescent="0.4">
      <c r="X4655"/>
      <c r="AO4655"/>
    </row>
    <row r="4656" spans="24:41" x14ac:dyDescent="0.4">
      <c r="X4656"/>
      <c r="AO4656"/>
    </row>
    <row r="4657" spans="24:41" x14ac:dyDescent="0.4">
      <c r="X4657"/>
      <c r="AO4657"/>
    </row>
    <row r="4658" spans="24:41" x14ac:dyDescent="0.4">
      <c r="X4658"/>
      <c r="AO4658"/>
    </row>
    <row r="4659" spans="24:41" x14ac:dyDescent="0.4">
      <c r="X4659"/>
      <c r="AO4659"/>
    </row>
    <row r="4660" spans="24:41" x14ac:dyDescent="0.4">
      <c r="X4660"/>
      <c r="AO4660"/>
    </row>
    <row r="4661" spans="24:41" x14ac:dyDescent="0.4">
      <c r="X4661"/>
      <c r="AO4661"/>
    </row>
    <row r="4662" spans="24:41" x14ac:dyDescent="0.4">
      <c r="X4662"/>
      <c r="AO4662"/>
    </row>
    <row r="4663" spans="24:41" x14ac:dyDescent="0.4">
      <c r="X4663"/>
      <c r="AO4663"/>
    </row>
    <row r="4664" spans="24:41" x14ac:dyDescent="0.4">
      <c r="X4664"/>
      <c r="AO4664"/>
    </row>
    <row r="4665" spans="24:41" x14ac:dyDescent="0.4">
      <c r="X4665"/>
      <c r="AO4665"/>
    </row>
    <row r="4666" spans="24:41" x14ac:dyDescent="0.4">
      <c r="X4666"/>
      <c r="AO4666"/>
    </row>
    <row r="4667" spans="24:41" x14ac:dyDescent="0.4">
      <c r="X4667"/>
      <c r="AO4667"/>
    </row>
    <row r="4668" spans="24:41" x14ac:dyDescent="0.4">
      <c r="X4668"/>
      <c r="AO4668"/>
    </row>
    <row r="4669" spans="24:41" x14ac:dyDescent="0.4">
      <c r="X4669"/>
      <c r="AO4669"/>
    </row>
    <row r="4670" spans="24:41" x14ac:dyDescent="0.4">
      <c r="X4670"/>
      <c r="AO4670"/>
    </row>
    <row r="4671" spans="24:41" x14ac:dyDescent="0.4">
      <c r="X4671"/>
      <c r="AO4671"/>
    </row>
    <row r="4672" spans="24:41" x14ac:dyDescent="0.4">
      <c r="X4672"/>
      <c r="AO4672"/>
    </row>
    <row r="4673" spans="24:41" x14ac:dyDescent="0.4">
      <c r="X4673"/>
      <c r="AO4673"/>
    </row>
    <row r="4674" spans="24:41" x14ac:dyDescent="0.4">
      <c r="X4674"/>
      <c r="AO4674"/>
    </row>
    <row r="4675" spans="24:41" x14ac:dyDescent="0.4">
      <c r="X4675"/>
      <c r="AO4675"/>
    </row>
    <row r="4676" spans="24:41" x14ac:dyDescent="0.4">
      <c r="X4676"/>
      <c r="AO4676"/>
    </row>
    <row r="4677" spans="24:41" x14ac:dyDescent="0.4">
      <c r="X4677"/>
      <c r="AO4677"/>
    </row>
    <row r="4678" spans="24:41" x14ac:dyDescent="0.4">
      <c r="X4678"/>
      <c r="AO4678"/>
    </row>
    <row r="4679" spans="24:41" x14ac:dyDescent="0.4">
      <c r="X4679"/>
      <c r="AO4679"/>
    </row>
    <row r="4680" spans="24:41" x14ac:dyDescent="0.4">
      <c r="X4680"/>
      <c r="AO4680"/>
    </row>
    <row r="4681" spans="24:41" x14ac:dyDescent="0.4">
      <c r="X4681"/>
      <c r="AO4681"/>
    </row>
    <row r="4682" spans="24:41" x14ac:dyDescent="0.4">
      <c r="X4682"/>
      <c r="AO4682"/>
    </row>
    <row r="4683" spans="24:41" x14ac:dyDescent="0.4">
      <c r="X4683"/>
      <c r="AO4683"/>
    </row>
    <row r="4684" spans="24:41" x14ac:dyDescent="0.4">
      <c r="X4684"/>
      <c r="AO4684"/>
    </row>
    <row r="4685" spans="24:41" x14ac:dyDescent="0.4">
      <c r="X4685"/>
      <c r="AO4685"/>
    </row>
    <row r="4686" spans="24:41" x14ac:dyDescent="0.4">
      <c r="X4686"/>
      <c r="AO4686"/>
    </row>
    <row r="4687" spans="24:41" x14ac:dyDescent="0.4">
      <c r="X4687"/>
      <c r="AO4687"/>
    </row>
    <row r="4688" spans="24:41" x14ac:dyDescent="0.4">
      <c r="X4688"/>
      <c r="AO4688"/>
    </row>
    <row r="4689" spans="24:41" x14ac:dyDescent="0.4">
      <c r="X4689"/>
      <c r="AO4689"/>
    </row>
    <row r="4690" spans="24:41" x14ac:dyDescent="0.4">
      <c r="X4690"/>
      <c r="AO4690"/>
    </row>
    <row r="4691" spans="24:41" x14ac:dyDescent="0.4">
      <c r="X4691"/>
      <c r="AO4691"/>
    </row>
    <row r="4692" spans="24:41" x14ac:dyDescent="0.4">
      <c r="X4692"/>
      <c r="AO4692"/>
    </row>
    <row r="4693" spans="24:41" x14ac:dyDescent="0.4">
      <c r="X4693"/>
      <c r="AO4693"/>
    </row>
    <row r="4694" spans="24:41" x14ac:dyDescent="0.4">
      <c r="X4694"/>
      <c r="AO4694"/>
    </row>
    <row r="4695" spans="24:41" x14ac:dyDescent="0.4">
      <c r="X4695"/>
      <c r="AO4695"/>
    </row>
    <row r="4696" spans="24:41" x14ac:dyDescent="0.4">
      <c r="X4696"/>
      <c r="AO4696"/>
    </row>
    <row r="4697" spans="24:41" x14ac:dyDescent="0.4">
      <c r="X4697"/>
      <c r="AO4697"/>
    </row>
    <row r="4698" spans="24:41" x14ac:dyDescent="0.4">
      <c r="X4698"/>
      <c r="AO4698"/>
    </row>
    <row r="4699" spans="24:41" x14ac:dyDescent="0.4">
      <c r="X4699"/>
      <c r="AO4699"/>
    </row>
    <row r="4700" spans="24:41" x14ac:dyDescent="0.4">
      <c r="X4700"/>
      <c r="AO4700"/>
    </row>
    <row r="4701" spans="24:41" x14ac:dyDescent="0.4">
      <c r="X4701"/>
      <c r="AO4701"/>
    </row>
    <row r="4702" spans="24:41" x14ac:dyDescent="0.4">
      <c r="X4702"/>
      <c r="AO4702"/>
    </row>
    <row r="4703" spans="24:41" x14ac:dyDescent="0.4">
      <c r="X4703"/>
      <c r="AO4703"/>
    </row>
    <row r="4704" spans="24:41" x14ac:dyDescent="0.4">
      <c r="X4704"/>
      <c r="AO4704"/>
    </row>
    <row r="4705" spans="24:41" x14ac:dyDescent="0.4">
      <c r="X4705"/>
      <c r="AO4705"/>
    </row>
    <row r="4706" spans="24:41" x14ac:dyDescent="0.4">
      <c r="X4706"/>
      <c r="AO4706"/>
    </row>
    <row r="4707" spans="24:41" x14ac:dyDescent="0.4">
      <c r="X4707"/>
      <c r="AO4707"/>
    </row>
    <row r="4708" spans="24:41" x14ac:dyDescent="0.4">
      <c r="X4708"/>
      <c r="AO4708"/>
    </row>
    <row r="4709" spans="24:41" x14ac:dyDescent="0.4">
      <c r="X4709"/>
      <c r="AO4709"/>
    </row>
    <row r="4710" spans="24:41" x14ac:dyDescent="0.4">
      <c r="X4710"/>
      <c r="AO4710"/>
    </row>
    <row r="4711" spans="24:41" x14ac:dyDescent="0.4">
      <c r="X4711"/>
      <c r="AO4711"/>
    </row>
    <row r="4712" spans="24:41" x14ac:dyDescent="0.4">
      <c r="X4712"/>
      <c r="AO4712"/>
    </row>
    <row r="4713" spans="24:41" x14ac:dyDescent="0.4">
      <c r="X4713"/>
      <c r="AO4713"/>
    </row>
    <row r="4714" spans="24:41" x14ac:dyDescent="0.4">
      <c r="X4714"/>
      <c r="AO4714"/>
    </row>
    <row r="4715" spans="24:41" x14ac:dyDescent="0.4">
      <c r="X4715"/>
      <c r="AO4715"/>
    </row>
    <row r="4716" spans="24:41" x14ac:dyDescent="0.4">
      <c r="X4716"/>
      <c r="AO4716"/>
    </row>
    <row r="4717" spans="24:41" x14ac:dyDescent="0.4">
      <c r="X4717"/>
      <c r="AO4717"/>
    </row>
    <row r="4718" spans="24:41" x14ac:dyDescent="0.4">
      <c r="X4718"/>
      <c r="AO4718"/>
    </row>
    <row r="4719" spans="24:41" x14ac:dyDescent="0.4">
      <c r="X4719"/>
      <c r="AO4719"/>
    </row>
    <row r="4720" spans="24:41" x14ac:dyDescent="0.4">
      <c r="X4720"/>
      <c r="AO4720"/>
    </row>
    <row r="4721" spans="24:41" x14ac:dyDescent="0.4">
      <c r="X4721"/>
      <c r="AO4721"/>
    </row>
    <row r="4722" spans="24:41" x14ac:dyDescent="0.4">
      <c r="X4722"/>
      <c r="AO4722"/>
    </row>
    <row r="4723" spans="24:41" x14ac:dyDescent="0.4">
      <c r="X4723"/>
      <c r="AO4723"/>
    </row>
    <row r="4724" spans="24:41" x14ac:dyDescent="0.4">
      <c r="X4724"/>
      <c r="AO4724"/>
    </row>
    <row r="4725" spans="24:41" x14ac:dyDescent="0.4">
      <c r="X4725"/>
      <c r="AO4725"/>
    </row>
    <row r="4726" spans="24:41" x14ac:dyDescent="0.4">
      <c r="X4726"/>
      <c r="AO4726"/>
    </row>
    <row r="4727" spans="24:41" x14ac:dyDescent="0.4">
      <c r="X4727"/>
      <c r="AO4727"/>
    </row>
    <row r="4728" spans="24:41" x14ac:dyDescent="0.4">
      <c r="X4728"/>
      <c r="AO4728"/>
    </row>
    <row r="4729" spans="24:41" x14ac:dyDescent="0.4">
      <c r="X4729"/>
      <c r="AO4729"/>
    </row>
    <row r="4730" spans="24:41" x14ac:dyDescent="0.4">
      <c r="X4730"/>
      <c r="AO4730"/>
    </row>
    <row r="4731" spans="24:41" x14ac:dyDescent="0.4">
      <c r="X4731"/>
      <c r="AO4731"/>
    </row>
    <row r="4732" spans="24:41" x14ac:dyDescent="0.4">
      <c r="X4732"/>
      <c r="AO4732"/>
    </row>
    <row r="4733" spans="24:41" x14ac:dyDescent="0.4">
      <c r="X4733"/>
      <c r="AO4733"/>
    </row>
    <row r="4734" spans="24:41" x14ac:dyDescent="0.4">
      <c r="X4734"/>
      <c r="AO4734"/>
    </row>
    <row r="4735" spans="24:41" x14ac:dyDescent="0.4">
      <c r="X4735"/>
      <c r="AO4735"/>
    </row>
    <row r="4736" spans="24:41" x14ac:dyDescent="0.4">
      <c r="X4736"/>
      <c r="AO4736"/>
    </row>
    <row r="4737" spans="24:41" x14ac:dyDescent="0.4">
      <c r="X4737"/>
      <c r="AO4737"/>
    </row>
    <row r="4738" spans="24:41" x14ac:dyDescent="0.4">
      <c r="X4738"/>
      <c r="AO4738"/>
    </row>
    <row r="4739" spans="24:41" x14ac:dyDescent="0.4">
      <c r="X4739"/>
      <c r="AO4739"/>
    </row>
    <row r="4740" spans="24:41" x14ac:dyDescent="0.4">
      <c r="X4740"/>
      <c r="AO4740"/>
    </row>
    <row r="4741" spans="24:41" x14ac:dyDescent="0.4">
      <c r="X4741"/>
      <c r="AO4741"/>
    </row>
    <row r="4742" spans="24:41" x14ac:dyDescent="0.4">
      <c r="X4742"/>
      <c r="AO4742"/>
    </row>
    <row r="4743" spans="24:41" x14ac:dyDescent="0.4">
      <c r="X4743"/>
      <c r="AO4743"/>
    </row>
    <row r="4744" spans="24:41" x14ac:dyDescent="0.4">
      <c r="X4744"/>
      <c r="AO4744"/>
    </row>
    <row r="4745" spans="24:41" x14ac:dyDescent="0.4">
      <c r="X4745"/>
      <c r="AO4745"/>
    </row>
    <row r="4746" spans="24:41" x14ac:dyDescent="0.4">
      <c r="X4746"/>
      <c r="AO4746"/>
    </row>
    <row r="4747" spans="24:41" x14ac:dyDescent="0.4">
      <c r="X4747"/>
      <c r="AO4747"/>
    </row>
    <row r="4748" spans="24:41" x14ac:dyDescent="0.4">
      <c r="X4748"/>
      <c r="AO4748"/>
    </row>
    <row r="4749" spans="24:41" x14ac:dyDescent="0.4">
      <c r="X4749"/>
      <c r="AO4749"/>
    </row>
    <row r="4750" spans="24:41" x14ac:dyDescent="0.4">
      <c r="X4750"/>
      <c r="AO4750"/>
    </row>
    <row r="4751" spans="24:41" x14ac:dyDescent="0.4">
      <c r="X4751"/>
      <c r="AO4751"/>
    </row>
    <row r="4752" spans="24:41" x14ac:dyDescent="0.4">
      <c r="X4752"/>
      <c r="AO4752"/>
    </row>
    <row r="4753" spans="24:41" x14ac:dyDescent="0.4">
      <c r="X4753"/>
      <c r="AO4753"/>
    </row>
    <row r="4754" spans="24:41" x14ac:dyDescent="0.4">
      <c r="X4754"/>
      <c r="AO4754"/>
    </row>
    <row r="4755" spans="24:41" x14ac:dyDescent="0.4">
      <c r="X4755"/>
      <c r="AO4755"/>
    </row>
    <row r="4756" spans="24:41" x14ac:dyDescent="0.4">
      <c r="X4756"/>
      <c r="AO4756"/>
    </row>
    <row r="4757" spans="24:41" x14ac:dyDescent="0.4">
      <c r="X4757"/>
      <c r="AO4757"/>
    </row>
    <row r="4758" spans="24:41" x14ac:dyDescent="0.4">
      <c r="X4758"/>
      <c r="AO4758"/>
    </row>
    <row r="4759" spans="24:41" x14ac:dyDescent="0.4">
      <c r="X4759"/>
      <c r="AO4759"/>
    </row>
    <row r="4760" spans="24:41" x14ac:dyDescent="0.4">
      <c r="X4760"/>
      <c r="AO4760"/>
    </row>
    <row r="4761" spans="24:41" x14ac:dyDescent="0.4">
      <c r="X4761"/>
      <c r="AO4761"/>
    </row>
    <row r="4762" spans="24:41" x14ac:dyDescent="0.4">
      <c r="X4762"/>
      <c r="AO4762"/>
    </row>
    <row r="4763" spans="24:41" x14ac:dyDescent="0.4">
      <c r="X4763"/>
      <c r="AO4763"/>
    </row>
    <row r="4764" spans="24:41" x14ac:dyDescent="0.4">
      <c r="X4764"/>
      <c r="AO4764"/>
    </row>
    <row r="4765" spans="24:41" x14ac:dyDescent="0.4">
      <c r="X4765"/>
      <c r="AO4765"/>
    </row>
    <row r="4766" spans="24:41" x14ac:dyDescent="0.4">
      <c r="X4766"/>
      <c r="AO4766"/>
    </row>
    <row r="4767" spans="24:41" x14ac:dyDescent="0.4">
      <c r="X4767"/>
      <c r="AO4767"/>
    </row>
    <row r="4768" spans="24:41" x14ac:dyDescent="0.4">
      <c r="X4768"/>
      <c r="AO4768"/>
    </row>
    <row r="4769" spans="24:41" x14ac:dyDescent="0.4">
      <c r="X4769"/>
      <c r="AO4769"/>
    </row>
    <row r="4770" spans="24:41" x14ac:dyDescent="0.4">
      <c r="X4770"/>
      <c r="AO4770"/>
    </row>
    <row r="4771" spans="24:41" x14ac:dyDescent="0.4">
      <c r="X4771"/>
      <c r="AO4771"/>
    </row>
    <row r="4772" spans="24:41" x14ac:dyDescent="0.4">
      <c r="X4772"/>
      <c r="AO4772"/>
    </row>
    <row r="4773" spans="24:41" x14ac:dyDescent="0.4">
      <c r="X4773"/>
      <c r="AO4773"/>
    </row>
    <row r="4774" spans="24:41" x14ac:dyDescent="0.4">
      <c r="X4774"/>
      <c r="AO4774"/>
    </row>
    <row r="4775" spans="24:41" x14ac:dyDescent="0.4">
      <c r="X4775"/>
      <c r="AO4775"/>
    </row>
    <row r="4776" spans="24:41" x14ac:dyDescent="0.4">
      <c r="X4776"/>
      <c r="AO4776"/>
    </row>
    <row r="4777" spans="24:41" x14ac:dyDescent="0.4">
      <c r="X4777"/>
      <c r="AO4777"/>
    </row>
    <row r="4778" spans="24:41" x14ac:dyDescent="0.4">
      <c r="X4778"/>
      <c r="AO4778"/>
    </row>
    <row r="4779" spans="24:41" x14ac:dyDescent="0.4">
      <c r="X4779"/>
      <c r="AO4779"/>
    </row>
    <row r="4780" spans="24:41" x14ac:dyDescent="0.4">
      <c r="X4780"/>
      <c r="AO4780"/>
    </row>
    <row r="4781" spans="24:41" x14ac:dyDescent="0.4">
      <c r="X4781"/>
      <c r="AO4781"/>
    </row>
    <row r="4782" spans="24:41" x14ac:dyDescent="0.4">
      <c r="X4782"/>
      <c r="AO4782"/>
    </row>
    <row r="4783" spans="24:41" x14ac:dyDescent="0.4">
      <c r="X4783"/>
      <c r="AO4783"/>
    </row>
    <row r="4784" spans="24:41" x14ac:dyDescent="0.4">
      <c r="X4784"/>
      <c r="AO4784"/>
    </row>
    <row r="4785" spans="24:41" x14ac:dyDescent="0.4">
      <c r="X4785"/>
      <c r="AO4785"/>
    </row>
    <row r="4786" spans="24:41" x14ac:dyDescent="0.4">
      <c r="X4786"/>
      <c r="AO4786"/>
    </row>
    <row r="4787" spans="24:41" x14ac:dyDescent="0.4">
      <c r="X4787"/>
      <c r="AO4787"/>
    </row>
    <row r="4788" spans="24:41" x14ac:dyDescent="0.4">
      <c r="X4788"/>
      <c r="AO4788"/>
    </row>
    <row r="4789" spans="24:41" x14ac:dyDescent="0.4">
      <c r="X4789"/>
      <c r="AO4789"/>
    </row>
    <row r="4790" spans="24:41" x14ac:dyDescent="0.4">
      <c r="X4790"/>
      <c r="AO4790"/>
    </row>
    <row r="4791" spans="24:41" x14ac:dyDescent="0.4">
      <c r="X4791"/>
      <c r="AO4791"/>
    </row>
    <row r="4792" spans="24:41" x14ac:dyDescent="0.4">
      <c r="X4792"/>
      <c r="AO4792"/>
    </row>
    <row r="4793" spans="24:41" x14ac:dyDescent="0.4">
      <c r="X4793"/>
      <c r="AO4793"/>
    </row>
    <row r="4794" spans="24:41" x14ac:dyDescent="0.4">
      <c r="X4794"/>
      <c r="AO4794"/>
    </row>
    <row r="4795" spans="24:41" x14ac:dyDescent="0.4">
      <c r="X4795"/>
      <c r="AO4795"/>
    </row>
    <row r="4796" spans="24:41" x14ac:dyDescent="0.4">
      <c r="X4796"/>
      <c r="AO4796"/>
    </row>
    <row r="4797" spans="24:41" x14ac:dyDescent="0.4">
      <c r="X4797"/>
      <c r="AO4797"/>
    </row>
    <row r="4798" spans="24:41" x14ac:dyDescent="0.4">
      <c r="X4798"/>
      <c r="AO4798"/>
    </row>
    <row r="4799" spans="24:41" x14ac:dyDescent="0.4">
      <c r="X4799"/>
      <c r="AO4799"/>
    </row>
    <row r="4800" spans="24:41" x14ac:dyDescent="0.4">
      <c r="X4800"/>
      <c r="AO4800"/>
    </row>
    <row r="4801" spans="24:41" x14ac:dyDescent="0.4">
      <c r="X4801"/>
      <c r="AO4801"/>
    </row>
    <row r="4802" spans="24:41" x14ac:dyDescent="0.4">
      <c r="X4802"/>
      <c r="AO4802"/>
    </row>
    <row r="4803" spans="24:41" x14ac:dyDescent="0.4">
      <c r="X4803"/>
      <c r="AO4803"/>
    </row>
    <row r="4804" spans="24:41" x14ac:dyDescent="0.4">
      <c r="X4804"/>
      <c r="AO4804"/>
    </row>
    <row r="4805" spans="24:41" x14ac:dyDescent="0.4">
      <c r="X4805"/>
      <c r="AO4805"/>
    </row>
    <row r="4806" spans="24:41" x14ac:dyDescent="0.4">
      <c r="X4806"/>
      <c r="AO4806"/>
    </row>
    <row r="4807" spans="24:41" x14ac:dyDescent="0.4">
      <c r="X4807"/>
      <c r="AO4807"/>
    </row>
    <row r="4808" spans="24:41" x14ac:dyDescent="0.4">
      <c r="X4808"/>
      <c r="AO4808"/>
    </row>
    <row r="4809" spans="24:41" x14ac:dyDescent="0.4">
      <c r="X4809"/>
      <c r="AO4809"/>
    </row>
    <row r="4810" spans="24:41" x14ac:dyDescent="0.4">
      <c r="X4810"/>
      <c r="AO4810"/>
    </row>
    <row r="4811" spans="24:41" x14ac:dyDescent="0.4">
      <c r="X4811"/>
      <c r="AO4811"/>
    </row>
    <row r="4812" spans="24:41" x14ac:dyDescent="0.4">
      <c r="X4812"/>
      <c r="AO4812"/>
    </row>
    <row r="4813" spans="24:41" x14ac:dyDescent="0.4">
      <c r="X4813"/>
      <c r="AO4813"/>
    </row>
    <row r="4814" spans="24:41" x14ac:dyDescent="0.4">
      <c r="X4814"/>
      <c r="AO4814"/>
    </row>
    <row r="4815" spans="24:41" x14ac:dyDescent="0.4">
      <c r="X4815"/>
      <c r="AO4815"/>
    </row>
    <row r="4816" spans="24:41" x14ac:dyDescent="0.4">
      <c r="X4816"/>
      <c r="AO4816"/>
    </row>
    <row r="4817" spans="24:41" x14ac:dyDescent="0.4">
      <c r="X4817"/>
      <c r="AO4817"/>
    </row>
    <row r="4818" spans="24:41" x14ac:dyDescent="0.4">
      <c r="X4818"/>
      <c r="AO4818"/>
    </row>
    <row r="4819" spans="24:41" x14ac:dyDescent="0.4">
      <c r="X4819"/>
      <c r="AO4819"/>
    </row>
    <row r="4820" spans="24:41" x14ac:dyDescent="0.4">
      <c r="X4820"/>
      <c r="AO4820"/>
    </row>
    <row r="4821" spans="24:41" x14ac:dyDescent="0.4">
      <c r="X4821"/>
      <c r="AO4821"/>
    </row>
    <row r="4822" spans="24:41" x14ac:dyDescent="0.4">
      <c r="X4822"/>
      <c r="AO4822"/>
    </row>
    <row r="4823" spans="24:41" x14ac:dyDescent="0.4">
      <c r="X4823"/>
      <c r="AO4823"/>
    </row>
    <row r="4824" spans="24:41" x14ac:dyDescent="0.4">
      <c r="X4824"/>
      <c r="AO4824"/>
    </row>
    <row r="4825" spans="24:41" x14ac:dyDescent="0.4">
      <c r="X4825"/>
      <c r="AO4825"/>
    </row>
    <row r="4826" spans="24:41" x14ac:dyDescent="0.4">
      <c r="X4826"/>
      <c r="AO4826"/>
    </row>
    <row r="4827" spans="24:41" x14ac:dyDescent="0.4">
      <c r="X4827"/>
      <c r="AO4827"/>
    </row>
    <row r="4828" spans="24:41" x14ac:dyDescent="0.4">
      <c r="X4828"/>
      <c r="AO4828"/>
    </row>
    <row r="4829" spans="24:41" x14ac:dyDescent="0.4">
      <c r="X4829"/>
      <c r="AO4829"/>
    </row>
    <row r="4830" spans="24:41" x14ac:dyDescent="0.4">
      <c r="X4830"/>
      <c r="AO4830"/>
    </row>
    <row r="4831" spans="24:41" x14ac:dyDescent="0.4">
      <c r="X4831"/>
      <c r="AO4831"/>
    </row>
    <row r="4832" spans="24:41" x14ac:dyDescent="0.4">
      <c r="X4832"/>
      <c r="AO4832"/>
    </row>
    <row r="4833" spans="24:41" x14ac:dyDescent="0.4">
      <c r="X4833"/>
      <c r="AO4833"/>
    </row>
    <row r="4834" spans="24:41" x14ac:dyDescent="0.4">
      <c r="X4834"/>
      <c r="AO4834"/>
    </row>
    <row r="4835" spans="24:41" x14ac:dyDescent="0.4">
      <c r="X4835"/>
      <c r="AO4835"/>
    </row>
    <row r="4836" spans="24:41" x14ac:dyDescent="0.4">
      <c r="X4836"/>
      <c r="AO4836"/>
    </row>
    <row r="4837" spans="24:41" x14ac:dyDescent="0.4">
      <c r="X4837"/>
      <c r="AO4837"/>
    </row>
    <row r="4838" spans="24:41" x14ac:dyDescent="0.4">
      <c r="X4838"/>
      <c r="AO4838"/>
    </row>
    <row r="4839" spans="24:41" x14ac:dyDescent="0.4">
      <c r="X4839"/>
      <c r="AO4839"/>
    </row>
    <row r="4840" spans="24:41" x14ac:dyDescent="0.4">
      <c r="X4840"/>
      <c r="AO4840"/>
    </row>
    <row r="4841" spans="24:41" x14ac:dyDescent="0.4">
      <c r="X4841"/>
      <c r="AO4841"/>
    </row>
    <row r="4842" spans="24:41" x14ac:dyDescent="0.4">
      <c r="X4842"/>
      <c r="AO4842"/>
    </row>
    <row r="4843" spans="24:41" x14ac:dyDescent="0.4">
      <c r="X4843"/>
      <c r="AO4843"/>
    </row>
    <row r="4844" spans="24:41" x14ac:dyDescent="0.4">
      <c r="X4844"/>
      <c r="AO4844"/>
    </row>
    <row r="4845" spans="24:41" x14ac:dyDescent="0.4">
      <c r="X4845"/>
      <c r="AO4845"/>
    </row>
    <row r="4846" spans="24:41" x14ac:dyDescent="0.4">
      <c r="X4846"/>
      <c r="AO4846"/>
    </row>
    <row r="4847" spans="24:41" x14ac:dyDescent="0.4">
      <c r="X4847"/>
      <c r="AO4847"/>
    </row>
    <row r="4848" spans="24:41" x14ac:dyDescent="0.4">
      <c r="X4848"/>
      <c r="AO4848"/>
    </row>
    <row r="4849" spans="24:41" x14ac:dyDescent="0.4">
      <c r="X4849"/>
      <c r="AO4849"/>
    </row>
    <row r="4850" spans="24:41" x14ac:dyDescent="0.4">
      <c r="X4850"/>
      <c r="AO4850"/>
    </row>
    <row r="4851" spans="24:41" x14ac:dyDescent="0.4">
      <c r="X4851"/>
      <c r="AO4851"/>
    </row>
    <row r="4852" spans="24:41" x14ac:dyDescent="0.4">
      <c r="X4852"/>
      <c r="AO4852"/>
    </row>
    <row r="4853" spans="24:41" x14ac:dyDescent="0.4">
      <c r="X4853"/>
      <c r="AO4853"/>
    </row>
    <row r="4854" spans="24:41" x14ac:dyDescent="0.4">
      <c r="X4854"/>
      <c r="AO4854"/>
    </row>
    <row r="4855" spans="24:41" x14ac:dyDescent="0.4">
      <c r="X4855"/>
      <c r="AO4855"/>
    </row>
    <row r="4856" spans="24:41" x14ac:dyDescent="0.4">
      <c r="X4856"/>
      <c r="AO4856"/>
    </row>
    <row r="4857" spans="24:41" x14ac:dyDescent="0.4">
      <c r="X4857"/>
      <c r="AO4857"/>
    </row>
    <row r="4858" spans="24:41" x14ac:dyDescent="0.4">
      <c r="X4858"/>
      <c r="AO4858"/>
    </row>
    <row r="4859" spans="24:41" x14ac:dyDescent="0.4">
      <c r="X4859"/>
      <c r="AO4859"/>
    </row>
    <row r="4860" spans="24:41" x14ac:dyDescent="0.4">
      <c r="X4860"/>
      <c r="AO4860"/>
    </row>
    <row r="4861" spans="24:41" x14ac:dyDescent="0.4">
      <c r="X4861"/>
      <c r="AO4861"/>
    </row>
    <row r="4862" spans="24:41" x14ac:dyDescent="0.4">
      <c r="X4862"/>
      <c r="AO4862"/>
    </row>
    <row r="4863" spans="24:41" x14ac:dyDescent="0.4">
      <c r="X4863"/>
      <c r="AO4863"/>
    </row>
    <row r="4864" spans="24:41" x14ac:dyDescent="0.4">
      <c r="X4864"/>
      <c r="AO4864"/>
    </row>
    <row r="4865" spans="24:41" x14ac:dyDescent="0.4">
      <c r="X4865"/>
      <c r="AO4865"/>
    </row>
    <row r="4866" spans="24:41" x14ac:dyDescent="0.4">
      <c r="X4866"/>
      <c r="AO4866"/>
    </row>
    <row r="4867" spans="24:41" x14ac:dyDescent="0.4">
      <c r="X4867"/>
      <c r="AO4867"/>
    </row>
    <row r="4868" spans="24:41" x14ac:dyDescent="0.4">
      <c r="X4868"/>
      <c r="AO4868"/>
    </row>
    <row r="4869" spans="24:41" x14ac:dyDescent="0.4">
      <c r="X4869"/>
      <c r="AO4869"/>
    </row>
    <row r="4870" spans="24:41" x14ac:dyDescent="0.4">
      <c r="X4870"/>
      <c r="AO4870"/>
    </row>
    <row r="4871" spans="24:41" x14ac:dyDescent="0.4">
      <c r="X4871"/>
      <c r="AO4871"/>
    </row>
    <row r="4872" spans="24:41" x14ac:dyDescent="0.4">
      <c r="X4872"/>
      <c r="AO4872"/>
    </row>
    <row r="4873" spans="24:41" x14ac:dyDescent="0.4">
      <c r="X4873"/>
      <c r="AO4873"/>
    </row>
    <row r="4874" spans="24:41" x14ac:dyDescent="0.4">
      <c r="X4874"/>
      <c r="AO4874"/>
    </row>
    <row r="4875" spans="24:41" x14ac:dyDescent="0.4">
      <c r="X4875"/>
      <c r="AO4875"/>
    </row>
    <row r="4876" spans="24:41" x14ac:dyDescent="0.4">
      <c r="X4876"/>
      <c r="AO4876"/>
    </row>
    <row r="4877" spans="24:41" x14ac:dyDescent="0.4">
      <c r="X4877"/>
      <c r="AO4877"/>
    </row>
    <row r="4878" spans="24:41" x14ac:dyDescent="0.4">
      <c r="X4878"/>
      <c r="AO4878"/>
    </row>
    <row r="4879" spans="24:41" x14ac:dyDescent="0.4">
      <c r="X4879"/>
      <c r="AO4879"/>
    </row>
    <row r="4880" spans="24:41" x14ac:dyDescent="0.4">
      <c r="X4880"/>
      <c r="AO4880"/>
    </row>
    <row r="4881" spans="24:41" x14ac:dyDescent="0.4">
      <c r="X4881"/>
      <c r="AO4881"/>
    </row>
    <row r="4882" spans="24:41" x14ac:dyDescent="0.4">
      <c r="X4882"/>
      <c r="AO4882"/>
    </row>
    <row r="4883" spans="24:41" x14ac:dyDescent="0.4">
      <c r="X4883"/>
      <c r="AO4883"/>
    </row>
    <row r="4884" spans="24:41" x14ac:dyDescent="0.4">
      <c r="X4884"/>
      <c r="AO4884"/>
    </row>
    <row r="4885" spans="24:41" x14ac:dyDescent="0.4">
      <c r="X4885"/>
      <c r="AO4885"/>
    </row>
    <row r="4886" spans="24:41" x14ac:dyDescent="0.4">
      <c r="X4886"/>
      <c r="AO4886"/>
    </row>
    <row r="4887" spans="24:41" x14ac:dyDescent="0.4">
      <c r="X4887"/>
      <c r="AO4887"/>
    </row>
    <row r="4888" spans="24:41" x14ac:dyDescent="0.4">
      <c r="X4888"/>
      <c r="AO4888"/>
    </row>
    <row r="4889" spans="24:41" x14ac:dyDescent="0.4">
      <c r="X4889"/>
      <c r="AO4889"/>
    </row>
    <row r="4890" spans="24:41" x14ac:dyDescent="0.4">
      <c r="X4890"/>
      <c r="AO4890"/>
    </row>
    <row r="4891" spans="24:41" x14ac:dyDescent="0.4">
      <c r="X4891"/>
      <c r="AO4891"/>
    </row>
    <row r="4892" spans="24:41" x14ac:dyDescent="0.4">
      <c r="X4892"/>
      <c r="AO4892"/>
    </row>
    <row r="4893" spans="24:41" x14ac:dyDescent="0.4">
      <c r="X4893"/>
      <c r="AO4893"/>
    </row>
    <row r="4894" spans="24:41" x14ac:dyDescent="0.4">
      <c r="X4894"/>
      <c r="AO4894"/>
    </row>
    <row r="4895" spans="24:41" x14ac:dyDescent="0.4">
      <c r="X4895"/>
      <c r="AO4895"/>
    </row>
    <row r="4896" spans="24:41" x14ac:dyDescent="0.4">
      <c r="X4896"/>
      <c r="AO4896"/>
    </row>
    <row r="4897" spans="24:41" x14ac:dyDescent="0.4">
      <c r="X4897"/>
      <c r="AO4897"/>
    </row>
    <row r="4898" spans="24:41" x14ac:dyDescent="0.4">
      <c r="X4898"/>
      <c r="AO4898"/>
    </row>
    <row r="4899" spans="24:41" x14ac:dyDescent="0.4">
      <c r="X4899"/>
      <c r="AO4899"/>
    </row>
    <row r="4900" spans="24:41" x14ac:dyDescent="0.4">
      <c r="X4900"/>
      <c r="AO4900"/>
    </row>
    <row r="4901" spans="24:41" x14ac:dyDescent="0.4">
      <c r="X4901"/>
      <c r="AO4901"/>
    </row>
    <row r="4902" spans="24:41" x14ac:dyDescent="0.4">
      <c r="X4902"/>
      <c r="AO4902"/>
    </row>
    <row r="4903" spans="24:41" x14ac:dyDescent="0.4">
      <c r="X4903"/>
      <c r="AO4903"/>
    </row>
    <row r="4904" spans="24:41" x14ac:dyDescent="0.4">
      <c r="X4904"/>
      <c r="AO4904"/>
    </row>
    <row r="4905" spans="24:41" x14ac:dyDescent="0.4">
      <c r="X4905"/>
      <c r="AO4905"/>
    </row>
    <row r="4906" spans="24:41" x14ac:dyDescent="0.4">
      <c r="X4906"/>
      <c r="AO4906"/>
    </row>
    <row r="4907" spans="24:41" x14ac:dyDescent="0.4">
      <c r="X4907"/>
      <c r="AO4907"/>
    </row>
    <row r="4908" spans="24:41" x14ac:dyDescent="0.4">
      <c r="X4908"/>
      <c r="AO4908"/>
    </row>
    <row r="4909" spans="24:41" x14ac:dyDescent="0.4">
      <c r="X4909"/>
      <c r="AO4909"/>
    </row>
    <row r="4910" spans="24:41" x14ac:dyDescent="0.4">
      <c r="X4910"/>
      <c r="AO4910"/>
    </row>
    <row r="4911" spans="24:41" x14ac:dyDescent="0.4">
      <c r="X4911"/>
      <c r="AO4911"/>
    </row>
    <row r="4912" spans="24:41" x14ac:dyDescent="0.4">
      <c r="X4912"/>
      <c r="AO4912"/>
    </row>
    <row r="4913" spans="24:41" x14ac:dyDescent="0.4">
      <c r="X4913"/>
      <c r="AO4913"/>
    </row>
    <row r="4914" spans="24:41" x14ac:dyDescent="0.4">
      <c r="X4914"/>
      <c r="AO4914"/>
    </row>
    <row r="4915" spans="24:41" x14ac:dyDescent="0.4">
      <c r="X4915"/>
      <c r="AO4915"/>
    </row>
    <row r="4916" spans="24:41" x14ac:dyDescent="0.4">
      <c r="X4916"/>
      <c r="AO4916"/>
    </row>
    <row r="4917" spans="24:41" x14ac:dyDescent="0.4">
      <c r="X4917"/>
      <c r="AO4917"/>
    </row>
    <row r="4918" spans="24:41" x14ac:dyDescent="0.4">
      <c r="X4918"/>
      <c r="AO4918"/>
    </row>
    <row r="4919" spans="24:41" x14ac:dyDescent="0.4">
      <c r="X4919"/>
      <c r="AO4919"/>
    </row>
    <row r="4920" spans="24:41" x14ac:dyDescent="0.4">
      <c r="X4920"/>
      <c r="AO4920"/>
    </row>
    <row r="4921" spans="24:41" x14ac:dyDescent="0.4">
      <c r="X4921"/>
      <c r="AO4921"/>
    </row>
    <row r="4922" spans="24:41" x14ac:dyDescent="0.4">
      <c r="X4922"/>
      <c r="AO4922"/>
    </row>
    <row r="4923" spans="24:41" x14ac:dyDescent="0.4">
      <c r="X4923"/>
      <c r="AO4923"/>
    </row>
    <row r="4924" spans="24:41" x14ac:dyDescent="0.4">
      <c r="X4924"/>
      <c r="AO4924"/>
    </row>
    <row r="4925" spans="24:41" x14ac:dyDescent="0.4">
      <c r="X4925"/>
      <c r="AO4925"/>
    </row>
    <row r="4926" spans="24:41" x14ac:dyDescent="0.4">
      <c r="X4926"/>
      <c r="AO4926"/>
    </row>
    <row r="4927" spans="24:41" x14ac:dyDescent="0.4">
      <c r="X4927"/>
      <c r="AO4927"/>
    </row>
    <row r="4928" spans="24:41" x14ac:dyDescent="0.4">
      <c r="X4928"/>
      <c r="AO4928"/>
    </row>
    <row r="4929" spans="24:41" x14ac:dyDescent="0.4">
      <c r="X4929"/>
      <c r="AO4929"/>
    </row>
    <row r="4930" spans="24:41" x14ac:dyDescent="0.4">
      <c r="X4930"/>
      <c r="AO4930"/>
    </row>
    <row r="4931" spans="24:41" x14ac:dyDescent="0.4">
      <c r="X4931"/>
      <c r="AO4931"/>
    </row>
    <row r="4932" spans="24:41" x14ac:dyDescent="0.4">
      <c r="X4932"/>
      <c r="AO4932"/>
    </row>
    <row r="4933" spans="24:41" x14ac:dyDescent="0.4">
      <c r="X4933"/>
      <c r="AO4933"/>
    </row>
    <row r="4934" spans="24:41" x14ac:dyDescent="0.4">
      <c r="X4934"/>
      <c r="AO4934"/>
    </row>
    <row r="4935" spans="24:41" x14ac:dyDescent="0.4">
      <c r="X4935"/>
      <c r="AO4935"/>
    </row>
    <row r="4936" spans="24:41" x14ac:dyDescent="0.4">
      <c r="X4936"/>
      <c r="AO4936"/>
    </row>
    <row r="4937" spans="24:41" x14ac:dyDescent="0.4">
      <c r="X4937"/>
      <c r="AO4937"/>
    </row>
    <row r="4938" spans="24:41" x14ac:dyDescent="0.4">
      <c r="X4938"/>
      <c r="AO4938"/>
    </row>
    <row r="4939" spans="24:41" x14ac:dyDescent="0.4">
      <c r="X4939"/>
      <c r="AO4939"/>
    </row>
    <row r="4940" spans="24:41" x14ac:dyDescent="0.4">
      <c r="X4940"/>
      <c r="AO4940"/>
    </row>
    <row r="4941" spans="24:41" x14ac:dyDescent="0.4">
      <c r="X4941"/>
      <c r="AO4941"/>
    </row>
    <row r="4942" spans="24:41" x14ac:dyDescent="0.4">
      <c r="X4942"/>
      <c r="AO4942"/>
    </row>
    <row r="4943" spans="24:41" x14ac:dyDescent="0.4">
      <c r="X4943"/>
      <c r="AO4943"/>
    </row>
    <row r="4944" spans="24:41" x14ac:dyDescent="0.4">
      <c r="X4944"/>
      <c r="AO4944"/>
    </row>
    <row r="4945" spans="24:41" x14ac:dyDescent="0.4">
      <c r="X4945"/>
      <c r="AO4945"/>
    </row>
    <row r="4946" spans="24:41" x14ac:dyDescent="0.4">
      <c r="X4946"/>
      <c r="AO4946"/>
    </row>
    <row r="4947" spans="24:41" x14ac:dyDescent="0.4">
      <c r="X4947"/>
      <c r="AO4947"/>
    </row>
    <row r="4948" spans="24:41" x14ac:dyDescent="0.4">
      <c r="X4948"/>
      <c r="AO4948"/>
    </row>
    <row r="4949" spans="24:41" x14ac:dyDescent="0.4">
      <c r="X4949"/>
      <c r="AO4949"/>
    </row>
    <row r="4950" spans="24:41" x14ac:dyDescent="0.4">
      <c r="X4950"/>
      <c r="AO4950"/>
    </row>
    <row r="4951" spans="24:41" x14ac:dyDescent="0.4">
      <c r="X4951"/>
      <c r="AO4951"/>
    </row>
    <row r="4952" spans="24:41" x14ac:dyDescent="0.4">
      <c r="X4952"/>
      <c r="AO4952"/>
    </row>
    <row r="4953" spans="24:41" x14ac:dyDescent="0.4">
      <c r="X4953"/>
      <c r="AO4953"/>
    </row>
    <row r="4954" spans="24:41" x14ac:dyDescent="0.4">
      <c r="X4954"/>
      <c r="AO4954"/>
    </row>
    <row r="4955" spans="24:41" x14ac:dyDescent="0.4">
      <c r="X4955"/>
      <c r="AO4955"/>
    </row>
    <row r="4956" spans="24:41" x14ac:dyDescent="0.4">
      <c r="X4956"/>
      <c r="AO4956"/>
    </row>
    <row r="4957" spans="24:41" x14ac:dyDescent="0.4">
      <c r="X4957"/>
      <c r="AO4957"/>
    </row>
    <row r="4958" spans="24:41" x14ac:dyDescent="0.4">
      <c r="X4958"/>
      <c r="AO4958"/>
    </row>
    <row r="4959" spans="24:41" x14ac:dyDescent="0.4">
      <c r="X4959"/>
      <c r="AO4959"/>
    </row>
    <row r="4960" spans="24:41" x14ac:dyDescent="0.4">
      <c r="X4960"/>
      <c r="AO4960"/>
    </row>
    <row r="4961" spans="24:41" x14ac:dyDescent="0.4">
      <c r="X4961"/>
      <c r="AO4961"/>
    </row>
    <row r="4962" spans="24:41" x14ac:dyDescent="0.4">
      <c r="X4962"/>
      <c r="AO4962"/>
    </row>
    <row r="4963" spans="24:41" x14ac:dyDescent="0.4">
      <c r="X4963"/>
      <c r="AO4963"/>
    </row>
    <row r="4964" spans="24:41" x14ac:dyDescent="0.4">
      <c r="X4964"/>
      <c r="AO4964"/>
    </row>
    <row r="4965" spans="24:41" x14ac:dyDescent="0.4">
      <c r="X4965"/>
      <c r="AO4965"/>
    </row>
    <row r="4966" spans="24:41" x14ac:dyDescent="0.4">
      <c r="X4966"/>
      <c r="AO4966"/>
    </row>
    <row r="4967" spans="24:41" x14ac:dyDescent="0.4">
      <c r="X4967"/>
      <c r="AO4967"/>
    </row>
    <row r="4968" spans="24:41" x14ac:dyDescent="0.4">
      <c r="X4968"/>
      <c r="AO4968"/>
    </row>
    <row r="4969" spans="24:41" x14ac:dyDescent="0.4">
      <c r="X4969"/>
      <c r="AO4969"/>
    </row>
    <row r="4970" spans="24:41" x14ac:dyDescent="0.4">
      <c r="X4970"/>
      <c r="AO4970"/>
    </row>
    <row r="4971" spans="24:41" x14ac:dyDescent="0.4">
      <c r="X4971"/>
      <c r="AO4971"/>
    </row>
    <row r="4972" spans="24:41" x14ac:dyDescent="0.4">
      <c r="X4972"/>
      <c r="AO4972"/>
    </row>
    <row r="4973" spans="24:41" x14ac:dyDescent="0.4">
      <c r="X4973"/>
      <c r="AO4973"/>
    </row>
    <row r="4974" spans="24:41" x14ac:dyDescent="0.4">
      <c r="X4974"/>
      <c r="AO4974"/>
    </row>
    <row r="4975" spans="24:41" x14ac:dyDescent="0.4">
      <c r="X4975"/>
      <c r="AO4975"/>
    </row>
    <row r="4976" spans="24:41" x14ac:dyDescent="0.4">
      <c r="X4976"/>
      <c r="AO4976"/>
    </row>
    <row r="4977" spans="24:41" x14ac:dyDescent="0.4">
      <c r="X4977"/>
      <c r="AO4977"/>
    </row>
    <row r="4978" spans="24:41" x14ac:dyDescent="0.4">
      <c r="X4978"/>
      <c r="AO4978"/>
    </row>
    <row r="4979" spans="24:41" x14ac:dyDescent="0.4">
      <c r="X4979"/>
      <c r="AO4979"/>
    </row>
    <row r="4980" spans="24:41" x14ac:dyDescent="0.4">
      <c r="X4980"/>
      <c r="AO4980"/>
    </row>
    <row r="4981" spans="24:41" x14ac:dyDescent="0.4">
      <c r="X4981"/>
      <c r="AO4981"/>
    </row>
    <row r="4982" spans="24:41" x14ac:dyDescent="0.4">
      <c r="X4982"/>
      <c r="AO4982"/>
    </row>
    <row r="4983" spans="24:41" x14ac:dyDescent="0.4">
      <c r="X4983"/>
      <c r="AO4983"/>
    </row>
    <row r="4984" spans="24:41" x14ac:dyDescent="0.4">
      <c r="X4984"/>
      <c r="AO4984"/>
    </row>
    <row r="4985" spans="24:41" x14ac:dyDescent="0.4">
      <c r="X4985"/>
      <c r="AO4985"/>
    </row>
    <row r="4986" spans="24:41" x14ac:dyDescent="0.4">
      <c r="X4986"/>
      <c r="AO4986"/>
    </row>
    <row r="4987" spans="24:41" x14ac:dyDescent="0.4">
      <c r="X4987"/>
      <c r="AO4987"/>
    </row>
    <row r="4988" spans="24:41" x14ac:dyDescent="0.4">
      <c r="X4988"/>
      <c r="AO4988"/>
    </row>
    <row r="4989" spans="24:41" x14ac:dyDescent="0.4">
      <c r="X4989"/>
      <c r="AO4989"/>
    </row>
    <row r="4990" spans="24:41" x14ac:dyDescent="0.4">
      <c r="X4990"/>
      <c r="AO4990"/>
    </row>
    <row r="4991" spans="24:41" x14ac:dyDescent="0.4">
      <c r="X4991"/>
      <c r="AO4991"/>
    </row>
    <row r="4992" spans="24:41" x14ac:dyDescent="0.4">
      <c r="X4992"/>
      <c r="AO4992"/>
    </row>
    <row r="4993" spans="24:41" x14ac:dyDescent="0.4">
      <c r="X4993"/>
      <c r="AO4993"/>
    </row>
    <row r="4994" spans="24:41" x14ac:dyDescent="0.4">
      <c r="X4994"/>
      <c r="AO4994"/>
    </row>
    <row r="4995" spans="24:41" x14ac:dyDescent="0.4">
      <c r="X4995"/>
      <c r="AO4995"/>
    </row>
    <row r="4996" spans="24:41" x14ac:dyDescent="0.4">
      <c r="X4996"/>
      <c r="AO4996"/>
    </row>
    <row r="4997" spans="24:41" x14ac:dyDescent="0.4">
      <c r="X4997"/>
      <c r="AO4997"/>
    </row>
    <row r="4998" spans="24:41" x14ac:dyDescent="0.4">
      <c r="X4998"/>
      <c r="AO4998"/>
    </row>
    <row r="4999" spans="24:41" x14ac:dyDescent="0.4">
      <c r="X4999"/>
      <c r="AO4999"/>
    </row>
    <row r="5000" spans="24:41" x14ac:dyDescent="0.4">
      <c r="X5000"/>
      <c r="AO5000"/>
    </row>
    <row r="5001" spans="24:41" x14ac:dyDescent="0.4">
      <c r="X5001"/>
      <c r="AO5001"/>
    </row>
    <row r="5002" spans="24:41" x14ac:dyDescent="0.4">
      <c r="X5002"/>
      <c r="AO5002"/>
    </row>
    <row r="5003" spans="24:41" x14ac:dyDescent="0.4">
      <c r="X5003"/>
      <c r="AO5003"/>
    </row>
    <row r="5004" spans="24:41" x14ac:dyDescent="0.4">
      <c r="X5004"/>
      <c r="AO5004"/>
    </row>
    <row r="5005" spans="24:41" x14ac:dyDescent="0.4">
      <c r="X5005"/>
      <c r="AO5005"/>
    </row>
    <row r="5006" spans="24:41" x14ac:dyDescent="0.4">
      <c r="X5006"/>
      <c r="AO5006"/>
    </row>
    <row r="5007" spans="24:41" x14ac:dyDescent="0.4">
      <c r="X5007"/>
      <c r="AO5007"/>
    </row>
    <row r="5008" spans="24:41" x14ac:dyDescent="0.4">
      <c r="X5008"/>
      <c r="AO5008"/>
    </row>
    <row r="5009" spans="24:41" x14ac:dyDescent="0.4">
      <c r="X5009"/>
      <c r="AO5009"/>
    </row>
    <row r="5010" spans="24:41" x14ac:dyDescent="0.4">
      <c r="X5010"/>
      <c r="AO5010"/>
    </row>
    <row r="5011" spans="24:41" x14ac:dyDescent="0.4">
      <c r="X5011"/>
      <c r="AO5011"/>
    </row>
    <row r="5012" spans="24:41" x14ac:dyDescent="0.4">
      <c r="X5012"/>
      <c r="AO5012"/>
    </row>
    <row r="5013" spans="24:41" x14ac:dyDescent="0.4">
      <c r="X5013"/>
      <c r="AO5013"/>
    </row>
    <row r="5014" spans="24:41" x14ac:dyDescent="0.4">
      <c r="X5014"/>
      <c r="AO5014"/>
    </row>
    <row r="5015" spans="24:41" x14ac:dyDescent="0.4">
      <c r="X5015"/>
      <c r="AO5015"/>
    </row>
    <row r="5016" spans="24:41" x14ac:dyDescent="0.4">
      <c r="X5016"/>
      <c r="AO5016"/>
    </row>
    <row r="5017" spans="24:41" x14ac:dyDescent="0.4">
      <c r="X5017"/>
      <c r="AO5017"/>
    </row>
    <row r="5018" spans="24:41" x14ac:dyDescent="0.4">
      <c r="X5018"/>
      <c r="AO5018"/>
    </row>
    <row r="5019" spans="24:41" x14ac:dyDescent="0.4">
      <c r="X5019"/>
      <c r="AO5019"/>
    </row>
    <row r="5020" spans="24:41" x14ac:dyDescent="0.4">
      <c r="X5020"/>
      <c r="AO5020"/>
    </row>
    <row r="5021" spans="24:41" x14ac:dyDescent="0.4">
      <c r="X5021"/>
      <c r="AO5021"/>
    </row>
    <row r="5022" spans="24:41" x14ac:dyDescent="0.4">
      <c r="X5022"/>
      <c r="AO5022"/>
    </row>
    <row r="5023" spans="24:41" x14ac:dyDescent="0.4">
      <c r="X5023"/>
      <c r="AO5023"/>
    </row>
    <row r="5024" spans="24:41" x14ac:dyDescent="0.4">
      <c r="X5024"/>
      <c r="AO5024"/>
    </row>
    <row r="5025" spans="24:41" x14ac:dyDescent="0.4">
      <c r="X5025"/>
      <c r="AO5025"/>
    </row>
    <row r="5026" spans="24:41" x14ac:dyDescent="0.4">
      <c r="X5026"/>
      <c r="AO5026"/>
    </row>
    <row r="5027" spans="24:41" x14ac:dyDescent="0.4">
      <c r="X5027"/>
      <c r="AO5027"/>
    </row>
    <row r="5028" spans="24:41" x14ac:dyDescent="0.4">
      <c r="X5028"/>
      <c r="AO5028"/>
    </row>
    <row r="5029" spans="24:41" x14ac:dyDescent="0.4">
      <c r="X5029"/>
      <c r="AO5029"/>
    </row>
    <row r="5030" spans="24:41" x14ac:dyDescent="0.4">
      <c r="X5030"/>
      <c r="AO5030"/>
    </row>
    <row r="5031" spans="24:41" x14ac:dyDescent="0.4">
      <c r="X5031"/>
      <c r="AO5031"/>
    </row>
    <row r="5032" spans="24:41" x14ac:dyDescent="0.4">
      <c r="X5032"/>
      <c r="AO5032"/>
    </row>
    <row r="5033" spans="24:41" x14ac:dyDescent="0.4">
      <c r="X5033"/>
      <c r="AO5033"/>
    </row>
    <row r="5034" spans="24:41" x14ac:dyDescent="0.4">
      <c r="X5034"/>
      <c r="AO5034"/>
    </row>
    <row r="5035" spans="24:41" x14ac:dyDescent="0.4">
      <c r="X5035"/>
      <c r="AO5035"/>
    </row>
    <row r="5036" spans="24:41" x14ac:dyDescent="0.4">
      <c r="X5036"/>
      <c r="AO5036"/>
    </row>
    <row r="5037" spans="24:41" x14ac:dyDescent="0.4">
      <c r="X5037"/>
      <c r="AO5037"/>
    </row>
    <row r="5038" spans="24:41" x14ac:dyDescent="0.4">
      <c r="X5038"/>
      <c r="AO5038"/>
    </row>
    <row r="5039" spans="24:41" x14ac:dyDescent="0.4">
      <c r="X5039"/>
      <c r="AO5039"/>
    </row>
    <row r="5040" spans="24:41" x14ac:dyDescent="0.4">
      <c r="X5040"/>
      <c r="AO5040"/>
    </row>
    <row r="5041" spans="24:41" x14ac:dyDescent="0.4">
      <c r="X5041"/>
      <c r="AO5041"/>
    </row>
    <row r="5042" spans="24:41" x14ac:dyDescent="0.4">
      <c r="X5042"/>
      <c r="AO5042"/>
    </row>
    <row r="5043" spans="24:41" x14ac:dyDescent="0.4">
      <c r="X5043"/>
      <c r="AO5043"/>
    </row>
    <row r="5044" spans="24:41" x14ac:dyDescent="0.4">
      <c r="X5044"/>
      <c r="AO5044"/>
    </row>
    <row r="5045" spans="24:41" x14ac:dyDescent="0.4">
      <c r="X5045"/>
      <c r="AO5045"/>
    </row>
    <row r="5046" spans="24:41" x14ac:dyDescent="0.4">
      <c r="X5046"/>
      <c r="AO5046"/>
    </row>
    <row r="5047" spans="24:41" x14ac:dyDescent="0.4">
      <c r="X5047"/>
      <c r="AO5047"/>
    </row>
    <row r="5048" spans="24:41" x14ac:dyDescent="0.4">
      <c r="X5048"/>
      <c r="AO5048"/>
    </row>
    <row r="5049" spans="24:41" x14ac:dyDescent="0.4">
      <c r="X5049"/>
      <c r="AO5049"/>
    </row>
    <row r="5050" spans="24:41" x14ac:dyDescent="0.4">
      <c r="X5050"/>
      <c r="AO5050"/>
    </row>
    <row r="5051" spans="24:41" x14ac:dyDescent="0.4">
      <c r="X5051"/>
      <c r="AO5051"/>
    </row>
    <row r="5052" spans="24:41" x14ac:dyDescent="0.4">
      <c r="X5052"/>
      <c r="AO5052"/>
    </row>
    <row r="5053" spans="24:41" x14ac:dyDescent="0.4">
      <c r="X5053"/>
      <c r="AO5053"/>
    </row>
    <row r="5054" spans="24:41" x14ac:dyDescent="0.4">
      <c r="X5054"/>
      <c r="AO5054"/>
    </row>
    <row r="5055" spans="24:41" x14ac:dyDescent="0.4">
      <c r="X5055"/>
      <c r="AO5055"/>
    </row>
    <row r="5056" spans="24:41" x14ac:dyDescent="0.4">
      <c r="X5056"/>
      <c r="AO5056"/>
    </row>
    <row r="5057" spans="24:41" x14ac:dyDescent="0.4">
      <c r="X5057"/>
      <c r="AO5057"/>
    </row>
    <row r="5058" spans="24:41" x14ac:dyDescent="0.4">
      <c r="X5058"/>
      <c r="AO5058"/>
    </row>
    <row r="5059" spans="24:41" x14ac:dyDescent="0.4">
      <c r="X5059"/>
      <c r="AO5059"/>
    </row>
    <row r="5060" spans="24:41" x14ac:dyDescent="0.4">
      <c r="X5060"/>
      <c r="AO5060"/>
    </row>
    <row r="5061" spans="24:41" x14ac:dyDescent="0.4">
      <c r="X5061"/>
      <c r="AO5061"/>
    </row>
    <row r="5062" spans="24:41" x14ac:dyDescent="0.4">
      <c r="X5062"/>
      <c r="AO5062"/>
    </row>
    <row r="5063" spans="24:41" x14ac:dyDescent="0.4">
      <c r="X5063"/>
      <c r="AO5063"/>
    </row>
    <row r="5064" spans="24:41" x14ac:dyDescent="0.4">
      <c r="X5064"/>
      <c r="AO5064"/>
    </row>
    <row r="5065" spans="24:41" x14ac:dyDescent="0.4">
      <c r="X5065"/>
      <c r="AO5065"/>
    </row>
    <row r="5066" spans="24:41" x14ac:dyDescent="0.4">
      <c r="X5066"/>
      <c r="AO5066"/>
    </row>
    <row r="5067" spans="24:41" x14ac:dyDescent="0.4">
      <c r="X5067"/>
      <c r="AO5067"/>
    </row>
    <row r="5068" spans="24:41" x14ac:dyDescent="0.4">
      <c r="X5068"/>
      <c r="AO5068"/>
    </row>
    <row r="5069" spans="24:41" x14ac:dyDescent="0.4">
      <c r="X5069"/>
      <c r="AO5069"/>
    </row>
    <row r="5070" spans="24:41" x14ac:dyDescent="0.4">
      <c r="X5070"/>
      <c r="AO5070"/>
    </row>
    <row r="5071" spans="24:41" x14ac:dyDescent="0.4">
      <c r="X5071"/>
      <c r="AO5071"/>
    </row>
    <row r="5072" spans="24:41" x14ac:dyDescent="0.4">
      <c r="X5072"/>
      <c r="AO5072"/>
    </row>
    <row r="5073" spans="24:41" x14ac:dyDescent="0.4">
      <c r="X5073"/>
      <c r="AO5073"/>
    </row>
    <row r="5074" spans="24:41" x14ac:dyDescent="0.4">
      <c r="X5074"/>
      <c r="AO5074"/>
    </row>
    <row r="5075" spans="24:41" x14ac:dyDescent="0.4">
      <c r="X5075"/>
      <c r="AO5075"/>
    </row>
    <row r="5076" spans="24:41" x14ac:dyDescent="0.4">
      <c r="X5076"/>
      <c r="AO5076"/>
    </row>
    <row r="5077" spans="24:41" x14ac:dyDescent="0.4">
      <c r="X5077"/>
      <c r="AO5077"/>
    </row>
    <row r="5078" spans="24:41" x14ac:dyDescent="0.4">
      <c r="X5078"/>
      <c r="AO5078"/>
    </row>
    <row r="5079" spans="24:41" x14ac:dyDescent="0.4">
      <c r="X5079"/>
      <c r="AO5079"/>
    </row>
    <row r="5080" spans="24:41" x14ac:dyDescent="0.4">
      <c r="X5080"/>
      <c r="AO5080"/>
    </row>
    <row r="5081" spans="24:41" x14ac:dyDescent="0.4">
      <c r="X5081"/>
      <c r="AO5081"/>
    </row>
    <row r="5082" spans="24:41" x14ac:dyDescent="0.4">
      <c r="X5082"/>
      <c r="AO5082"/>
    </row>
    <row r="5083" spans="24:41" x14ac:dyDescent="0.4">
      <c r="X5083"/>
      <c r="AO5083"/>
    </row>
    <row r="5084" spans="24:41" x14ac:dyDescent="0.4">
      <c r="X5084"/>
      <c r="AO5084"/>
    </row>
    <row r="5085" spans="24:41" x14ac:dyDescent="0.4">
      <c r="X5085"/>
      <c r="AO5085"/>
    </row>
    <row r="5086" spans="24:41" x14ac:dyDescent="0.4">
      <c r="X5086"/>
      <c r="AO5086"/>
    </row>
    <row r="5087" spans="24:41" x14ac:dyDescent="0.4">
      <c r="X5087"/>
      <c r="AO5087"/>
    </row>
    <row r="5088" spans="24:41" x14ac:dyDescent="0.4">
      <c r="X5088"/>
      <c r="AO5088"/>
    </row>
    <row r="5089" spans="24:41" x14ac:dyDescent="0.4">
      <c r="X5089"/>
      <c r="AO5089"/>
    </row>
    <row r="5090" spans="24:41" x14ac:dyDescent="0.4">
      <c r="X5090"/>
      <c r="AO5090"/>
    </row>
    <row r="5091" spans="24:41" x14ac:dyDescent="0.4">
      <c r="X5091"/>
      <c r="AO5091"/>
    </row>
    <row r="5092" spans="24:41" x14ac:dyDescent="0.4">
      <c r="X5092"/>
      <c r="AO5092"/>
    </row>
    <row r="5093" spans="24:41" x14ac:dyDescent="0.4">
      <c r="X5093"/>
      <c r="AO5093"/>
    </row>
    <row r="5094" spans="24:41" x14ac:dyDescent="0.4">
      <c r="X5094"/>
      <c r="AO5094"/>
    </row>
    <row r="5095" spans="24:41" x14ac:dyDescent="0.4">
      <c r="X5095"/>
      <c r="AO5095"/>
    </row>
    <row r="5096" spans="24:41" x14ac:dyDescent="0.4">
      <c r="X5096"/>
      <c r="AO5096"/>
    </row>
    <row r="5097" spans="24:41" x14ac:dyDescent="0.4">
      <c r="X5097"/>
      <c r="AO5097"/>
    </row>
    <row r="5098" spans="24:41" x14ac:dyDescent="0.4">
      <c r="X5098"/>
      <c r="AO5098"/>
    </row>
    <row r="5099" spans="24:41" x14ac:dyDescent="0.4">
      <c r="X5099"/>
      <c r="AO5099"/>
    </row>
    <row r="5100" spans="24:41" x14ac:dyDescent="0.4">
      <c r="X5100"/>
      <c r="AO5100"/>
    </row>
    <row r="5101" spans="24:41" x14ac:dyDescent="0.4">
      <c r="X5101"/>
      <c r="AO5101"/>
    </row>
    <row r="5102" spans="24:41" x14ac:dyDescent="0.4">
      <c r="X5102"/>
      <c r="AO5102"/>
    </row>
    <row r="5103" spans="24:41" x14ac:dyDescent="0.4">
      <c r="X5103"/>
      <c r="AO5103"/>
    </row>
    <row r="5104" spans="24:41" x14ac:dyDescent="0.4">
      <c r="X5104"/>
      <c r="AO5104"/>
    </row>
    <row r="5105" spans="24:41" x14ac:dyDescent="0.4">
      <c r="X5105"/>
      <c r="AO5105"/>
    </row>
    <row r="5106" spans="24:41" x14ac:dyDescent="0.4">
      <c r="X5106"/>
      <c r="AO5106"/>
    </row>
    <row r="5107" spans="24:41" x14ac:dyDescent="0.4">
      <c r="X5107"/>
      <c r="AO5107"/>
    </row>
    <row r="5108" spans="24:41" x14ac:dyDescent="0.4">
      <c r="X5108"/>
      <c r="AO5108"/>
    </row>
    <row r="5109" spans="24:41" x14ac:dyDescent="0.4">
      <c r="X5109"/>
      <c r="AO5109"/>
    </row>
    <row r="5110" spans="24:41" x14ac:dyDescent="0.4">
      <c r="X5110"/>
      <c r="AO5110"/>
    </row>
    <row r="5111" spans="24:41" x14ac:dyDescent="0.4">
      <c r="X5111"/>
      <c r="AO5111"/>
    </row>
    <row r="5112" spans="24:41" x14ac:dyDescent="0.4">
      <c r="X5112"/>
      <c r="AO5112"/>
    </row>
    <row r="5113" spans="24:41" x14ac:dyDescent="0.4">
      <c r="X5113"/>
      <c r="AO5113"/>
    </row>
    <row r="5114" spans="24:41" x14ac:dyDescent="0.4">
      <c r="X5114"/>
      <c r="AO5114"/>
    </row>
    <row r="5115" spans="24:41" x14ac:dyDescent="0.4">
      <c r="X5115"/>
      <c r="AO5115"/>
    </row>
    <row r="5116" spans="24:41" x14ac:dyDescent="0.4">
      <c r="X5116"/>
      <c r="AO5116"/>
    </row>
    <row r="5117" spans="24:41" x14ac:dyDescent="0.4">
      <c r="X5117"/>
      <c r="AO5117"/>
    </row>
    <row r="5118" spans="24:41" x14ac:dyDescent="0.4">
      <c r="X5118"/>
      <c r="AO5118"/>
    </row>
    <row r="5119" spans="24:41" x14ac:dyDescent="0.4">
      <c r="X5119"/>
      <c r="AO5119"/>
    </row>
    <row r="5120" spans="24:41" x14ac:dyDescent="0.4">
      <c r="X5120"/>
      <c r="AO5120"/>
    </row>
    <row r="5121" spans="24:41" x14ac:dyDescent="0.4">
      <c r="X5121"/>
      <c r="AO5121"/>
    </row>
    <row r="5122" spans="24:41" x14ac:dyDescent="0.4">
      <c r="X5122"/>
      <c r="AO5122"/>
    </row>
    <row r="5123" spans="24:41" x14ac:dyDescent="0.4">
      <c r="X5123"/>
      <c r="AO5123"/>
    </row>
    <row r="5124" spans="24:41" x14ac:dyDescent="0.4">
      <c r="X5124"/>
      <c r="AO5124"/>
    </row>
    <row r="5125" spans="24:41" x14ac:dyDescent="0.4">
      <c r="X5125"/>
      <c r="AO5125"/>
    </row>
    <row r="5126" spans="24:41" x14ac:dyDescent="0.4">
      <c r="X5126"/>
      <c r="AO5126"/>
    </row>
    <row r="5127" spans="24:41" x14ac:dyDescent="0.4">
      <c r="X5127"/>
      <c r="AO5127"/>
    </row>
    <row r="5128" spans="24:41" x14ac:dyDescent="0.4">
      <c r="X5128"/>
      <c r="AO5128"/>
    </row>
    <row r="5129" spans="24:41" x14ac:dyDescent="0.4">
      <c r="X5129"/>
      <c r="AO5129"/>
    </row>
    <row r="5130" spans="24:41" x14ac:dyDescent="0.4">
      <c r="X5130"/>
      <c r="AO5130"/>
    </row>
    <row r="5131" spans="24:41" x14ac:dyDescent="0.4">
      <c r="X5131"/>
      <c r="AO5131"/>
    </row>
    <row r="5132" spans="24:41" x14ac:dyDescent="0.4">
      <c r="X5132"/>
      <c r="AO5132"/>
    </row>
    <row r="5133" spans="24:41" x14ac:dyDescent="0.4">
      <c r="X5133"/>
      <c r="AO5133"/>
    </row>
    <row r="5134" spans="24:41" x14ac:dyDescent="0.4">
      <c r="X5134"/>
      <c r="AO5134"/>
    </row>
    <row r="5135" spans="24:41" x14ac:dyDescent="0.4">
      <c r="X5135"/>
      <c r="AO5135"/>
    </row>
    <row r="5136" spans="24:41" x14ac:dyDescent="0.4">
      <c r="X5136"/>
      <c r="AO5136"/>
    </row>
    <row r="5137" spans="24:41" x14ac:dyDescent="0.4">
      <c r="X5137"/>
      <c r="AO5137"/>
    </row>
    <row r="5138" spans="24:41" x14ac:dyDescent="0.4">
      <c r="X5138"/>
      <c r="AO5138"/>
    </row>
    <row r="5139" spans="24:41" x14ac:dyDescent="0.4">
      <c r="X5139"/>
      <c r="AO5139"/>
    </row>
    <row r="5140" spans="24:41" x14ac:dyDescent="0.4">
      <c r="X5140"/>
      <c r="AO5140"/>
    </row>
    <row r="5141" spans="24:41" x14ac:dyDescent="0.4">
      <c r="X5141"/>
      <c r="AO5141"/>
    </row>
    <row r="5142" spans="24:41" x14ac:dyDescent="0.4">
      <c r="X5142"/>
      <c r="AO5142"/>
    </row>
    <row r="5143" spans="24:41" x14ac:dyDescent="0.4">
      <c r="X5143"/>
      <c r="AO5143"/>
    </row>
    <row r="5144" spans="24:41" x14ac:dyDescent="0.4">
      <c r="X5144"/>
      <c r="AO5144"/>
    </row>
    <row r="5145" spans="24:41" x14ac:dyDescent="0.4">
      <c r="X5145"/>
      <c r="AO5145"/>
    </row>
    <row r="5146" spans="24:41" x14ac:dyDescent="0.4">
      <c r="X5146"/>
      <c r="AO5146"/>
    </row>
    <row r="5147" spans="24:41" x14ac:dyDescent="0.4">
      <c r="X5147"/>
      <c r="AO5147"/>
    </row>
    <row r="5148" spans="24:41" x14ac:dyDescent="0.4">
      <c r="X5148"/>
      <c r="AO5148"/>
    </row>
    <row r="5149" spans="24:41" x14ac:dyDescent="0.4">
      <c r="X5149"/>
      <c r="AO5149"/>
    </row>
    <row r="5150" spans="24:41" x14ac:dyDescent="0.4">
      <c r="X5150"/>
      <c r="AO5150"/>
    </row>
    <row r="5151" spans="24:41" x14ac:dyDescent="0.4">
      <c r="X5151"/>
      <c r="AO5151"/>
    </row>
    <row r="5152" spans="24:41" x14ac:dyDescent="0.4">
      <c r="X5152"/>
      <c r="AO5152"/>
    </row>
    <row r="5153" spans="24:41" x14ac:dyDescent="0.4">
      <c r="X5153"/>
      <c r="AO5153"/>
    </row>
    <row r="5154" spans="24:41" x14ac:dyDescent="0.4">
      <c r="X5154"/>
      <c r="AO5154"/>
    </row>
    <row r="5155" spans="24:41" x14ac:dyDescent="0.4">
      <c r="X5155"/>
      <c r="AO5155"/>
    </row>
    <row r="5156" spans="24:41" x14ac:dyDescent="0.4">
      <c r="X5156"/>
      <c r="AO5156"/>
    </row>
    <row r="5157" spans="24:41" x14ac:dyDescent="0.4">
      <c r="X5157"/>
      <c r="AO5157"/>
    </row>
    <row r="5158" spans="24:41" x14ac:dyDescent="0.4">
      <c r="X5158"/>
      <c r="AO5158"/>
    </row>
    <row r="5159" spans="24:41" x14ac:dyDescent="0.4">
      <c r="X5159"/>
      <c r="AO5159"/>
    </row>
    <row r="5160" spans="24:41" x14ac:dyDescent="0.4">
      <c r="X5160"/>
      <c r="AO5160"/>
    </row>
    <row r="5161" spans="24:41" x14ac:dyDescent="0.4">
      <c r="X5161"/>
      <c r="AO5161"/>
    </row>
    <row r="5162" spans="24:41" x14ac:dyDescent="0.4">
      <c r="X5162"/>
      <c r="AO5162"/>
    </row>
    <row r="5163" spans="24:41" x14ac:dyDescent="0.4">
      <c r="X5163"/>
      <c r="AO5163"/>
    </row>
    <row r="5164" spans="24:41" x14ac:dyDescent="0.4">
      <c r="X5164"/>
      <c r="AO5164"/>
    </row>
    <row r="5165" spans="24:41" x14ac:dyDescent="0.4">
      <c r="X5165"/>
      <c r="AO5165"/>
    </row>
    <row r="5166" spans="24:41" x14ac:dyDescent="0.4">
      <c r="X5166"/>
      <c r="AO5166"/>
    </row>
    <row r="5167" spans="24:41" x14ac:dyDescent="0.4">
      <c r="X5167"/>
      <c r="AO5167"/>
    </row>
    <row r="5168" spans="24:41" x14ac:dyDescent="0.4">
      <c r="X5168"/>
      <c r="AO5168"/>
    </row>
    <row r="5169" spans="24:41" x14ac:dyDescent="0.4">
      <c r="X5169"/>
      <c r="AO5169"/>
    </row>
    <row r="5170" spans="24:41" x14ac:dyDescent="0.4">
      <c r="X5170"/>
      <c r="AO5170"/>
    </row>
    <row r="5171" spans="24:41" x14ac:dyDescent="0.4">
      <c r="X5171"/>
      <c r="AO5171"/>
    </row>
    <row r="5172" spans="24:41" x14ac:dyDescent="0.4">
      <c r="X5172"/>
      <c r="AO5172"/>
    </row>
    <row r="5173" spans="24:41" x14ac:dyDescent="0.4">
      <c r="X5173"/>
      <c r="AO5173"/>
    </row>
    <row r="5174" spans="24:41" x14ac:dyDescent="0.4">
      <c r="X5174"/>
      <c r="AO5174"/>
    </row>
    <row r="5175" spans="24:41" x14ac:dyDescent="0.4">
      <c r="X5175"/>
      <c r="AO5175"/>
    </row>
    <row r="5176" spans="24:41" x14ac:dyDescent="0.4">
      <c r="X5176"/>
      <c r="AO5176"/>
    </row>
    <row r="5177" spans="24:41" x14ac:dyDescent="0.4">
      <c r="X5177"/>
      <c r="AO5177"/>
    </row>
    <row r="5178" spans="24:41" x14ac:dyDescent="0.4">
      <c r="X5178"/>
      <c r="AO5178"/>
    </row>
    <row r="5179" spans="24:41" x14ac:dyDescent="0.4">
      <c r="X5179"/>
      <c r="AO5179"/>
    </row>
    <row r="5180" spans="24:41" x14ac:dyDescent="0.4">
      <c r="X5180"/>
      <c r="AO5180"/>
    </row>
    <row r="5181" spans="24:41" x14ac:dyDescent="0.4">
      <c r="X5181"/>
      <c r="AO5181"/>
    </row>
    <row r="5182" spans="24:41" x14ac:dyDescent="0.4">
      <c r="X5182"/>
      <c r="AO5182"/>
    </row>
    <row r="5183" spans="24:41" x14ac:dyDescent="0.4">
      <c r="X5183"/>
      <c r="AO5183"/>
    </row>
    <row r="5184" spans="24:41" x14ac:dyDescent="0.4">
      <c r="X5184"/>
      <c r="AO5184"/>
    </row>
    <row r="5185" spans="24:41" x14ac:dyDescent="0.4">
      <c r="X5185"/>
      <c r="AO5185"/>
    </row>
    <row r="5186" spans="24:41" x14ac:dyDescent="0.4">
      <c r="X5186"/>
      <c r="AO5186"/>
    </row>
    <row r="5187" spans="24:41" x14ac:dyDescent="0.4">
      <c r="X5187"/>
      <c r="AO5187"/>
    </row>
    <row r="5188" spans="24:41" x14ac:dyDescent="0.4">
      <c r="X5188"/>
      <c r="AO5188"/>
    </row>
    <row r="5189" spans="24:41" x14ac:dyDescent="0.4">
      <c r="X5189"/>
      <c r="AO5189"/>
    </row>
    <row r="5190" spans="24:41" x14ac:dyDescent="0.4">
      <c r="X5190"/>
      <c r="AO5190"/>
    </row>
    <row r="5191" spans="24:41" x14ac:dyDescent="0.4">
      <c r="X5191"/>
      <c r="AO5191"/>
    </row>
    <row r="5192" spans="24:41" x14ac:dyDescent="0.4">
      <c r="X5192"/>
      <c r="AO5192"/>
    </row>
    <row r="5193" spans="24:41" x14ac:dyDescent="0.4">
      <c r="X5193"/>
      <c r="AO5193"/>
    </row>
    <row r="5194" spans="24:41" x14ac:dyDescent="0.4">
      <c r="X5194"/>
      <c r="AO5194"/>
    </row>
    <row r="5195" spans="24:41" x14ac:dyDescent="0.4">
      <c r="X5195"/>
      <c r="AO5195"/>
    </row>
    <row r="5196" spans="24:41" x14ac:dyDescent="0.4">
      <c r="X5196"/>
      <c r="AO5196"/>
    </row>
    <row r="5197" spans="24:41" x14ac:dyDescent="0.4">
      <c r="X5197"/>
      <c r="AO5197"/>
    </row>
    <row r="5198" spans="24:41" x14ac:dyDescent="0.4">
      <c r="X5198"/>
      <c r="AO5198"/>
    </row>
    <row r="5199" spans="24:41" x14ac:dyDescent="0.4">
      <c r="X5199"/>
      <c r="AO5199"/>
    </row>
    <row r="5200" spans="24:41" x14ac:dyDescent="0.4">
      <c r="X5200"/>
      <c r="AO5200"/>
    </row>
    <row r="5201" spans="24:41" x14ac:dyDescent="0.4">
      <c r="X5201"/>
      <c r="AO5201"/>
    </row>
    <row r="5202" spans="24:41" x14ac:dyDescent="0.4">
      <c r="X5202"/>
      <c r="AO5202"/>
    </row>
    <row r="5203" spans="24:41" x14ac:dyDescent="0.4">
      <c r="X5203"/>
      <c r="AO5203"/>
    </row>
    <row r="5204" spans="24:41" x14ac:dyDescent="0.4">
      <c r="X5204"/>
      <c r="AO5204"/>
    </row>
    <row r="5205" spans="24:41" x14ac:dyDescent="0.4">
      <c r="X5205"/>
      <c r="AO5205"/>
    </row>
    <row r="5206" spans="24:41" x14ac:dyDescent="0.4">
      <c r="X5206"/>
      <c r="AO5206"/>
    </row>
    <row r="5207" spans="24:41" x14ac:dyDescent="0.4">
      <c r="X5207"/>
      <c r="AO5207"/>
    </row>
    <row r="5208" spans="24:41" x14ac:dyDescent="0.4">
      <c r="X5208"/>
      <c r="AO5208"/>
    </row>
    <row r="5209" spans="24:41" x14ac:dyDescent="0.4">
      <c r="X5209"/>
      <c r="AO5209"/>
    </row>
    <row r="5210" spans="24:41" x14ac:dyDescent="0.4">
      <c r="X5210"/>
      <c r="AO5210"/>
    </row>
    <row r="5211" spans="24:41" x14ac:dyDescent="0.4">
      <c r="X5211"/>
      <c r="AO5211"/>
    </row>
    <row r="5212" spans="24:41" x14ac:dyDescent="0.4">
      <c r="X5212"/>
      <c r="AO5212"/>
    </row>
    <row r="5213" spans="24:41" x14ac:dyDescent="0.4">
      <c r="X5213"/>
      <c r="AO5213"/>
    </row>
    <row r="5214" spans="24:41" x14ac:dyDescent="0.4">
      <c r="X5214"/>
      <c r="AO5214"/>
    </row>
    <row r="5215" spans="24:41" x14ac:dyDescent="0.4">
      <c r="X5215"/>
      <c r="AO5215"/>
    </row>
    <row r="5216" spans="24:41" x14ac:dyDescent="0.4">
      <c r="X5216"/>
      <c r="AO5216"/>
    </row>
    <row r="5217" spans="24:41" x14ac:dyDescent="0.4">
      <c r="X5217"/>
      <c r="AO5217"/>
    </row>
    <row r="5218" spans="24:41" x14ac:dyDescent="0.4">
      <c r="X5218"/>
      <c r="AO5218"/>
    </row>
    <row r="5219" spans="24:41" x14ac:dyDescent="0.4">
      <c r="X5219"/>
      <c r="AO5219"/>
    </row>
    <row r="5220" spans="24:41" x14ac:dyDescent="0.4">
      <c r="X5220"/>
      <c r="AO5220"/>
    </row>
    <row r="5221" spans="24:41" x14ac:dyDescent="0.4">
      <c r="X5221"/>
      <c r="AO5221"/>
    </row>
    <row r="5222" spans="24:41" x14ac:dyDescent="0.4">
      <c r="X5222"/>
      <c r="AO5222"/>
    </row>
    <row r="5223" spans="24:41" x14ac:dyDescent="0.4">
      <c r="X5223"/>
      <c r="AO5223"/>
    </row>
    <row r="5224" spans="24:41" x14ac:dyDescent="0.4">
      <c r="X5224"/>
      <c r="AO5224"/>
    </row>
    <row r="5225" spans="24:41" x14ac:dyDescent="0.4">
      <c r="X5225"/>
      <c r="AO5225"/>
    </row>
    <row r="5226" spans="24:41" x14ac:dyDescent="0.4">
      <c r="X5226"/>
      <c r="AO5226"/>
    </row>
    <row r="5227" spans="24:41" x14ac:dyDescent="0.4">
      <c r="X5227"/>
      <c r="AO5227"/>
    </row>
    <row r="5228" spans="24:41" x14ac:dyDescent="0.4">
      <c r="X5228"/>
      <c r="AO5228"/>
    </row>
    <row r="5229" spans="24:41" x14ac:dyDescent="0.4">
      <c r="X5229"/>
      <c r="AO5229"/>
    </row>
    <row r="5230" spans="24:41" x14ac:dyDescent="0.4">
      <c r="X5230"/>
      <c r="AO5230"/>
    </row>
    <row r="5231" spans="24:41" x14ac:dyDescent="0.4">
      <c r="X5231"/>
      <c r="AO5231"/>
    </row>
    <row r="5232" spans="24:41" x14ac:dyDescent="0.4">
      <c r="X5232"/>
      <c r="AO5232"/>
    </row>
    <row r="5233" spans="24:41" x14ac:dyDescent="0.4">
      <c r="X5233"/>
      <c r="AO5233"/>
    </row>
    <row r="5234" spans="24:41" x14ac:dyDescent="0.4">
      <c r="X5234"/>
      <c r="AO5234"/>
    </row>
    <row r="5235" spans="24:41" x14ac:dyDescent="0.4">
      <c r="X5235"/>
      <c r="AO5235"/>
    </row>
    <row r="5236" spans="24:41" x14ac:dyDescent="0.4">
      <c r="X5236"/>
      <c r="AO5236"/>
    </row>
    <row r="5237" spans="24:41" x14ac:dyDescent="0.4">
      <c r="X5237"/>
      <c r="AO5237"/>
    </row>
    <row r="5238" spans="24:41" x14ac:dyDescent="0.4">
      <c r="X5238"/>
      <c r="AO5238"/>
    </row>
    <row r="5239" spans="24:41" x14ac:dyDescent="0.4">
      <c r="X5239"/>
      <c r="AO5239"/>
    </row>
    <row r="5240" spans="24:41" x14ac:dyDescent="0.4">
      <c r="X5240"/>
      <c r="AO5240"/>
    </row>
    <row r="5241" spans="24:41" x14ac:dyDescent="0.4">
      <c r="X5241"/>
      <c r="AO5241"/>
    </row>
    <row r="5242" spans="24:41" x14ac:dyDescent="0.4">
      <c r="X5242"/>
      <c r="AO5242"/>
    </row>
    <row r="5243" spans="24:41" x14ac:dyDescent="0.4">
      <c r="X5243"/>
      <c r="AO5243"/>
    </row>
    <row r="5244" spans="24:41" x14ac:dyDescent="0.4">
      <c r="X5244"/>
      <c r="AO5244"/>
    </row>
    <row r="5245" spans="24:41" x14ac:dyDescent="0.4">
      <c r="X5245"/>
      <c r="AO5245"/>
    </row>
    <row r="5246" spans="24:41" x14ac:dyDescent="0.4">
      <c r="X5246"/>
      <c r="AO5246"/>
    </row>
    <row r="5247" spans="24:41" x14ac:dyDescent="0.4">
      <c r="X5247"/>
      <c r="AO5247"/>
    </row>
    <row r="5248" spans="24:41" x14ac:dyDescent="0.4">
      <c r="X5248"/>
      <c r="AO5248"/>
    </row>
    <row r="5249" spans="24:41" x14ac:dyDescent="0.4">
      <c r="X5249"/>
      <c r="AO5249"/>
    </row>
    <row r="5250" spans="24:41" x14ac:dyDescent="0.4">
      <c r="X5250"/>
      <c r="AO5250"/>
    </row>
    <row r="5251" spans="24:41" x14ac:dyDescent="0.4">
      <c r="X5251"/>
      <c r="AO5251"/>
    </row>
    <row r="5252" spans="24:41" x14ac:dyDescent="0.4">
      <c r="X5252"/>
      <c r="AO5252"/>
    </row>
    <row r="5253" spans="24:41" x14ac:dyDescent="0.4">
      <c r="X5253"/>
      <c r="AO5253"/>
    </row>
    <row r="5254" spans="24:41" x14ac:dyDescent="0.4">
      <c r="X5254"/>
      <c r="AO5254"/>
    </row>
    <row r="5255" spans="24:41" x14ac:dyDescent="0.4">
      <c r="X5255"/>
      <c r="AO5255"/>
    </row>
    <row r="5256" spans="24:41" x14ac:dyDescent="0.4">
      <c r="X5256"/>
      <c r="AO5256"/>
    </row>
    <row r="5257" spans="24:41" x14ac:dyDescent="0.4">
      <c r="X5257"/>
      <c r="AO5257"/>
    </row>
    <row r="5258" spans="24:41" x14ac:dyDescent="0.4">
      <c r="X5258"/>
      <c r="AO5258"/>
    </row>
    <row r="5259" spans="24:41" x14ac:dyDescent="0.4">
      <c r="X5259"/>
      <c r="AO5259"/>
    </row>
    <row r="5260" spans="24:41" x14ac:dyDescent="0.4">
      <c r="X5260"/>
      <c r="AO5260"/>
    </row>
    <row r="5261" spans="24:41" x14ac:dyDescent="0.4">
      <c r="X5261"/>
      <c r="AO5261"/>
    </row>
    <row r="5262" spans="24:41" x14ac:dyDescent="0.4">
      <c r="X5262"/>
      <c r="AO5262"/>
    </row>
    <row r="5263" spans="24:41" x14ac:dyDescent="0.4">
      <c r="X5263"/>
      <c r="AO5263"/>
    </row>
    <row r="5264" spans="24:41" x14ac:dyDescent="0.4">
      <c r="X5264"/>
      <c r="AO5264"/>
    </row>
    <row r="5265" spans="24:41" x14ac:dyDescent="0.4">
      <c r="X5265"/>
      <c r="AO5265"/>
    </row>
    <row r="5266" spans="24:41" x14ac:dyDescent="0.4">
      <c r="X5266"/>
      <c r="AO5266"/>
    </row>
    <row r="5267" spans="24:41" x14ac:dyDescent="0.4">
      <c r="X5267"/>
      <c r="AO5267"/>
    </row>
    <row r="5268" spans="24:41" x14ac:dyDescent="0.4">
      <c r="X5268"/>
      <c r="AO5268"/>
    </row>
    <row r="5269" spans="24:41" x14ac:dyDescent="0.4">
      <c r="X5269"/>
      <c r="AO5269"/>
    </row>
    <row r="5270" spans="24:41" x14ac:dyDescent="0.4">
      <c r="X5270"/>
      <c r="AO5270"/>
    </row>
    <row r="5271" spans="24:41" x14ac:dyDescent="0.4">
      <c r="X5271"/>
      <c r="AO5271"/>
    </row>
    <row r="5272" spans="24:41" x14ac:dyDescent="0.4">
      <c r="X5272"/>
      <c r="AO5272"/>
    </row>
    <row r="5273" spans="24:41" x14ac:dyDescent="0.4">
      <c r="X5273"/>
      <c r="AO5273"/>
    </row>
    <row r="5274" spans="24:41" x14ac:dyDescent="0.4">
      <c r="X5274"/>
      <c r="AO5274"/>
    </row>
    <row r="5275" spans="24:41" x14ac:dyDescent="0.4">
      <c r="X5275"/>
      <c r="AO5275"/>
    </row>
    <row r="5276" spans="24:41" x14ac:dyDescent="0.4">
      <c r="X5276"/>
      <c r="AO5276"/>
    </row>
    <row r="5277" spans="24:41" x14ac:dyDescent="0.4">
      <c r="X5277"/>
      <c r="AO5277"/>
    </row>
    <row r="5278" spans="24:41" x14ac:dyDescent="0.4">
      <c r="X5278"/>
      <c r="AO5278"/>
    </row>
    <row r="5279" spans="24:41" x14ac:dyDescent="0.4">
      <c r="X5279"/>
      <c r="AO5279"/>
    </row>
    <row r="5280" spans="24:41" x14ac:dyDescent="0.4">
      <c r="X5280"/>
      <c r="AO5280"/>
    </row>
    <row r="5281" spans="24:41" x14ac:dyDescent="0.4">
      <c r="X5281"/>
      <c r="AO5281"/>
    </row>
    <row r="5282" spans="24:41" x14ac:dyDescent="0.4">
      <c r="X5282"/>
      <c r="AO5282"/>
    </row>
    <row r="5283" spans="24:41" x14ac:dyDescent="0.4">
      <c r="X5283"/>
      <c r="AO5283"/>
    </row>
    <row r="5284" spans="24:41" x14ac:dyDescent="0.4">
      <c r="X5284"/>
      <c r="AO5284"/>
    </row>
    <row r="5285" spans="24:41" x14ac:dyDescent="0.4">
      <c r="X5285"/>
      <c r="AO5285"/>
    </row>
    <row r="5286" spans="24:41" x14ac:dyDescent="0.4">
      <c r="X5286"/>
      <c r="AO5286"/>
    </row>
    <row r="5287" spans="24:41" x14ac:dyDescent="0.4">
      <c r="X5287"/>
      <c r="AO5287"/>
    </row>
    <row r="5288" spans="24:41" x14ac:dyDescent="0.4">
      <c r="X5288"/>
      <c r="AO5288"/>
    </row>
    <row r="5289" spans="24:41" x14ac:dyDescent="0.4">
      <c r="X5289"/>
      <c r="AO5289"/>
    </row>
    <row r="5290" spans="24:41" x14ac:dyDescent="0.4">
      <c r="X5290"/>
      <c r="AO5290"/>
    </row>
    <row r="5291" spans="24:41" x14ac:dyDescent="0.4">
      <c r="X5291"/>
      <c r="AO5291"/>
    </row>
    <row r="5292" spans="24:41" x14ac:dyDescent="0.4">
      <c r="X5292"/>
      <c r="AO5292"/>
    </row>
    <row r="5293" spans="24:41" x14ac:dyDescent="0.4">
      <c r="X5293"/>
      <c r="AO5293"/>
    </row>
    <row r="5294" spans="24:41" x14ac:dyDescent="0.4">
      <c r="X5294"/>
      <c r="AO5294"/>
    </row>
    <row r="5295" spans="24:41" x14ac:dyDescent="0.4">
      <c r="X5295"/>
      <c r="AO5295"/>
    </row>
    <row r="5296" spans="24:41" x14ac:dyDescent="0.4">
      <c r="X5296"/>
      <c r="AO5296"/>
    </row>
    <row r="5297" spans="24:41" x14ac:dyDescent="0.4">
      <c r="X5297"/>
      <c r="AO5297"/>
    </row>
    <row r="5298" spans="24:41" x14ac:dyDescent="0.4">
      <c r="X5298"/>
      <c r="AO5298"/>
    </row>
    <row r="5299" spans="24:41" x14ac:dyDescent="0.4">
      <c r="X5299"/>
      <c r="AO5299"/>
    </row>
    <row r="5300" spans="24:41" x14ac:dyDescent="0.4">
      <c r="X5300"/>
      <c r="AO5300"/>
    </row>
    <row r="5301" spans="24:41" x14ac:dyDescent="0.4">
      <c r="X5301"/>
      <c r="AO5301"/>
    </row>
    <row r="5302" spans="24:41" x14ac:dyDescent="0.4">
      <c r="X5302"/>
      <c r="AO5302"/>
    </row>
    <row r="5303" spans="24:41" x14ac:dyDescent="0.4">
      <c r="X5303"/>
      <c r="AO5303"/>
    </row>
    <row r="5304" spans="24:41" x14ac:dyDescent="0.4">
      <c r="X5304"/>
      <c r="AO5304"/>
    </row>
    <row r="5305" spans="24:41" x14ac:dyDescent="0.4">
      <c r="X5305"/>
      <c r="AO5305"/>
    </row>
    <row r="5306" spans="24:41" x14ac:dyDescent="0.4">
      <c r="X5306"/>
      <c r="AO5306"/>
    </row>
    <row r="5307" spans="24:41" x14ac:dyDescent="0.4">
      <c r="X5307"/>
      <c r="AO5307"/>
    </row>
    <row r="5308" spans="24:41" x14ac:dyDescent="0.4">
      <c r="X5308"/>
      <c r="AO5308"/>
    </row>
    <row r="5309" spans="24:41" x14ac:dyDescent="0.4">
      <c r="X5309"/>
      <c r="AO5309"/>
    </row>
    <row r="5310" spans="24:41" x14ac:dyDescent="0.4">
      <c r="X5310"/>
      <c r="AO5310"/>
    </row>
    <row r="5311" spans="24:41" x14ac:dyDescent="0.4">
      <c r="X5311"/>
      <c r="AO5311"/>
    </row>
    <row r="5312" spans="24:41" x14ac:dyDescent="0.4">
      <c r="X5312"/>
      <c r="AO5312"/>
    </row>
    <row r="5313" spans="24:41" x14ac:dyDescent="0.4">
      <c r="X5313"/>
      <c r="AO5313"/>
    </row>
    <row r="5314" spans="24:41" x14ac:dyDescent="0.4">
      <c r="X5314"/>
      <c r="AO5314"/>
    </row>
    <row r="5315" spans="24:41" x14ac:dyDescent="0.4">
      <c r="X5315"/>
      <c r="AO5315"/>
    </row>
    <row r="5316" spans="24:41" x14ac:dyDescent="0.4">
      <c r="X5316"/>
      <c r="AO5316"/>
    </row>
    <row r="5317" spans="24:41" x14ac:dyDescent="0.4">
      <c r="X5317"/>
      <c r="AO5317"/>
    </row>
    <row r="5318" spans="24:41" x14ac:dyDescent="0.4">
      <c r="X5318"/>
      <c r="AO5318"/>
    </row>
    <row r="5319" spans="24:41" x14ac:dyDescent="0.4">
      <c r="X5319"/>
      <c r="AO5319"/>
    </row>
    <row r="5320" spans="24:41" x14ac:dyDescent="0.4">
      <c r="X5320"/>
      <c r="AO5320"/>
    </row>
    <row r="5321" spans="24:41" x14ac:dyDescent="0.4">
      <c r="X5321"/>
      <c r="AO5321"/>
    </row>
    <row r="5322" spans="24:41" x14ac:dyDescent="0.4">
      <c r="X5322"/>
      <c r="AO5322"/>
    </row>
    <row r="5323" spans="24:41" x14ac:dyDescent="0.4">
      <c r="X5323"/>
      <c r="AO5323"/>
    </row>
    <row r="5324" spans="24:41" x14ac:dyDescent="0.4">
      <c r="X5324"/>
      <c r="AO5324"/>
    </row>
    <row r="5325" spans="24:41" x14ac:dyDescent="0.4">
      <c r="X5325"/>
      <c r="AO5325"/>
    </row>
    <row r="5326" spans="24:41" x14ac:dyDescent="0.4">
      <c r="X5326"/>
      <c r="AO5326"/>
    </row>
    <row r="5327" spans="24:41" x14ac:dyDescent="0.4">
      <c r="X5327"/>
      <c r="AO5327"/>
    </row>
    <row r="5328" spans="24:41" x14ac:dyDescent="0.4">
      <c r="X5328"/>
      <c r="AO5328"/>
    </row>
    <row r="5329" spans="24:41" x14ac:dyDescent="0.4">
      <c r="X5329"/>
      <c r="AO5329"/>
    </row>
    <row r="5330" spans="24:41" x14ac:dyDescent="0.4">
      <c r="X5330"/>
      <c r="AO5330"/>
    </row>
    <row r="5331" spans="24:41" x14ac:dyDescent="0.4">
      <c r="X5331"/>
      <c r="AO5331"/>
    </row>
    <row r="5332" spans="24:41" x14ac:dyDescent="0.4">
      <c r="X5332"/>
      <c r="AO5332"/>
    </row>
    <row r="5333" spans="24:41" x14ac:dyDescent="0.4">
      <c r="X5333"/>
      <c r="AO5333"/>
    </row>
    <row r="5334" spans="24:41" x14ac:dyDescent="0.4">
      <c r="X5334"/>
      <c r="AO5334"/>
    </row>
    <row r="5335" spans="24:41" x14ac:dyDescent="0.4">
      <c r="X5335"/>
      <c r="AO5335"/>
    </row>
    <row r="5336" spans="24:41" x14ac:dyDescent="0.4">
      <c r="X5336"/>
      <c r="AO5336"/>
    </row>
    <row r="5337" spans="24:41" x14ac:dyDescent="0.4">
      <c r="X5337"/>
      <c r="AO5337"/>
    </row>
    <row r="5338" spans="24:41" x14ac:dyDescent="0.4">
      <c r="X5338"/>
      <c r="AO5338"/>
    </row>
    <row r="5339" spans="24:41" x14ac:dyDescent="0.4">
      <c r="X5339"/>
      <c r="AO5339"/>
    </row>
    <row r="5340" spans="24:41" x14ac:dyDescent="0.4">
      <c r="X5340"/>
      <c r="AO5340"/>
    </row>
    <row r="5341" spans="24:41" x14ac:dyDescent="0.4">
      <c r="X5341"/>
      <c r="AO5341"/>
    </row>
    <row r="5342" spans="24:41" x14ac:dyDescent="0.4">
      <c r="X5342"/>
      <c r="AO5342"/>
    </row>
    <row r="5343" spans="24:41" x14ac:dyDescent="0.4">
      <c r="X5343"/>
      <c r="AO5343"/>
    </row>
    <row r="5344" spans="24:41" x14ac:dyDescent="0.4">
      <c r="X5344"/>
      <c r="AO5344"/>
    </row>
    <row r="5345" spans="24:41" x14ac:dyDescent="0.4">
      <c r="X5345"/>
      <c r="AO5345"/>
    </row>
    <row r="5346" spans="24:41" x14ac:dyDescent="0.4">
      <c r="X5346"/>
      <c r="AO5346"/>
    </row>
    <row r="5347" spans="24:41" x14ac:dyDescent="0.4">
      <c r="X5347"/>
      <c r="AO5347"/>
    </row>
    <row r="5348" spans="24:41" x14ac:dyDescent="0.4">
      <c r="X5348"/>
      <c r="AO5348"/>
    </row>
    <row r="5349" spans="24:41" x14ac:dyDescent="0.4">
      <c r="X5349"/>
      <c r="AO5349"/>
    </row>
    <row r="5350" spans="24:41" x14ac:dyDescent="0.4">
      <c r="X5350"/>
      <c r="AO5350"/>
    </row>
    <row r="5351" spans="24:41" x14ac:dyDescent="0.4">
      <c r="X5351"/>
      <c r="AO5351"/>
    </row>
    <row r="5352" spans="24:41" x14ac:dyDescent="0.4">
      <c r="X5352"/>
      <c r="AO5352"/>
    </row>
    <row r="5353" spans="24:41" x14ac:dyDescent="0.4">
      <c r="X5353"/>
      <c r="AO5353"/>
    </row>
    <row r="5354" spans="24:41" x14ac:dyDescent="0.4">
      <c r="X5354"/>
      <c r="AO5354"/>
    </row>
    <row r="5355" spans="24:41" x14ac:dyDescent="0.4">
      <c r="X5355"/>
      <c r="AO5355"/>
    </row>
    <row r="5356" spans="24:41" x14ac:dyDescent="0.4">
      <c r="X5356"/>
      <c r="AO5356"/>
    </row>
    <row r="5357" spans="24:41" x14ac:dyDescent="0.4">
      <c r="X5357"/>
      <c r="AO5357"/>
    </row>
    <row r="5358" spans="24:41" x14ac:dyDescent="0.4">
      <c r="X5358"/>
      <c r="AO5358"/>
    </row>
    <row r="5359" spans="24:41" x14ac:dyDescent="0.4">
      <c r="X5359"/>
      <c r="AO5359"/>
    </row>
    <row r="5360" spans="24:41" x14ac:dyDescent="0.4">
      <c r="X5360"/>
      <c r="AO5360"/>
    </row>
    <row r="5361" spans="24:41" x14ac:dyDescent="0.4">
      <c r="X5361"/>
      <c r="AO5361"/>
    </row>
    <row r="5362" spans="24:41" x14ac:dyDescent="0.4">
      <c r="X5362"/>
      <c r="AO5362"/>
    </row>
    <row r="5363" spans="24:41" x14ac:dyDescent="0.4">
      <c r="X5363"/>
      <c r="AO5363"/>
    </row>
    <row r="5364" spans="24:41" x14ac:dyDescent="0.4">
      <c r="X5364"/>
      <c r="AO5364"/>
    </row>
    <row r="5365" spans="24:41" x14ac:dyDescent="0.4">
      <c r="X5365"/>
      <c r="AO5365"/>
    </row>
    <row r="5366" spans="24:41" x14ac:dyDescent="0.4">
      <c r="X5366"/>
      <c r="AO5366"/>
    </row>
    <row r="5367" spans="24:41" x14ac:dyDescent="0.4">
      <c r="X5367"/>
      <c r="AO5367"/>
    </row>
    <row r="5368" spans="24:41" x14ac:dyDescent="0.4">
      <c r="X5368"/>
      <c r="AO5368"/>
    </row>
    <row r="5369" spans="24:41" x14ac:dyDescent="0.4">
      <c r="X5369"/>
      <c r="AO5369"/>
    </row>
    <row r="5370" spans="24:41" x14ac:dyDescent="0.4">
      <c r="X5370"/>
      <c r="AO5370"/>
    </row>
    <row r="5371" spans="24:41" x14ac:dyDescent="0.4">
      <c r="X5371"/>
      <c r="AO5371"/>
    </row>
    <row r="5372" spans="24:41" x14ac:dyDescent="0.4">
      <c r="X5372"/>
      <c r="AO5372"/>
    </row>
    <row r="5373" spans="24:41" x14ac:dyDescent="0.4">
      <c r="X5373"/>
      <c r="AO5373"/>
    </row>
    <row r="5374" spans="24:41" x14ac:dyDescent="0.4">
      <c r="X5374"/>
      <c r="AO5374"/>
    </row>
    <row r="5375" spans="24:41" x14ac:dyDescent="0.4">
      <c r="X5375"/>
      <c r="AO5375"/>
    </row>
    <row r="5376" spans="24:41" x14ac:dyDescent="0.4">
      <c r="X5376"/>
      <c r="AO5376"/>
    </row>
    <row r="5377" spans="24:41" x14ac:dyDescent="0.4">
      <c r="X5377"/>
      <c r="AO5377"/>
    </row>
    <row r="5378" spans="24:41" x14ac:dyDescent="0.4">
      <c r="X5378"/>
      <c r="AO5378"/>
    </row>
    <row r="5379" spans="24:41" x14ac:dyDescent="0.4">
      <c r="X5379"/>
      <c r="AO5379"/>
    </row>
    <row r="5380" spans="24:41" x14ac:dyDescent="0.4">
      <c r="X5380"/>
      <c r="AO5380"/>
    </row>
    <row r="5381" spans="24:41" x14ac:dyDescent="0.4">
      <c r="X5381"/>
      <c r="AO5381"/>
    </row>
    <row r="5382" spans="24:41" x14ac:dyDescent="0.4">
      <c r="X5382"/>
      <c r="AO5382"/>
    </row>
    <row r="5383" spans="24:41" x14ac:dyDescent="0.4">
      <c r="X5383"/>
      <c r="AO5383"/>
    </row>
    <row r="5384" spans="24:41" x14ac:dyDescent="0.4">
      <c r="X5384"/>
      <c r="AO5384"/>
    </row>
    <row r="5385" spans="24:41" x14ac:dyDescent="0.4">
      <c r="X5385"/>
      <c r="AO5385"/>
    </row>
    <row r="5386" spans="24:41" x14ac:dyDescent="0.4">
      <c r="X5386"/>
      <c r="AO5386"/>
    </row>
    <row r="5387" spans="24:41" x14ac:dyDescent="0.4">
      <c r="X5387"/>
      <c r="AO5387"/>
    </row>
    <row r="5388" spans="24:41" x14ac:dyDescent="0.4">
      <c r="X5388"/>
      <c r="AO5388"/>
    </row>
    <row r="5389" spans="24:41" x14ac:dyDescent="0.4">
      <c r="X5389"/>
      <c r="AO5389"/>
    </row>
    <row r="5390" spans="24:41" x14ac:dyDescent="0.4">
      <c r="X5390"/>
      <c r="AO5390"/>
    </row>
    <row r="5391" spans="24:41" x14ac:dyDescent="0.4">
      <c r="X5391"/>
      <c r="AO5391"/>
    </row>
    <row r="5392" spans="24:41" x14ac:dyDescent="0.4">
      <c r="X5392"/>
      <c r="AO5392"/>
    </row>
    <row r="5393" spans="24:41" x14ac:dyDescent="0.4">
      <c r="X5393"/>
      <c r="AO5393"/>
    </row>
    <row r="5394" spans="24:41" x14ac:dyDescent="0.4">
      <c r="X5394"/>
      <c r="AO5394"/>
    </row>
    <row r="5395" spans="24:41" x14ac:dyDescent="0.4">
      <c r="X5395"/>
      <c r="AO5395"/>
    </row>
    <row r="5396" spans="24:41" x14ac:dyDescent="0.4">
      <c r="X5396"/>
      <c r="AO5396"/>
    </row>
    <row r="5397" spans="24:41" x14ac:dyDescent="0.4">
      <c r="X5397"/>
      <c r="AO5397"/>
    </row>
    <row r="5398" spans="24:41" x14ac:dyDescent="0.4">
      <c r="X5398"/>
      <c r="AO5398"/>
    </row>
    <row r="5399" spans="24:41" x14ac:dyDescent="0.4">
      <c r="X5399"/>
      <c r="AO5399"/>
    </row>
    <row r="5400" spans="24:41" x14ac:dyDescent="0.4">
      <c r="X5400"/>
      <c r="AO5400"/>
    </row>
    <row r="5401" spans="24:41" x14ac:dyDescent="0.4">
      <c r="X5401"/>
      <c r="AO5401"/>
    </row>
    <row r="5402" spans="24:41" x14ac:dyDescent="0.4">
      <c r="X5402"/>
      <c r="AO5402"/>
    </row>
    <row r="5403" spans="24:41" x14ac:dyDescent="0.4">
      <c r="X5403"/>
      <c r="AO5403"/>
    </row>
    <row r="5404" spans="24:41" x14ac:dyDescent="0.4">
      <c r="X5404"/>
      <c r="AO5404"/>
    </row>
    <row r="5405" spans="24:41" x14ac:dyDescent="0.4">
      <c r="X5405"/>
      <c r="AO5405"/>
    </row>
    <row r="5406" spans="24:41" x14ac:dyDescent="0.4">
      <c r="X5406"/>
      <c r="AO5406"/>
    </row>
    <row r="5407" spans="24:41" x14ac:dyDescent="0.4">
      <c r="X5407"/>
      <c r="AO5407"/>
    </row>
    <row r="5408" spans="24:41" x14ac:dyDescent="0.4">
      <c r="X5408"/>
      <c r="AO5408"/>
    </row>
    <row r="5409" spans="24:41" x14ac:dyDescent="0.4">
      <c r="X5409"/>
      <c r="AO5409"/>
    </row>
    <row r="5410" spans="24:41" x14ac:dyDescent="0.4">
      <c r="X5410"/>
      <c r="AO5410"/>
    </row>
    <row r="5411" spans="24:41" x14ac:dyDescent="0.4">
      <c r="X5411"/>
      <c r="AO5411"/>
    </row>
    <row r="5412" spans="24:41" x14ac:dyDescent="0.4">
      <c r="X5412"/>
      <c r="AO5412"/>
    </row>
    <row r="5413" spans="24:41" x14ac:dyDescent="0.4">
      <c r="X5413"/>
      <c r="AO5413"/>
    </row>
    <row r="5414" spans="24:41" x14ac:dyDescent="0.4">
      <c r="X5414"/>
      <c r="AO5414"/>
    </row>
    <row r="5415" spans="24:41" x14ac:dyDescent="0.4">
      <c r="X5415"/>
      <c r="AO5415"/>
    </row>
    <row r="5416" spans="24:41" x14ac:dyDescent="0.4">
      <c r="X5416"/>
      <c r="AO5416"/>
    </row>
    <row r="5417" spans="24:41" x14ac:dyDescent="0.4">
      <c r="X5417"/>
      <c r="AO5417"/>
    </row>
    <row r="5418" spans="24:41" x14ac:dyDescent="0.4">
      <c r="X5418"/>
      <c r="AO5418"/>
    </row>
    <row r="5419" spans="24:41" x14ac:dyDescent="0.4">
      <c r="X5419"/>
      <c r="AO5419"/>
    </row>
    <row r="5420" spans="24:41" x14ac:dyDescent="0.4">
      <c r="X5420"/>
      <c r="AO5420"/>
    </row>
    <row r="5421" spans="24:41" x14ac:dyDescent="0.4">
      <c r="X5421"/>
      <c r="AO5421"/>
    </row>
    <row r="5422" spans="24:41" x14ac:dyDescent="0.4">
      <c r="X5422"/>
      <c r="AO5422"/>
    </row>
    <row r="5423" spans="24:41" x14ac:dyDescent="0.4">
      <c r="X5423"/>
      <c r="AO5423"/>
    </row>
    <row r="5424" spans="24:41" x14ac:dyDescent="0.4">
      <c r="X5424"/>
      <c r="AO5424"/>
    </row>
    <row r="5425" spans="24:41" x14ac:dyDescent="0.4">
      <c r="X5425"/>
      <c r="AO5425"/>
    </row>
    <row r="5426" spans="24:41" x14ac:dyDescent="0.4">
      <c r="X5426"/>
      <c r="AO5426"/>
    </row>
    <row r="5427" spans="24:41" x14ac:dyDescent="0.4">
      <c r="X5427"/>
      <c r="AO5427"/>
    </row>
    <row r="5428" spans="24:41" x14ac:dyDescent="0.4">
      <c r="X5428"/>
      <c r="AO5428"/>
    </row>
    <row r="5429" spans="24:41" x14ac:dyDescent="0.4">
      <c r="X5429"/>
      <c r="AO5429"/>
    </row>
    <row r="5430" spans="24:41" x14ac:dyDescent="0.4">
      <c r="X5430"/>
      <c r="AO5430"/>
    </row>
    <row r="5431" spans="24:41" x14ac:dyDescent="0.4">
      <c r="X5431"/>
      <c r="AO5431"/>
    </row>
    <row r="5432" spans="24:41" x14ac:dyDescent="0.4">
      <c r="X5432"/>
      <c r="AO5432"/>
    </row>
    <row r="5433" spans="24:41" x14ac:dyDescent="0.4">
      <c r="X5433"/>
      <c r="AO5433"/>
    </row>
    <row r="5434" spans="24:41" x14ac:dyDescent="0.4">
      <c r="X5434"/>
      <c r="AO5434"/>
    </row>
    <row r="5435" spans="24:41" x14ac:dyDescent="0.4">
      <c r="X5435"/>
      <c r="AO5435"/>
    </row>
    <row r="5436" spans="24:41" x14ac:dyDescent="0.4">
      <c r="X5436"/>
      <c r="AO5436"/>
    </row>
    <row r="5437" spans="24:41" x14ac:dyDescent="0.4">
      <c r="X5437"/>
      <c r="AO5437"/>
    </row>
    <row r="5438" spans="24:41" x14ac:dyDescent="0.4">
      <c r="X5438"/>
      <c r="AO5438"/>
    </row>
    <row r="5439" spans="24:41" x14ac:dyDescent="0.4">
      <c r="X5439"/>
      <c r="AO5439"/>
    </row>
    <row r="5440" spans="24:41" x14ac:dyDescent="0.4">
      <c r="X5440"/>
      <c r="AO5440"/>
    </row>
    <row r="5441" spans="24:41" x14ac:dyDescent="0.4">
      <c r="X5441"/>
      <c r="AO5441"/>
    </row>
    <row r="5442" spans="24:41" x14ac:dyDescent="0.4">
      <c r="X5442"/>
      <c r="AO5442"/>
    </row>
    <row r="5443" spans="24:41" x14ac:dyDescent="0.4">
      <c r="X5443"/>
      <c r="AO5443"/>
    </row>
    <row r="5444" spans="24:41" x14ac:dyDescent="0.4">
      <c r="X5444"/>
      <c r="AO5444"/>
    </row>
    <row r="5445" spans="24:41" x14ac:dyDescent="0.4">
      <c r="X5445"/>
      <c r="AO5445"/>
    </row>
    <row r="5446" spans="24:41" x14ac:dyDescent="0.4">
      <c r="X5446"/>
      <c r="AO5446"/>
    </row>
    <row r="5447" spans="24:41" x14ac:dyDescent="0.4">
      <c r="X5447"/>
      <c r="AO5447"/>
    </row>
    <row r="5448" spans="24:41" x14ac:dyDescent="0.4">
      <c r="X5448"/>
      <c r="AO5448"/>
    </row>
    <row r="5449" spans="24:41" x14ac:dyDescent="0.4">
      <c r="X5449"/>
      <c r="AO5449"/>
    </row>
    <row r="5450" spans="24:41" x14ac:dyDescent="0.4">
      <c r="X5450"/>
      <c r="AO5450"/>
    </row>
    <row r="5451" spans="24:41" x14ac:dyDescent="0.4">
      <c r="X5451"/>
      <c r="AO5451"/>
    </row>
    <row r="5452" spans="24:41" x14ac:dyDescent="0.4">
      <c r="X5452"/>
      <c r="AO5452"/>
    </row>
    <row r="5453" spans="24:41" x14ac:dyDescent="0.4">
      <c r="X5453"/>
      <c r="AO5453"/>
    </row>
    <row r="5454" spans="24:41" x14ac:dyDescent="0.4">
      <c r="X5454"/>
      <c r="AO5454"/>
    </row>
    <row r="5455" spans="24:41" x14ac:dyDescent="0.4">
      <c r="X5455"/>
      <c r="AO5455"/>
    </row>
    <row r="5456" spans="24:41" x14ac:dyDescent="0.4">
      <c r="X5456"/>
      <c r="AO5456"/>
    </row>
    <row r="5457" spans="24:41" x14ac:dyDescent="0.4">
      <c r="X5457"/>
      <c r="AO5457"/>
    </row>
    <row r="5458" spans="24:41" x14ac:dyDescent="0.4">
      <c r="X5458"/>
      <c r="AO5458"/>
    </row>
    <row r="5459" spans="24:41" x14ac:dyDescent="0.4">
      <c r="X5459"/>
      <c r="AO5459"/>
    </row>
    <row r="5460" spans="24:41" x14ac:dyDescent="0.4">
      <c r="X5460"/>
      <c r="AO5460"/>
    </row>
    <row r="5461" spans="24:41" x14ac:dyDescent="0.4">
      <c r="X5461"/>
      <c r="AO5461"/>
    </row>
    <row r="5462" spans="24:41" x14ac:dyDescent="0.4">
      <c r="X5462"/>
      <c r="AO5462"/>
    </row>
    <row r="5463" spans="24:41" x14ac:dyDescent="0.4">
      <c r="X5463"/>
      <c r="AO5463"/>
    </row>
    <row r="5464" spans="24:41" x14ac:dyDescent="0.4">
      <c r="X5464"/>
      <c r="AO5464"/>
    </row>
    <row r="5465" spans="24:41" x14ac:dyDescent="0.4">
      <c r="X5465"/>
      <c r="AO5465"/>
    </row>
    <row r="5466" spans="24:41" x14ac:dyDescent="0.4">
      <c r="X5466"/>
      <c r="AO5466"/>
    </row>
    <row r="5467" spans="24:41" x14ac:dyDescent="0.4">
      <c r="X5467"/>
      <c r="AO5467"/>
    </row>
    <row r="5468" spans="24:41" x14ac:dyDescent="0.4">
      <c r="X5468"/>
      <c r="AO5468"/>
    </row>
    <row r="5469" spans="24:41" x14ac:dyDescent="0.4">
      <c r="X5469"/>
      <c r="AO5469"/>
    </row>
    <row r="5470" spans="24:41" x14ac:dyDescent="0.4">
      <c r="X5470"/>
      <c r="AO5470"/>
    </row>
    <row r="5471" spans="24:41" x14ac:dyDescent="0.4">
      <c r="X5471"/>
      <c r="AO5471"/>
    </row>
    <row r="5472" spans="24:41" x14ac:dyDescent="0.4">
      <c r="X5472"/>
      <c r="AO5472"/>
    </row>
    <row r="5473" spans="24:41" x14ac:dyDescent="0.4">
      <c r="X5473"/>
      <c r="AO5473"/>
    </row>
    <row r="5474" spans="24:41" x14ac:dyDescent="0.4">
      <c r="X5474"/>
      <c r="AO5474"/>
    </row>
    <row r="5475" spans="24:41" x14ac:dyDescent="0.4">
      <c r="X5475"/>
      <c r="AO5475"/>
    </row>
    <row r="5476" spans="24:41" x14ac:dyDescent="0.4">
      <c r="X5476"/>
      <c r="AO5476"/>
    </row>
    <row r="5477" spans="24:41" x14ac:dyDescent="0.4">
      <c r="X5477"/>
      <c r="AO5477"/>
    </row>
    <row r="5478" spans="24:41" x14ac:dyDescent="0.4">
      <c r="X5478"/>
      <c r="AO5478"/>
    </row>
    <row r="5479" spans="24:41" x14ac:dyDescent="0.4">
      <c r="X5479"/>
      <c r="AO5479"/>
    </row>
    <row r="5480" spans="24:41" x14ac:dyDescent="0.4">
      <c r="X5480"/>
      <c r="AO5480"/>
    </row>
    <row r="5481" spans="24:41" x14ac:dyDescent="0.4">
      <c r="X5481"/>
      <c r="AO5481"/>
    </row>
    <row r="5482" spans="24:41" x14ac:dyDescent="0.4">
      <c r="X5482"/>
      <c r="AO5482"/>
    </row>
    <row r="5483" spans="24:41" x14ac:dyDescent="0.4">
      <c r="X5483"/>
      <c r="AO5483"/>
    </row>
    <row r="5484" spans="24:41" x14ac:dyDescent="0.4">
      <c r="X5484"/>
      <c r="AO5484"/>
    </row>
    <row r="5485" spans="24:41" x14ac:dyDescent="0.4">
      <c r="X5485"/>
      <c r="AO5485"/>
    </row>
    <row r="5486" spans="24:41" x14ac:dyDescent="0.4">
      <c r="X5486"/>
      <c r="AO5486"/>
    </row>
    <row r="5487" spans="24:41" x14ac:dyDescent="0.4">
      <c r="X5487"/>
      <c r="AO5487"/>
    </row>
    <row r="5488" spans="24:41" x14ac:dyDescent="0.4">
      <c r="X5488"/>
      <c r="AO5488"/>
    </row>
    <row r="5489" spans="24:41" x14ac:dyDescent="0.4">
      <c r="X5489"/>
      <c r="AO5489"/>
    </row>
    <row r="5490" spans="24:41" x14ac:dyDescent="0.4">
      <c r="X5490"/>
      <c r="AO5490"/>
    </row>
    <row r="5491" spans="24:41" x14ac:dyDescent="0.4">
      <c r="X5491"/>
      <c r="AO5491"/>
    </row>
    <row r="5492" spans="24:41" x14ac:dyDescent="0.4">
      <c r="X5492"/>
      <c r="AO5492"/>
    </row>
    <row r="5493" spans="24:41" x14ac:dyDescent="0.4">
      <c r="X5493"/>
      <c r="AO5493"/>
    </row>
    <row r="5494" spans="24:41" x14ac:dyDescent="0.4">
      <c r="X5494"/>
      <c r="AO5494"/>
    </row>
    <row r="5495" spans="24:41" x14ac:dyDescent="0.4">
      <c r="X5495"/>
      <c r="AO5495"/>
    </row>
    <row r="5496" spans="24:41" x14ac:dyDescent="0.4">
      <c r="X5496"/>
      <c r="AO5496"/>
    </row>
    <row r="5497" spans="24:41" x14ac:dyDescent="0.4">
      <c r="X5497"/>
      <c r="AO5497"/>
    </row>
    <row r="5498" spans="24:41" x14ac:dyDescent="0.4">
      <c r="X5498"/>
      <c r="AO5498"/>
    </row>
    <row r="5499" spans="24:41" x14ac:dyDescent="0.4">
      <c r="X5499"/>
      <c r="AO5499"/>
    </row>
    <row r="5500" spans="24:41" x14ac:dyDescent="0.4">
      <c r="X5500"/>
      <c r="AO5500"/>
    </row>
    <row r="5501" spans="24:41" x14ac:dyDescent="0.4">
      <c r="X5501"/>
      <c r="AO5501"/>
    </row>
    <row r="5502" spans="24:41" x14ac:dyDescent="0.4">
      <c r="X5502"/>
      <c r="AO5502"/>
    </row>
    <row r="5503" spans="24:41" x14ac:dyDescent="0.4">
      <c r="X5503"/>
      <c r="AO5503"/>
    </row>
    <row r="5504" spans="24:41" x14ac:dyDescent="0.4">
      <c r="X5504"/>
      <c r="AO5504"/>
    </row>
    <row r="5505" spans="24:41" x14ac:dyDescent="0.4">
      <c r="X5505"/>
      <c r="AO5505"/>
    </row>
    <row r="5506" spans="24:41" x14ac:dyDescent="0.4">
      <c r="X5506"/>
      <c r="AO5506"/>
    </row>
    <row r="5507" spans="24:41" x14ac:dyDescent="0.4">
      <c r="X5507"/>
      <c r="AO5507"/>
    </row>
    <row r="5508" spans="24:41" x14ac:dyDescent="0.4">
      <c r="X5508"/>
      <c r="AO5508"/>
    </row>
    <row r="5509" spans="24:41" x14ac:dyDescent="0.4">
      <c r="X5509"/>
      <c r="AO5509"/>
    </row>
    <row r="5510" spans="24:41" x14ac:dyDescent="0.4">
      <c r="X5510"/>
      <c r="AO5510"/>
    </row>
    <row r="5511" spans="24:41" x14ac:dyDescent="0.4">
      <c r="X5511"/>
      <c r="AO5511"/>
    </row>
    <row r="5512" spans="24:41" x14ac:dyDescent="0.4">
      <c r="X5512"/>
      <c r="AO5512"/>
    </row>
    <row r="5513" spans="24:41" x14ac:dyDescent="0.4">
      <c r="X5513"/>
      <c r="AO5513"/>
    </row>
    <row r="5514" spans="24:41" x14ac:dyDescent="0.4">
      <c r="X5514"/>
      <c r="AO5514"/>
    </row>
    <row r="5515" spans="24:41" x14ac:dyDescent="0.4">
      <c r="X5515"/>
      <c r="AO5515"/>
    </row>
    <row r="5516" spans="24:41" x14ac:dyDescent="0.4">
      <c r="X5516"/>
      <c r="AO5516"/>
    </row>
    <row r="5517" spans="24:41" x14ac:dyDescent="0.4">
      <c r="X5517"/>
      <c r="AO5517"/>
    </row>
    <row r="5518" spans="24:41" x14ac:dyDescent="0.4">
      <c r="X5518"/>
      <c r="AO5518"/>
    </row>
    <row r="5519" spans="24:41" x14ac:dyDescent="0.4">
      <c r="X5519"/>
      <c r="AO5519"/>
    </row>
    <row r="5520" spans="24:41" x14ac:dyDescent="0.4">
      <c r="X5520"/>
      <c r="AO5520"/>
    </row>
    <row r="5521" spans="24:41" x14ac:dyDescent="0.4">
      <c r="X5521"/>
      <c r="AO5521"/>
    </row>
    <row r="5522" spans="24:41" x14ac:dyDescent="0.4">
      <c r="X5522"/>
      <c r="AO5522"/>
    </row>
    <row r="5523" spans="24:41" x14ac:dyDescent="0.4">
      <c r="X5523"/>
      <c r="AO5523"/>
    </row>
    <row r="5524" spans="24:41" x14ac:dyDescent="0.4">
      <c r="X5524"/>
      <c r="AO5524"/>
    </row>
    <row r="5525" spans="24:41" x14ac:dyDescent="0.4">
      <c r="X5525"/>
      <c r="AO5525"/>
    </row>
    <row r="5526" spans="24:41" x14ac:dyDescent="0.4">
      <c r="X5526"/>
      <c r="AO5526"/>
    </row>
    <row r="5527" spans="24:41" x14ac:dyDescent="0.4">
      <c r="X5527"/>
      <c r="AO5527"/>
    </row>
    <row r="5528" spans="24:41" x14ac:dyDescent="0.4">
      <c r="X5528"/>
      <c r="AO5528"/>
    </row>
    <row r="5529" spans="24:41" x14ac:dyDescent="0.4">
      <c r="X5529"/>
      <c r="AO5529"/>
    </row>
    <row r="5530" spans="24:41" x14ac:dyDescent="0.4">
      <c r="X5530"/>
      <c r="AO5530"/>
    </row>
    <row r="5531" spans="24:41" x14ac:dyDescent="0.4">
      <c r="X5531"/>
      <c r="AO5531"/>
    </row>
    <row r="5532" spans="24:41" x14ac:dyDescent="0.4">
      <c r="X5532"/>
      <c r="AO5532"/>
    </row>
    <row r="5533" spans="24:41" x14ac:dyDescent="0.4">
      <c r="X5533"/>
      <c r="AO5533"/>
    </row>
    <row r="5534" spans="24:41" x14ac:dyDescent="0.4">
      <c r="X5534"/>
      <c r="AO5534"/>
    </row>
    <row r="5535" spans="24:41" x14ac:dyDescent="0.4">
      <c r="X5535"/>
      <c r="AO5535"/>
    </row>
    <row r="5536" spans="24:41" x14ac:dyDescent="0.4">
      <c r="X5536"/>
      <c r="AO5536"/>
    </row>
    <row r="5537" spans="24:41" x14ac:dyDescent="0.4">
      <c r="X5537"/>
      <c r="AO5537"/>
    </row>
    <row r="5538" spans="24:41" x14ac:dyDescent="0.4">
      <c r="X5538"/>
      <c r="AO5538"/>
    </row>
    <row r="5539" spans="24:41" x14ac:dyDescent="0.4">
      <c r="X5539"/>
      <c r="AO5539"/>
    </row>
    <row r="5540" spans="24:41" x14ac:dyDescent="0.4">
      <c r="X5540"/>
      <c r="AO5540"/>
    </row>
    <row r="5541" spans="24:41" x14ac:dyDescent="0.4">
      <c r="X5541"/>
      <c r="AO5541"/>
    </row>
    <row r="5542" spans="24:41" x14ac:dyDescent="0.4">
      <c r="X5542"/>
      <c r="AO5542"/>
    </row>
    <row r="5543" spans="24:41" x14ac:dyDescent="0.4">
      <c r="X5543"/>
      <c r="AO5543"/>
    </row>
    <row r="5544" spans="24:41" x14ac:dyDescent="0.4">
      <c r="X5544"/>
      <c r="AO5544"/>
    </row>
    <row r="5545" spans="24:41" x14ac:dyDescent="0.4">
      <c r="X5545"/>
      <c r="AO5545"/>
    </row>
    <row r="5546" spans="24:41" x14ac:dyDescent="0.4">
      <c r="X5546"/>
      <c r="AO5546"/>
    </row>
    <row r="5547" spans="24:41" x14ac:dyDescent="0.4">
      <c r="X5547"/>
      <c r="AO5547"/>
    </row>
    <row r="5548" spans="24:41" x14ac:dyDescent="0.4">
      <c r="X5548"/>
      <c r="AO5548"/>
    </row>
    <row r="5549" spans="24:41" x14ac:dyDescent="0.4">
      <c r="X5549"/>
      <c r="AO5549"/>
    </row>
    <row r="5550" spans="24:41" x14ac:dyDescent="0.4">
      <c r="X5550"/>
      <c r="AO5550"/>
    </row>
    <row r="5551" spans="24:41" x14ac:dyDescent="0.4">
      <c r="X5551"/>
      <c r="AO5551"/>
    </row>
    <row r="5552" spans="24:41" x14ac:dyDescent="0.4">
      <c r="X5552"/>
      <c r="AO5552"/>
    </row>
    <row r="5553" spans="24:41" x14ac:dyDescent="0.4">
      <c r="X5553"/>
      <c r="AO5553"/>
    </row>
    <row r="5554" spans="24:41" x14ac:dyDescent="0.4">
      <c r="X5554"/>
      <c r="AO5554"/>
    </row>
    <row r="5555" spans="24:41" x14ac:dyDescent="0.4">
      <c r="X5555"/>
      <c r="AO5555"/>
    </row>
    <row r="5556" spans="24:41" x14ac:dyDescent="0.4">
      <c r="X5556"/>
      <c r="AO5556"/>
    </row>
    <row r="5557" spans="24:41" x14ac:dyDescent="0.4">
      <c r="X5557"/>
      <c r="AO5557"/>
    </row>
    <row r="5558" spans="24:41" x14ac:dyDescent="0.4">
      <c r="X5558"/>
      <c r="AO5558"/>
    </row>
    <row r="5559" spans="24:41" x14ac:dyDescent="0.4">
      <c r="X5559"/>
      <c r="AO5559"/>
    </row>
    <row r="5560" spans="24:41" x14ac:dyDescent="0.4">
      <c r="X5560"/>
      <c r="AO5560"/>
    </row>
    <row r="5561" spans="24:41" x14ac:dyDescent="0.4">
      <c r="X5561"/>
      <c r="AO5561"/>
    </row>
    <row r="5562" spans="24:41" x14ac:dyDescent="0.4">
      <c r="X5562"/>
      <c r="AO5562"/>
    </row>
    <row r="5563" spans="24:41" x14ac:dyDescent="0.4">
      <c r="X5563"/>
      <c r="AO5563"/>
    </row>
    <row r="5564" spans="24:41" x14ac:dyDescent="0.4">
      <c r="X5564"/>
      <c r="AO5564"/>
    </row>
    <row r="5565" spans="24:41" x14ac:dyDescent="0.4">
      <c r="X5565"/>
      <c r="AO5565"/>
    </row>
    <row r="5566" spans="24:41" x14ac:dyDescent="0.4">
      <c r="X5566"/>
      <c r="AO5566"/>
    </row>
    <row r="5567" spans="24:41" x14ac:dyDescent="0.4">
      <c r="X5567"/>
      <c r="AO5567"/>
    </row>
    <row r="5568" spans="24:41" x14ac:dyDescent="0.4">
      <c r="X5568"/>
      <c r="AO5568"/>
    </row>
    <row r="5569" spans="24:41" x14ac:dyDescent="0.4">
      <c r="X5569"/>
      <c r="AO5569"/>
    </row>
    <row r="5570" spans="24:41" x14ac:dyDescent="0.4">
      <c r="X5570"/>
      <c r="AO5570"/>
    </row>
    <row r="5571" spans="24:41" x14ac:dyDescent="0.4">
      <c r="X5571"/>
      <c r="AO5571"/>
    </row>
    <row r="5572" spans="24:41" x14ac:dyDescent="0.4">
      <c r="X5572"/>
      <c r="AO5572"/>
    </row>
    <row r="5573" spans="24:41" x14ac:dyDescent="0.4">
      <c r="X5573"/>
      <c r="AO5573"/>
    </row>
    <row r="5574" spans="24:41" x14ac:dyDescent="0.4">
      <c r="X5574"/>
      <c r="AO5574"/>
    </row>
    <row r="5575" spans="24:41" x14ac:dyDescent="0.4">
      <c r="X5575"/>
      <c r="AO5575"/>
    </row>
    <row r="5576" spans="24:41" x14ac:dyDescent="0.4">
      <c r="X5576"/>
      <c r="AO5576"/>
    </row>
    <row r="5577" spans="24:41" x14ac:dyDescent="0.4">
      <c r="X5577"/>
      <c r="AO5577"/>
    </row>
    <row r="5578" spans="24:41" x14ac:dyDescent="0.4">
      <c r="X5578"/>
      <c r="AO5578"/>
    </row>
    <row r="5579" spans="24:41" x14ac:dyDescent="0.4">
      <c r="X5579"/>
      <c r="AO5579"/>
    </row>
    <row r="5580" spans="24:41" x14ac:dyDescent="0.4">
      <c r="X5580"/>
      <c r="AO5580"/>
    </row>
    <row r="5581" spans="24:41" x14ac:dyDescent="0.4">
      <c r="X5581"/>
      <c r="AO5581"/>
    </row>
    <row r="5582" spans="24:41" x14ac:dyDescent="0.4">
      <c r="X5582"/>
      <c r="AO5582"/>
    </row>
    <row r="5583" spans="24:41" x14ac:dyDescent="0.4">
      <c r="X5583"/>
      <c r="AO5583"/>
    </row>
    <row r="5584" spans="24:41" x14ac:dyDescent="0.4">
      <c r="X5584"/>
      <c r="AO5584"/>
    </row>
    <row r="5585" spans="24:41" x14ac:dyDescent="0.4">
      <c r="X5585"/>
      <c r="AO5585"/>
    </row>
    <row r="5586" spans="24:41" x14ac:dyDescent="0.4">
      <c r="X5586"/>
      <c r="AO5586"/>
    </row>
    <row r="5587" spans="24:41" x14ac:dyDescent="0.4">
      <c r="X5587"/>
      <c r="AO5587"/>
    </row>
    <row r="5588" spans="24:41" x14ac:dyDescent="0.4">
      <c r="X5588"/>
      <c r="AO5588"/>
    </row>
    <row r="5589" spans="24:41" x14ac:dyDescent="0.4">
      <c r="X5589"/>
      <c r="AO5589"/>
    </row>
    <row r="5590" spans="24:41" x14ac:dyDescent="0.4">
      <c r="X5590"/>
      <c r="AO5590"/>
    </row>
    <row r="5591" spans="24:41" x14ac:dyDescent="0.4">
      <c r="X5591"/>
      <c r="AO5591"/>
    </row>
    <row r="5592" spans="24:41" x14ac:dyDescent="0.4">
      <c r="X5592"/>
      <c r="AO5592"/>
    </row>
    <row r="5593" spans="24:41" x14ac:dyDescent="0.4">
      <c r="X5593"/>
      <c r="AO5593"/>
    </row>
    <row r="5594" spans="24:41" x14ac:dyDescent="0.4">
      <c r="X5594"/>
      <c r="AO5594"/>
    </row>
    <row r="5595" spans="24:41" x14ac:dyDescent="0.4">
      <c r="X5595"/>
      <c r="AO5595"/>
    </row>
    <row r="5596" spans="24:41" x14ac:dyDescent="0.4">
      <c r="X5596"/>
      <c r="AO5596"/>
    </row>
    <row r="5597" spans="24:41" x14ac:dyDescent="0.4">
      <c r="X5597"/>
      <c r="AO5597"/>
    </row>
    <row r="5598" spans="24:41" x14ac:dyDescent="0.4">
      <c r="X5598"/>
      <c r="AO5598"/>
    </row>
    <row r="5599" spans="24:41" x14ac:dyDescent="0.4">
      <c r="X5599"/>
      <c r="AO5599"/>
    </row>
    <row r="5600" spans="24:41" x14ac:dyDescent="0.4">
      <c r="X5600"/>
      <c r="AO5600"/>
    </row>
    <row r="5601" spans="24:41" x14ac:dyDescent="0.4">
      <c r="X5601"/>
      <c r="AO5601"/>
    </row>
    <row r="5602" spans="24:41" x14ac:dyDescent="0.4">
      <c r="X5602"/>
      <c r="AO5602"/>
    </row>
    <row r="5603" spans="24:41" x14ac:dyDescent="0.4">
      <c r="X5603"/>
      <c r="AO5603"/>
    </row>
    <row r="5604" spans="24:41" x14ac:dyDescent="0.4">
      <c r="X5604"/>
      <c r="AO5604"/>
    </row>
    <row r="5605" spans="24:41" x14ac:dyDescent="0.4">
      <c r="X5605"/>
      <c r="AO5605"/>
    </row>
    <row r="5606" spans="24:41" x14ac:dyDescent="0.4">
      <c r="X5606"/>
      <c r="AO5606"/>
    </row>
    <row r="5607" spans="24:41" x14ac:dyDescent="0.4">
      <c r="X5607"/>
      <c r="AO5607"/>
    </row>
    <row r="5608" spans="24:41" x14ac:dyDescent="0.4">
      <c r="X5608"/>
      <c r="AO5608"/>
    </row>
    <row r="5609" spans="24:41" x14ac:dyDescent="0.4">
      <c r="X5609"/>
      <c r="AO5609"/>
    </row>
    <row r="5610" spans="24:41" x14ac:dyDescent="0.4">
      <c r="X5610"/>
      <c r="AO5610"/>
    </row>
    <row r="5611" spans="24:41" x14ac:dyDescent="0.4">
      <c r="X5611"/>
      <c r="AO5611"/>
    </row>
    <row r="5612" spans="24:41" x14ac:dyDescent="0.4">
      <c r="X5612"/>
      <c r="AO5612"/>
    </row>
    <row r="5613" spans="24:41" x14ac:dyDescent="0.4">
      <c r="X5613"/>
      <c r="AO5613"/>
    </row>
    <row r="5614" spans="24:41" x14ac:dyDescent="0.4">
      <c r="X5614"/>
      <c r="AO5614"/>
    </row>
    <row r="5615" spans="24:41" x14ac:dyDescent="0.4">
      <c r="X5615"/>
      <c r="AO5615"/>
    </row>
    <row r="5616" spans="24:41" x14ac:dyDescent="0.4">
      <c r="X5616"/>
      <c r="AO5616"/>
    </row>
    <row r="5617" spans="24:41" x14ac:dyDescent="0.4">
      <c r="X5617"/>
      <c r="AO5617"/>
    </row>
    <row r="5618" spans="24:41" x14ac:dyDescent="0.4">
      <c r="X5618"/>
      <c r="AO5618"/>
    </row>
    <row r="5619" spans="24:41" x14ac:dyDescent="0.4">
      <c r="X5619"/>
      <c r="AO5619"/>
    </row>
    <row r="5620" spans="24:41" x14ac:dyDescent="0.4">
      <c r="X5620"/>
      <c r="AO5620"/>
    </row>
    <row r="5621" spans="24:41" x14ac:dyDescent="0.4">
      <c r="X5621"/>
      <c r="AO5621"/>
    </row>
    <row r="5622" spans="24:41" x14ac:dyDescent="0.4">
      <c r="X5622"/>
      <c r="AO5622"/>
    </row>
    <row r="5623" spans="24:41" x14ac:dyDescent="0.4">
      <c r="X5623"/>
      <c r="AO5623"/>
    </row>
    <row r="5624" spans="24:41" x14ac:dyDescent="0.4">
      <c r="X5624"/>
      <c r="AO5624"/>
    </row>
    <row r="5625" spans="24:41" x14ac:dyDescent="0.4">
      <c r="X5625"/>
      <c r="AO5625"/>
    </row>
    <row r="5626" spans="24:41" x14ac:dyDescent="0.4">
      <c r="X5626"/>
      <c r="AO5626"/>
    </row>
    <row r="5627" spans="24:41" x14ac:dyDescent="0.4">
      <c r="X5627"/>
      <c r="AO5627"/>
    </row>
    <row r="5628" spans="24:41" x14ac:dyDescent="0.4">
      <c r="X5628"/>
      <c r="AO5628"/>
    </row>
    <row r="5629" spans="24:41" x14ac:dyDescent="0.4">
      <c r="X5629"/>
      <c r="AO5629"/>
    </row>
    <row r="5630" spans="24:41" x14ac:dyDescent="0.4">
      <c r="X5630"/>
      <c r="AO5630"/>
    </row>
    <row r="5631" spans="24:41" x14ac:dyDescent="0.4">
      <c r="X5631"/>
      <c r="AO5631"/>
    </row>
    <row r="5632" spans="24:41" x14ac:dyDescent="0.4">
      <c r="X5632"/>
      <c r="AO5632"/>
    </row>
    <row r="5633" spans="24:41" x14ac:dyDescent="0.4">
      <c r="X5633"/>
      <c r="AO5633"/>
    </row>
    <row r="5634" spans="24:41" x14ac:dyDescent="0.4">
      <c r="X5634"/>
      <c r="AO5634"/>
    </row>
    <row r="5635" spans="24:41" x14ac:dyDescent="0.4">
      <c r="X5635"/>
      <c r="AO5635"/>
    </row>
    <row r="5636" spans="24:41" x14ac:dyDescent="0.4">
      <c r="X5636"/>
      <c r="AO5636"/>
    </row>
    <row r="5637" spans="24:41" x14ac:dyDescent="0.4">
      <c r="X5637"/>
      <c r="AO5637"/>
    </row>
    <row r="5638" spans="24:41" x14ac:dyDescent="0.4">
      <c r="X5638"/>
      <c r="AO5638"/>
    </row>
    <row r="5639" spans="24:41" x14ac:dyDescent="0.4">
      <c r="X5639"/>
      <c r="AO5639"/>
    </row>
    <row r="5640" spans="24:41" x14ac:dyDescent="0.4">
      <c r="X5640"/>
      <c r="AO5640"/>
    </row>
    <row r="5641" spans="24:41" x14ac:dyDescent="0.4">
      <c r="X5641"/>
      <c r="AO5641"/>
    </row>
    <row r="5642" spans="24:41" x14ac:dyDescent="0.4">
      <c r="X5642"/>
      <c r="AO5642"/>
    </row>
    <row r="5643" spans="24:41" x14ac:dyDescent="0.4">
      <c r="X5643"/>
      <c r="AO5643"/>
    </row>
    <row r="5644" spans="24:41" x14ac:dyDescent="0.4">
      <c r="X5644"/>
      <c r="AO5644"/>
    </row>
    <row r="5645" spans="24:41" x14ac:dyDescent="0.4">
      <c r="X5645"/>
      <c r="AO5645"/>
    </row>
    <row r="5646" spans="24:41" x14ac:dyDescent="0.4">
      <c r="X5646"/>
      <c r="AO5646"/>
    </row>
    <row r="5647" spans="24:41" x14ac:dyDescent="0.4">
      <c r="X5647"/>
      <c r="AO5647"/>
    </row>
    <row r="5648" spans="24:41" x14ac:dyDescent="0.4">
      <c r="X5648"/>
      <c r="AO5648"/>
    </row>
    <row r="5649" spans="24:41" x14ac:dyDescent="0.4">
      <c r="X5649"/>
      <c r="AO5649"/>
    </row>
    <row r="5650" spans="24:41" x14ac:dyDescent="0.4">
      <c r="X5650"/>
      <c r="AO5650"/>
    </row>
    <row r="5651" spans="24:41" x14ac:dyDescent="0.4">
      <c r="X5651"/>
      <c r="AO5651"/>
    </row>
    <row r="5652" spans="24:41" x14ac:dyDescent="0.4">
      <c r="X5652"/>
      <c r="AO5652"/>
    </row>
    <row r="5653" spans="24:41" x14ac:dyDescent="0.4">
      <c r="X5653"/>
      <c r="AO5653"/>
    </row>
    <row r="5654" spans="24:41" x14ac:dyDescent="0.4">
      <c r="X5654"/>
      <c r="AO5654"/>
    </row>
    <row r="5655" spans="24:41" x14ac:dyDescent="0.4">
      <c r="X5655"/>
      <c r="AO5655"/>
    </row>
    <row r="5656" spans="24:41" x14ac:dyDescent="0.4">
      <c r="X5656"/>
      <c r="AO5656"/>
    </row>
    <row r="5657" spans="24:41" x14ac:dyDescent="0.4">
      <c r="X5657"/>
      <c r="AO5657"/>
    </row>
    <row r="5658" spans="24:41" x14ac:dyDescent="0.4">
      <c r="X5658"/>
      <c r="AO5658"/>
    </row>
    <row r="5659" spans="24:41" x14ac:dyDescent="0.4">
      <c r="X5659"/>
      <c r="AO5659"/>
    </row>
    <row r="5660" spans="24:41" x14ac:dyDescent="0.4">
      <c r="X5660"/>
      <c r="AO5660"/>
    </row>
    <row r="5661" spans="24:41" x14ac:dyDescent="0.4">
      <c r="X5661"/>
      <c r="AO5661"/>
    </row>
    <row r="5662" spans="24:41" x14ac:dyDescent="0.4">
      <c r="X5662"/>
      <c r="AO5662"/>
    </row>
    <row r="5663" spans="24:41" x14ac:dyDescent="0.4">
      <c r="X5663"/>
      <c r="AO5663"/>
    </row>
    <row r="5664" spans="24:41" x14ac:dyDescent="0.4">
      <c r="X5664"/>
      <c r="AO5664"/>
    </row>
    <row r="5665" spans="24:41" x14ac:dyDescent="0.4">
      <c r="X5665"/>
      <c r="AO5665"/>
    </row>
    <row r="5666" spans="24:41" x14ac:dyDescent="0.4">
      <c r="X5666"/>
      <c r="AO5666"/>
    </row>
    <row r="5667" spans="24:41" x14ac:dyDescent="0.4">
      <c r="X5667"/>
      <c r="AO5667"/>
    </row>
    <row r="5668" spans="24:41" x14ac:dyDescent="0.4">
      <c r="X5668"/>
      <c r="AO5668"/>
    </row>
    <row r="5669" spans="24:41" x14ac:dyDescent="0.4">
      <c r="X5669"/>
      <c r="AO5669"/>
    </row>
    <row r="5670" spans="24:41" x14ac:dyDescent="0.4">
      <c r="X5670"/>
      <c r="AO5670"/>
    </row>
    <row r="5671" spans="24:41" x14ac:dyDescent="0.4">
      <c r="X5671"/>
      <c r="AO5671"/>
    </row>
    <row r="5672" spans="24:41" x14ac:dyDescent="0.4">
      <c r="X5672"/>
      <c r="AO5672"/>
    </row>
    <row r="5673" spans="24:41" x14ac:dyDescent="0.4">
      <c r="X5673"/>
      <c r="AO5673"/>
    </row>
    <row r="5674" spans="24:41" x14ac:dyDescent="0.4">
      <c r="X5674"/>
      <c r="AO5674"/>
    </row>
    <row r="5675" spans="24:41" x14ac:dyDescent="0.4">
      <c r="X5675"/>
      <c r="AO5675"/>
    </row>
    <row r="5676" spans="24:41" x14ac:dyDescent="0.4">
      <c r="X5676"/>
      <c r="AO5676"/>
    </row>
    <row r="5677" spans="24:41" x14ac:dyDescent="0.4">
      <c r="X5677"/>
      <c r="AO5677"/>
    </row>
    <row r="5678" spans="24:41" x14ac:dyDescent="0.4">
      <c r="X5678"/>
      <c r="AO5678"/>
    </row>
    <row r="5679" spans="24:41" x14ac:dyDescent="0.4">
      <c r="X5679"/>
      <c r="AO5679"/>
    </row>
    <row r="5680" spans="24:41" x14ac:dyDescent="0.4">
      <c r="X5680"/>
      <c r="AO5680"/>
    </row>
    <row r="5681" spans="24:41" x14ac:dyDescent="0.4">
      <c r="X5681"/>
      <c r="AO5681"/>
    </row>
    <row r="5682" spans="24:41" x14ac:dyDescent="0.4">
      <c r="X5682"/>
      <c r="AO5682"/>
    </row>
    <row r="5683" spans="24:41" x14ac:dyDescent="0.4">
      <c r="X5683"/>
      <c r="AO5683"/>
    </row>
    <row r="5684" spans="24:41" x14ac:dyDescent="0.4">
      <c r="X5684"/>
      <c r="AO5684"/>
    </row>
    <row r="5685" spans="24:41" x14ac:dyDescent="0.4">
      <c r="X5685"/>
      <c r="AO5685"/>
    </row>
    <row r="5686" spans="24:41" x14ac:dyDescent="0.4">
      <c r="X5686"/>
      <c r="AO5686"/>
    </row>
    <row r="5687" spans="24:41" x14ac:dyDescent="0.4">
      <c r="X5687"/>
      <c r="AO5687"/>
    </row>
    <row r="5688" spans="24:41" x14ac:dyDescent="0.4">
      <c r="X5688"/>
      <c r="AO5688"/>
    </row>
    <row r="5689" spans="24:41" x14ac:dyDescent="0.4">
      <c r="X5689"/>
      <c r="AO5689"/>
    </row>
    <row r="5690" spans="24:41" x14ac:dyDescent="0.4">
      <c r="X5690"/>
      <c r="AO5690"/>
    </row>
    <row r="5691" spans="24:41" x14ac:dyDescent="0.4">
      <c r="X5691"/>
      <c r="AO5691"/>
    </row>
    <row r="5692" spans="24:41" x14ac:dyDescent="0.4">
      <c r="X5692"/>
      <c r="AO5692"/>
    </row>
    <row r="5693" spans="24:41" x14ac:dyDescent="0.4">
      <c r="X5693"/>
      <c r="AO5693"/>
    </row>
    <row r="5694" spans="24:41" x14ac:dyDescent="0.4">
      <c r="X5694"/>
      <c r="AO5694"/>
    </row>
    <row r="5695" spans="24:41" x14ac:dyDescent="0.4">
      <c r="X5695"/>
      <c r="AO5695"/>
    </row>
    <row r="5696" spans="24:41" x14ac:dyDescent="0.4">
      <c r="X5696"/>
      <c r="AO5696"/>
    </row>
    <row r="5697" spans="24:41" x14ac:dyDescent="0.4">
      <c r="X5697"/>
      <c r="AO5697"/>
    </row>
    <row r="5698" spans="24:41" x14ac:dyDescent="0.4">
      <c r="X5698"/>
      <c r="AO5698"/>
    </row>
    <row r="5699" spans="24:41" x14ac:dyDescent="0.4">
      <c r="X5699"/>
      <c r="AO5699"/>
    </row>
    <row r="5700" spans="24:41" x14ac:dyDescent="0.4">
      <c r="X5700"/>
      <c r="AO5700"/>
    </row>
    <row r="5701" spans="24:41" x14ac:dyDescent="0.4">
      <c r="X5701"/>
      <c r="AO5701"/>
    </row>
    <row r="5702" spans="24:41" x14ac:dyDescent="0.4">
      <c r="X5702"/>
      <c r="AO5702"/>
    </row>
    <row r="5703" spans="24:41" x14ac:dyDescent="0.4">
      <c r="X5703"/>
      <c r="AO5703"/>
    </row>
    <row r="5704" spans="24:41" x14ac:dyDescent="0.4">
      <c r="X5704"/>
      <c r="AO5704"/>
    </row>
    <row r="5705" spans="24:41" x14ac:dyDescent="0.4">
      <c r="X5705"/>
      <c r="AO5705"/>
    </row>
    <row r="5706" spans="24:41" x14ac:dyDescent="0.4">
      <c r="X5706"/>
      <c r="AO5706"/>
    </row>
    <row r="5707" spans="24:41" x14ac:dyDescent="0.4">
      <c r="X5707"/>
      <c r="AO5707"/>
    </row>
    <row r="5708" spans="24:41" x14ac:dyDescent="0.4">
      <c r="X5708"/>
      <c r="AO5708"/>
    </row>
    <row r="5709" spans="24:41" x14ac:dyDescent="0.4">
      <c r="X5709"/>
      <c r="AO5709"/>
    </row>
    <row r="5710" spans="24:41" x14ac:dyDescent="0.4">
      <c r="X5710"/>
      <c r="AO5710"/>
    </row>
    <row r="5711" spans="24:41" x14ac:dyDescent="0.4">
      <c r="X5711"/>
      <c r="AO5711"/>
    </row>
    <row r="5712" spans="24:41" x14ac:dyDescent="0.4">
      <c r="X5712"/>
      <c r="AO5712"/>
    </row>
    <row r="5713" spans="24:41" x14ac:dyDescent="0.4">
      <c r="X5713"/>
      <c r="AO5713"/>
    </row>
    <row r="5714" spans="24:41" x14ac:dyDescent="0.4">
      <c r="X5714"/>
      <c r="AO5714"/>
    </row>
    <row r="5715" spans="24:41" x14ac:dyDescent="0.4">
      <c r="X5715"/>
      <c r="AO5715"/>
    </row>
    <row r="5716" spans="24:41" x14ac:dyDescent="0.4">
      <c r="X5716"/>
      <c r="AO5716"/>
    </row>
    <row r="5717" spans="24:41" x14ac:dyDescent="0.4">
      <c r="X5717"/>
      <c r="AO5717"/>
    </row>
    <row r="5718" spans="24:41" x14ac:dyDescent="0.4">
      <c r="X5718"/>
      <c r="AO5718"/>
    </row>
    <row r="5719" spans="24:41" x14ac:dyDescent="0.4">
      <c r="X5719"/>
      <c r="AO5719"/>
    </row>
    <row r="5720" spans="24:41" x14ac:dyDescent="0.4">
      <c r="X5720"/>
      <c r="AO5720"/>
    </row>
    <row r="5721" spans="24:41" x14ac:dyDescent="0.4">
      <c r="X5721"/>
      <c r="AO5721"/>
    </row>
    <row r="5722" spans="24:41" x14ac:dyDescent="0.4">
      <c r="X5722"/>
      <c r="AO5722"/>
    </row>
    <row r="5723" spans="24:41" x14ac:dyDescent="0.4">
      <c r="X5723"/>
      <c r="AO5723"/>
    </row>
    <row r="5724" spans="24:41" x14ac:dyDescent="0.4">
      <c r="X5724"/>
      <c r="AO5724"/>
    </row>
    <row r="5725" spans="24:41" x14ac:dyDescent="0.4">
      <c r="X5725"/>
      <c r="AO5725"/>
    </row>
    <row r="5726" spans="24:41" x14ac:dyDescent="0.4">
      <c r="X5726"/>
      <c r="AO5726"/>
    </row>
    <row r="5727" spans="24:41" x14ac:dyDescent="0.4">
      <c r="X5727"/>
      <c r="AO5727"/>
    </row>
    <row r="5728" spans="24:41" x14ac:dyDescent="0.4">
      <c r="X5728"/>
      <c r="AO5728"/>
    </row>
    <row r="5729" spans="24:41" x14ac:dyDescent="0.4">
      <c r="X5729"/>
      <c r="AO5729"/>
    </row>
    <row r="5730" spans="24:41" x14ac:dyDescent="0.4">
      <c r="X5730"/>
      <c r="AO5730"/>
    </row>
    <row r="5731" spans="24:41" x14ac:dyDescent="0.4">
      <c r="X5731"/>
      <c r="AO5731"/>
    </row>
    <row r="5732" spans="24:41" x14ac:dyDescent="0.4">
      <c r="X5732"/>
      <c r="AO5732"/>
    </row>
    <row r="5733" spans="24:41" x14ac:dyDescent="0.4">
      <c r="X5733"/>
      <c r="AO5733"/>
    </row>
    <row r="5734" spans="24:41" x14ac:dyDescent="0.4">
      <c r="X5734"/>
      <c r="AO5734"/>
    </row>
    <row r="5735" spans="24:41" x14ac:dyDescent="0.4">
      <c r="X5735"/>
      <c r="AO5735"/>
    </row>
    <row r="5736" spans="24:41" x14ac:dyDescent="0.4">
      <c r="X5736"/>
      <c r="AO5736"/>
    </row>
    <row r="5737" spans="24:41" x14ac:dyDescent="0.4">
      <c r="X5737"/>
      <c r="AO5737"/>
    </row>
    <row r="5738" spans="24:41" x14ac:dyDescent="0.4">
      <c r="X5738"/>
      <c r="AO5738"/>
    </row>
    <row r="5739" spans="24:41" x14ac:dyDescent="0.4">
      <c r="X5739"/>
      <c r="AO5739"/>
    </row>
    <row r="5740" spans="24:41" x14ac:dyDescent="0.4">
      <c r="X5740"/>
      <c r="AO5740"/>
    </row>
    <row r="5741" spans="24:41" x14ac:dyDescent="0.4">
      <c r="X5741"/>
      <c r="AO5741"/>
    </row>
    <row r="5742" spans="24:41" x14ac:dyDescent="0.4">
      <c r="X5742"/>
      <c r="AO5742"/>
    </row>
    <row r="5743" spans="24:41" x14ac:dyDescent="0.4">
      <c r="X5743"/>
      <c r="AO5743"/>
    </row>
    <row r="5744" spans="24:41" x14ac:dyDescent="0.4">
      <c r="X5744"/>
      <c r="AO5744"/>
    </row>
    <row r="5745" spans="24:41" x14ac:dyDescent="0.4">
      <c r="X5745"/>
      <c r="AO5745"/>
    </row>
    <row r="5746" spans="24:41" x14ac:dyDescent="0.4">
      <c r="X5746"/>
      <c r="AO5746"/>
    </row>
    <row r="5747" spans="24:41" x14ac:dyDescent="0.4">
      <c r="X5747"/>
      <c r="AO5747"/>
    </row>
    <row r="5748" spans="24:41" x14ac:dyDescent="0.4">
      <c r="X5748"/>
      <c r="AO5748"/>
    </row>
    <row r="5749" spans="24:41" x14ac:dyDescent="0.4">
      <c r="X5749"/>
      <c r="AO5749"/>
    </row>
    <row r="5750" spans="24:41" x14ac:dyDescent="0.4">
      <c r="X5750"/>
      <c r="AO5750"/>
    </row>
    <row r="5751" spans="24:41" x14ac:dyDescent="0.4">
      <c r="X5751"/>
      <c r="AO5751"/>
    </row>
    <row r="5752" spans="24:41" x14ac:dyDescent="0.4">
      <c r="X5752"/>
      <c r="AO5752"/>
    </row>
    <row r="5753" spans="24:41" x14ac:dyDescent="0.4">
      <c r="X5753"/>
      <c r="AO5753"/>
    </row>
    <row r="5754" spans="24:41" x14ac:dyDescent="0.4">
      <c r="X5754"/>
      <c r="AO5754"/>
    </row>
    <row r="5755" spans="24:41" x14ac:dyDescent="0.4">
      <c r="X5755"/>
      <c r="AO5755"/>
    </row>
    <row r="5756" spans="24:41" x14ac:dyDescent="0.4">
      <c r="X5756"/>
      <c r="AO5756"/>
    </row>
    <row r="5757" spans="24:41" x14ac:dyDescent="0.4">
      <c r="X5757"/>
      <c r="AO5757"/>
    </row>
    <row r="5758" spans="24:41" x14ac:dyDescent="0.4">
      <c r="X5758"/>
      <c r="AO5758"/>
    </row>
    <row r="5759" spans="24:41" x14ac:dyDescent="0.4">
      <c r="X5759"/>
      <c r="AO5759"/>
    </row>
    <row r="5760" spans="24:41" x14ac:dyDescent="0.4">
      <c r="X5760"/>
      <c r="AO5760"/>
    </row>
    <row r="5761" spans="24:41" x14ac:dyDescent="0.4">
      <c r="X5761"/>
      <c r="AO5761"/>
    </row>
    <row r="5762" spans="24:41" x14ac:dyDescent="0.4">
      <c r="X5762"/>
      <c r="AO5762"/>
    </row>
    <row r="5763" spans="24:41" x14ac:dyDescent="0.4">
      <c r="X5763"/>
      <c r="AO5763"/>
    </row>
    <row r="5764" spans="24:41" x14ac:dyDescent="0.4">
      <c r="X5764"/>
      <c r="AO5764"/>
    </row>
    <row r="5765" spans="24:41" x14ac:dyDescent="0.4">
      <c r="X5765"/>
      <c r="AO5765"/>
    </row>
    <row r="5766" spans="24:41" x14ac:dyDescent="0.4">
      <c r="X5766"/>
      <c r="AO5766"/>
    </row>
    <row r="5767" spans="24:41" x14ac:dyDescent="0.4">
      <c r="X5767"/>
      <c r="AO5767"/>
    </row>
    <row r="5768" spans="24:41" x14ac:dyDescent="0.4">
      <c r="X5768"/>
      <c r="AO5768"/>
    </row>
    <row r="5769" spans="24:41" x14ac:dyDescent="0.4">
      <c r="X5769"/>
      <c r="AO5769"/>
    </row>
    <row r="5770" spans="24:41" x14ac:dyDescent="0.4">
      <c r="X5770"/>
      <c r="AO5770"/>
    </row>
    <row r="5771" spans="24:41" x14ac:dyDescent="0.4">
      <c r="X5771"/>
      <c r="AO5771"/>
    </row>
    <row r="5772" spans="24:41" x14ac:dyDescent="0.4">
      <c r="X5772"/>
      <c r="AO5772"/>
    </row>
    <row r="5773" spans="24:41" x14ac:dyDescent="0.4">
      <c r="X5773"/>
      <c r="AO5773"/>
    </row>
    <row r="5774" spans="24:41" x14ac:dyDescent="0.4">
      <c r="X5774"/>
      <c r="AO5774"/>
    </row>
    <row r="5775" spans="24:41" x14ac:dyDescent="0.4">
      <c r="X5775"/>
      <c r="AO5775"/>
    </row>
    <row r="5776" spans="24:41" x14ac:dyDescent="0.4">
      <c r="X5776"/>
      <c r="AO5776"/>
    </row>
    <row r="5777" spans="24:41" x14ac:dyDescent="0.4">
      <c r="X5777"/>
      <c r="AO5777"/>
    </row>
    <row r="5778" spans="24:41" x14ac:dyDescent="0.4">
      <c r="X5778"/>
      <c r="AO5778"/>
    </row>
    <row r="5779" spans="24:41" x14ac:dyDescent="0.4">
      <c r="X5779"/>
      <c r="AO5779"/>
    </row>
    <row r="5780" spans="24:41" x14ac:dyDescent="0.4">
      <c r="X5780"/>
      <c r="AO5780"/>
    </row>
    <row r="5781" spans="24:41" x14ac:dyDescent="0.4">
      <c r="X5781"/>
      <c r="AO5781"/>
    </row>
    <row r="5782" spans="24:41" x14ac:dyDescent="0.4">
      <c r="X5782"/>
      <c r="AO5782"/>
    </row>
    <row r="5783" spans="24:41" x14ac:dyDescent="0.4">
      <c r="X5783"/>
      <c r="AO5783"/>
    </row>
    <row r="5784" spans="24:41" x14ac:dyDescent="0.4">
      <c r="X5784"/>
      <c r="AO5784"/>
    </row>
    <row r="5785" spans="24:41" x14ac:dyDescent="0.4">
      <c r="X5785"/>
      <c r="AO5785"/>
    </row>
    <row r="5786" spans="24:41" x14ac:dyDescent="0.4">
      <c r="X5786"/>
      <c r="AO5786"/>
    </row>
    <row r="5787" spans="24:41" x14ac:dyDescent="0.4">
      <c r="X5787"/>
      <c r="AO5787"/>
    </row>
    <row r="5788" spans="24:41" x14ac:dyDescent="0.4">
      <c r="X5788"/>
      <c r="AO5788"/>
    </row>
    <row r="5789" spans="24:41" x14ac:dyDescent="0.4">
      <c r="X5789"/>
      <c r="AO5789"/>
    </row>
    <row r="5790" spans="24:41" x14ac:dyDescent="0.4">
      <c r="X5790"/>
      <c r="AO5790"/>
    </row>
    <row r="5791" spans="24:41" x14ac:dyDescent="0.4">
      <c r="X5791"/>
      <c r="AO5791"/>
    </row>
    <row r="5792" spans="24:41" x14ac:dyDescent="0.4">
      <c r="X5792"/>
      <c r="AO5792"/>
    </row>
    <row r="5793" spans="24:41" x14ac:dyDescent="0.4">
      <c r="X5793"/>
      <c r="AO5793"/>
    </row>
    <row r="5794" spans="24:41" x14ac:dyDescent="0.4">
      <c r="X5794"/>
      <c r="AO5794"/>
    </row>
    <row r="5795" spans="24:41" x14ac:dyDescent="0.4">
      <c r="X5795"/>
      <c r="AO5795"/>
    </row>
    <row r="5796" spans="24:41" x14ac:dyDescent="0.4">
      <c r="X5796"/>
      <c r="AO5796"/>
    </row>
    <row r="5797" spans="24:41" x14ac:dyDescent="0.4">
      <c r="X5797"/>
      <c r="AO5797"/>
    </row>
    <row r="5798" spans="24:41" x14ac:dyDescent="0.4">
      <c r="X5798"/>
      <c r="AO5798"/>
    </row>
    <row r="5799" spans="24:41" x14ac:dyDescent="0.4">
      <c r="X5799"/>
      <c r="AO5799"/>
    </row>
    <row r="5800" spans="24:41" x14ac:dyDescent="0.4">
      <c r="X5800"/>
      <c r="AO5800"/>
    </row>
    <row r="5801" spans="24:41" x14ac:dyDescent="0.4">
      <c r="X5801"/>
      <c r="AO5801"/>
    </row>
    <row r="5802" spans="24:41" x14ac:dyDescent="0.4">
      <c r="X5802"/>
      <c r="AO5802"/>
    </row>
    <row r="5803" spans="24:41" x14ac:dyDescent="0.4">
      <c r="X5803"/>
      <c r="AO5803"/>
    </row>
    <row r="5804" spans="24:41" x14ac:dyDescent="0.4">
      <c r="X5804"/>
      <c r="AO5804"/>
    </row>
    <row r="5805" spans="24:41" x14ac:dyDescent="0.4">
      <c r="X5805"/>
      <c r="AO5805"/>
    </row>
    <row r="5806" spans="24:41" x14ac:dyDescent="0.4">
      <c r="X5806"/>
      <c r="AO5806"/>
    </row>
    <row r="5807" spans="24:41" x14ac:dyDescent="0.4">
      <c r="X5807"/>
      <c r="AO5807"/>
    </row>
    <row r="5808" spans="24:41" x14ac:dyDescent="0.4">
      <c r="X5808"/>
      <c r="AO5808"/>
    </row>
    <row r="5809" spans="24:41" x14ac:dyDescent="0.4">
      <c r="X5809"/>
      <c r="AO5809"/>
    </row>
    <row r="5810" spans="24:41" x14ac:dyDescent="0.4">
      <c r="X5810"/>
      <c r="AO5810"/>
    </row>
    <row r="5811" spans="24:41" x14ac:dyDescent="0.4">
      <c r="X5811"/>
      <c r="AO5811"/>
    </row>
    <row r="5812" spans="24:41" x14ac:dyDescent="0.4">
      <c r="X5812"/>
      <c r="AO5812"/>
    </row>
    <row r="5813" spans="24:41" x14ac:dyDescent="0.4">
      <c r="X5813"/>
      <c r="AO5813"/>
    </row>
    <row r="5814" spans="24:41" x14ac:dyDescent="0.4">
      <c r="X5814"/>
      <c r="AO5814"/>
    </row>
    <row r="5815" spans="24:41" x14ac:dyDescent="0.4">
      <c r="X5815"/>
      <c r="AO5815"/>
    </row>
    <row r="5816" spans="24:41" x14ac:dyDescent="0.4">
      <c r="X5816"/>
      <c r="AO5816"/>
    </row>
    <row r="5817" spans="24:41" x14ac:dyDescent="0.4">
      <c r="X5817"/>
      <c r="AO5817"/>
    </row>
    <row r="5818" spans="24:41" x14ac:dyDescent="0.4">
      <c r="X5818"/>
      <c r="AO5818"/>
    </row>
    <row r="5819" spans="24:41" x14ac:dyDescent="0.4">
      <c r="X5819"/>
      <c r="AO5819"/>
    </row>
    <row r="5820" spans="24:41" x14ac:dyDescent="0.4">
      <c r="X5820"/>
      <c r="AO5820"/>
    </row>
    <row r="5821" spans="24:41" x14ac:dyDescent="0.4">
      <c r="X5821"/>
      <c r="AO5821"/>
    </row>
    <row r="5822" spans="24:41" x14ac:dyDescent="0.4">
      <c r="X5822"/>
      <c r="AO5822"/>
    </row>
    <row r="5823" spans="24:41" x14ac:dyDescent="0.4">
      <c r="X5823"/>
      <c r="AO5823"/>
    </row>
    <row r="5824" spans="24:41" x14ac:dyDescent="0.4">
      <c r="X5824"/>
      <c r="AO5824"/>
    </row>
    <row r="5825" spans="24:41" x14ac:dyDescent="0.4">
      <c r="X5825"/>
      <c r="AO5825"/>
    </row>
    <row r="5826" spans="24:41" x14ac:dyDescent="0.4">
      <c r="X5826"/>
      <c r="AO5826"/>
    </row>
    <row r="5827" spans="24:41" x14ac:dyDescent="0.4">
      <c r="X5827"/>
      <c r="AO5827"/>
    </row>
    <row r="5828" spans="24:41" x14ac:dyDescent="0.4">
      <c r="X5828"/>
      <c r="AO5828"/>
    </row>
    <row r="5829" spans="24:41" x14ac:dyDescent="0.4">
      <c r="X5829"/>
      <c r="AO5829"/>
    </row>
    <row r="5830" spans="24:41" x14ac:dyDescent="0.4">
      <c r="X5830"/>
      <c r="AO5830"/>
    </row>
    <row r="5831" spans="24:41" x14ac:dyDescent="0.4">
      <c r="X5831"/>
      <c r="AO5831"/>
    </row>
    <row r="5832" spans="24:41" x14ac:dyDescent="0.4">
      <c r="X5832"/>
      <c r="AO5832"/>
    </row>
    <row r="5833" spans="24:41" x14ac:dyDescent="0.4">
      <c r="X5833"/>
      <c r="AO5833"/>
    </row>
    <row r="5834" spans="24:41" x14ac:dyDescent="0.4">
      <c r="X5834"/>
      <c r="AO5834"/>
    </row>
    <row r="5835" spans="24:41" x14ac:dyDescent="0.4">
      <c r="X5835"/>
      <c r="AO5835"/>
    </row>
    <row r="5836" spans="24:41" x14ac:dyDescent="0.4">
      <c r="X5836"/>
      <c r="AO5836"/>
    </row>
    <row r="5837" spans="24:41" x14ac:dyDescent="0.4">
      <c r="X5837"/>
      <c r="AO5837"/>
    </row>
    <row r="5838" spans="24:41" x14ac:dyDescent="0.4">
      <c r="X5838"/>
      <c r="AO5838"/>
    </row>
    <row r="5839" spans="24:41" x14ac:dyDescent="0.4">
      <c r="X5839"/>
      <c r="AO5839"/>
    </row>
    <row r="5840" spans="24:41" x14ac:dyDescent="0.4">
      <c r="X5840"/>
      <c r="AO5840"/>
    </row>
    <row r="5841" spans="24:41" x14ac:dyDescent="0.4">
      <c r="X5841"/>
      <c r="AO5841"/>
    </row>
    <row r="5842" spans="24:41" x14ac:dyDescent="0.4">
      <c r="X5842"/>
      <c r="AO5842"/>
    </row>
    <row r="5843" spans="24:41" x14ac:dyDescent="0.4">
      <c r="X5843"/>
      <c r="AO5843"/>
    </row>
    <row r="5844" spans="24:41" x14ac:dyDescent="0.4">
      <c r="X5844"/>
      <c r="AO5844"/>
    </row>
    <row r="5845" spans="24:41" x14ac:dyDescent="0.4">
      <c r="X5845"/>
      <c r="AO5845"/>
    </row>
    <row r="5846" spans="24:41" x14ac:dyDescent="0.4">
      <c r="X5846"/>
      <c r="AO5846"/>
    </row>
    <row r="5847" spans="24:41" x14ac:dyDescent="0.4">
      <c r="X5847"/>
      <c r="AO5847"/>
    </row>
    <row r="5848" spans="24:41" x14ac:dyDescent="0.4">
      <c r="X5848"/>
      <c r="AO5848"/>
    </row>
    <row r="5849" spans="24:41" x14ac:dyDescent="0.4">
      <c r="X5849"/>
      <c r="AO5849"/>
    </row>
    <row r="5850" spans="24:41" x14ac:dyDescent="0.4">
      <c r="X5850"/>
      <c r="AO5850"/>
    </row>
    <row r="5851" spans="24:41" x14ac:dyDescent="0.4">
      <c r="X5851"/>
      <c r="AO5851"/>
    </row>
    <row r="5852" spans="24:41" x14ac:dyDescent="0.4">
      <c r="X5852"/>
      <c r="AO5852"/>
    </row>
    <row r="5853" spans="24:41" x14ac:dyDescent="0.4">
      <c r="X5853"/>
      <c r="AO5853"/>
    </row>
    <row r="5854" spans="24:41" x14ac:dyDescent="0.4">
      <c r="X5854"/>
      <c r="AO5854"/>
    </row>
    <row r="5855" spans="24:41" x14ac:dyDescent="0.4">
      <c r="X5855"/>
      <c r="AO5855"/>
    </row>
    <row r="5856" spans="24:41" x14ac:dyDescent="0.4">
      <c r="X5856"/>
      <c r="AO5856"/>
    </row>
    <row r="5857" spans="24:41" x14ac:dyDescent="0.4">
      <c r="X5857"/>
      <c r="AO5857"/>
    </row>
    <row r="5858" spans="24:41" x14ac:dyDescent="0.4">
      <c r="X5858"/>
      <c r="AO5858"/>
    </row>
    <row r="5859" spans="24:41" x14ac:dyDescent="0.4">
      <c r="X5859"/>
      <c r="AO5859"/>
    </row>
    <row r="5860" spans="24:41" x14ac:dyDescent="0.4">
      <c r="X5860"/>
      <c r="AO5860"/>
    </row>
    <row r="5861" spans="24:41" x14ac:dyDescent="0.4">
      <c r="X5861"/>
      <c r="AO5861"/>
    </row>
    <row r="5862" spans="24:41" x14ac:dyDescent="0.4">
      <c r="X5862"/>
      <c r="AO5862"/>
    </row>
    <row r="5863" spans="24:41" x14ac:dyDescent="0.4">
      <c r="X5863"/>
      <c r="AO5863"/>
    </row>
    <row r="5864" spans="24:41" x14ac:dyDescent="0.4">
      <c r="X5864"/>
      <c r="AO5864"/>
    </row>
    <row r="5865" spans="24:41" x14ac:dyDescent="0.4">
      <c r="X5865"/>
      <c r="AO5865"/>
    </row>
    <row r="5866" spans="24:41" x14ac:dyDescent="0.4">
      <c r="X5866"/>
      <c r="AO5866"/>
    </row>
    <row r="5867" spans="24:41" x14ac:dyDescent="0.4">
      <c r="X5867"/>
      <c r="AO5867"/>
    </row>
    <row r="5868" spans="24:41" x14ac:dyDescent="0.4">
      <c r="X5868"/>
      <c r="AO5868"/>
    </row>
    <row r="5869" spans="24:41" x14ac:dyDescent="0.4">
      <c r="X5869"/>
      <c r="AO5869"/>
    </row>
    <row r="5870" spans="24:41" x14ac:dyDescent="0.4">
      <c r="X5870"/>
      <c r="AO5870"/>
    </row>
    <row r="5871" spans="24:41" x14ac:dyDescent="0.4">
      <c r="X5871"/>
      <c r="AO5871"/>
    </row>
    <row r="5872" spans="24:41" x14ac:dyDescent="0.4">
      <c r="X5872"/>
      <c r="AO5872"/>
    </row>
    <row r="5873" spans="24:41" x14ac:dyDescent="0.4">
      <c r="X5873"/>
      <c r="AO5873"/>
    </row>
    <row r="5874" spans="24:41" x14ac:dyDescent="0.4">
      <c r="X5874"/>
      <c r="AO5874"/>
    </row>
    <row r="5875" spans="24:41" x14ac:dyDescent="0.4">
      <c r="X5875"/>
      <c r="AO5875"/>
    </row>
    <row r="5876" spans="24:41" x14ac:dyDescent="0.4">
      <c r="X5876"/>
      <c r="AO5876"/>
    </row>
    <row r="5877" spans="24:41" x14ac:dyDescent="0.4">
      <c r="X5877"/>
      <c r="AO5877"/>
    </row>
    <row r="5878" spans="24:41" x14ac:dyDescent="0.4">
      <c r="X5878"/>
      <c r="AO5878"/>
    </row>
    <row r="5879" spans="24:41" x14ac:dyDescent="0.4">
      <c r="X5879"/>
      <c r="AO5879"/>
    </row>
    <row r="5880" spans="24:41" x14ac:dyDescent="0.4">
      <c r="X5880"/>
      <c r="AO5880"/>
    </row>
    <row r="5881" spans="24:41" x14ac:dyDescent="0.4">
      <c r="X5881"/>
      <c r="AO5881"/>
    </row>
    <row r="5882" spans="24:41" x14ac:dyDescent="0.4">
      <c r="X5882"/>
      <c r="AO5882"/>
    </row>
    <row r="5883" spans="24:41" x14ac:dyDescent="0.4">
      <c r="X5883"/>
      <c r="AO5883"/>
    </row>
    <row r="5884" spans="24:41" x14ac:dyDescent="0.4">
      <c r="X5884"/>
      <c r="AO5884"/>
    </row>
    <row r="5885" spans="24:41" x14ac:dyDescent="0.4">
      <c r="X5885"/>
      <c r="AO5885"/>
    </row>
    <row r="5886" spans="24:41" x14ac:dyDescent="0.4">
      <c r="X5886"/>
      <c r="AO5886"/>
    </row>
    <row r="5887" spans="24:41" x14ac:dyDescent="0.4">
      <c r="X5887"/>
      <c r="AO5887"/>
    </row>
    <row r="5888" spans="24:41" x14ac:dyDescent="0.4">
      <c r="X5888"/>
      <c r="AO5888"/>
    </row>
    <row r="5889" spans="24:41" x14ac:dyDescent="0.4">
      <c r="X5889"/>
      <c r="AO5889"/>
    </row>
    <row r="5890" spans="24:41" x14ac:dyDescent="0.4">
      <c r="X5890"/>
      <c r="AO5890"/>
    </row>
    <row r="5891" spans="24:41" x14ac:dyDescent="0.4">
      <c r="X5891"/>
      <c r="AO5891"/>
    </row>
    <row r="5892" spans="24:41" x14ac:dyDescent="0.4">
      <c r="X5892"/>
      <c r="AO5892"/>
    </row>
    <row r="5893" spans="24:41" x14ac:dyDescent="0.4">
      <c r="X5893"/>
      <c r="AO5893"/>
    </row>
    <row r="5894" spans="24:41" x14ac:dyDescent="0.4">
      <c r="X5894"/>
      <c r="AO5894"/>
    </row>
    <row r="5895" spans="24:41" x14ac:dyDescent="0.4">
      <c r="X5895"/>
      <c r="AO5895"/>
    </row>
    <row r="5896" spans="24:41" x14ac:dyDescent="0.4">
      <c r="X5896"/>
      <c r="AO5896"/>
    </row>
    <row r="5897" spans="24:41" x14ac:dyDescent="0.4">
      <c r="X5897"/>
      <c r="AO5897"/>
    </row>
    <row r="5898" spans="24:41" x14ac:dyDescent="0.4">
      <c r="X5898"/>
      <c r="AO5898"/>
    </row>
    <row r="5899" spans="24:41" x14ac:dyDescent="0.4">
      <c r="X5899"/>
      <c r="AO5899"/>
    </row>
    <row r="5900" spans="24:41" x14ac:dyDescent="0.4">
      <c r="X5900"/>
      <c r="AO5900"/>
    </row>
    <row r="5901" spans="24:41" x14ac:dyDescent="0.4">
      <c r="X5901"/>
      <c r="AO5901"/>
    </row>
    <row r="5902" spans="24:41" x14ac:dyDescent="0.4">
      <c r="X5902"/>
      <c r="AO5902"/>
    </row>
    <row r="5903" spans="24:41" x14ac:dyDescent="0.4">
      <c r="X5903"/>
      <c r="AO5903"/>
    </row>
    <row r="5904" spans="24:41" x14ac:dyDescent="0.4">
      <c r="X5904"/>
      <c r="AO5904"/>
    </row>
    <row r="5905" spans="24:41" x14ac:dyDescent="0.4">
      <c r="X5905"/>
      <c r="AO5905"/>
    </row>
    <row r="5906" spans="24:41" x14ac:dyDescent="0.4">
      <c r="X5906"/>
      <c r="AO5906"/>
    </row>
    <row r="5907" spans="24:41" x14ac:dyDescent="0.4">
      <c r="X5907"/>
      <c r="AO5907"/>
    </row>
    <row r="5908" spans="24:41" x14ac:dyDescent="0.4">
      <c r="X5908"/>
      <c r="AO5908"/>
    </row>
    <row r="5909" spans="24:41" x14ac:dyDescent="0.4">
      <c r="X5909"/>
      <c r="AO5909"/>
    </row>
    <row r="5910" spans="24:41" x14ac:dyDescent="0.4">
      <c r="X5910"/>
      <c r="AO5910"/>
    </row>
    <row r="5911" spans="24:41" x14ac:dyDescent="0.4">
      <c r="X5911"/>
      <c r="AO5911"/>
    </row>
    <row r="5912" spans="24:41" x14ac:dyDescent="0.4">
      <c r="X5912"/>
      <c r="AO5912"/>
    </row>
    <row r="5913" spans="24:41" x14ac:dyDescent="0.4">
      <c r="X5913"/>
      <c r="AO5913"/>
    </row>
    <row r="5914" spans="24:41" x14ac:dyDescent="0.4">
      <c r="X5914"/>
      <c r="AO5914"/>
    </row>
    <row r="5915" spans="24:41" x14ac:dyDescent="0.4">
      <c r="X5915"/>
      <c r="AO5915"/>
    </row>
    <row r="5916" spans="24:41" x14ac:dyDescent="0.4">
      <c r="X5916"/>
      <c r="AO5916"/>
    </row>
    <row r="5917" spans="24:41" x14ac:dyDescent="0.4">
      <c r="X5917"/>
      <c r="AO5917"/>
    </row>
    <row r="5918" spans="24:41" x14ac:dyDescent="0.4">
      <c r="X5918"/>
      <c r="AO5918"/>
    </row>
    <row r="5919" spans="24:41" x14ac:dyDescent="0.4">
      <c r="X5919"/>
      <c r="AO5919"/>
    </row>
    <row r="5920" spans="24:41" x14ac:dyDescent="0.4">
      <c r="X5920"/>
      <c r="AO5920"/>
    </row>
    <row r="5921" spans="24:41" x14ac:dyDescent="0.4">
      <c r="X5921"/>
      <c r="AO5921"/>
    </row>
    <row r="5922" spans="24:41" x14ac:dyDescent="0.4">
      <c r="X5922"/>
      <c r="AO5922"/>
    </row>
    <row r="5923" spans="24:41" x14ac:dyDescent="0.4">
      <c r="X5923"/>
      <c r="AO5923"/>
    </row>
    <row r="5924" spans="24:41" x14ac:dyDescent="0.4">
      <c r="X5924"/>
      <c r="AO5924"/>
    </row>
    <row r="5925" spans="24:41" x14ac:dyDescent="0.4">
      <c r="X5925"/>
      <c r="AO5925"/>
    </row>
    <row r="5926" spans="24:41" x14ac:dyDescent="0.4">
      <c r="X5926"/>
      <c r="AO5926"/>
    </row>
    <row r="5927" spans="24:41" x14ac:dyDescent="0.4">
      <c r="X5927"/>
      <c r="AO5927"/>
    </row>
    <row r="5928" spans="24:41" x14ac:dyDescent="0.4">
      <c r="X5928"/>
      <c r="AO5928"/>
    </row>
    <row r="5929" spans="24:41" x14ac:dyDescent="0.4">
      <c r="X5929"/>
      <c r="AO5929"/>
    </row>
    <row r="5930" spans="24:41" x14ac:dyDescent="0.4">
      <c r="X5930"/>
      <c r="AO5930"/>
    </row>
    <row r="5931" spans="24:41" x14ac:dyDescent="0.4">
      <c r="X5931"/>
      <c r="AO5931"/>
    </row>
    <row r="5932" spans="24:41" x14ac:dyDescent="0.4">
      <c r="X5932"/>
      <c r="AO5932"/>
    </row>
    <row r="5933" spans="24:41" x14ac:dyDescent="0.4">
      <c r="X5933"/>
      <c r="AO5933"/>
    </row>
    <row r="5934" spans="24:41" x14ac:dyDescent="0.4">
      <c r="X5934"/>
      <c r="AO5934"/>
    </row>
    <row r="5935" spans="24:41" x14ac:dyDescent="0.4">
      <c r="X5935"/>
      <c r="AO5935"/>
    </row>
    <row r="5936" spans="24:41" x14ac:dyDescent="0.4">
      <c r="X5936"/>
      <c r="AO5936"/>
    </row>
    <row r="5937" spans="24:41" x14ac:dyDescent="0.4">
      <c r="X5937"/>
      <c r="AO5937"/>
    </row>
    <row r="5938" spans="24:41" x14ac:dyDescent="0.4">
      <c r="X5938"/>
      <c r="AO5938"/>
    </row>
    <row r="5939" spans="24:41" x14ac:dyDescent="0.4">
      <c r="X5939"/>
      <c r="AO5939"/>
    </row>
    <row r="5940" spans="24:41" x14ac:dyDescent="0.4">
      <c r="X5940"/>
      <c r="AO5940"/>
    </row>
    <row r="5941" spans="24:41" x14ac:dyDescent="0.4">
      <c r="X5941"/>
      <c r="AO5941"/>
    </row>
    <row r="5942" spans="24:41" x14ac:dyDescent="0.4">
      <c r="X5942"/>
      <c r="AO5942"/>
    </row>
    <row r="5943" spans="24:41" x14ac:dyDescent="0.4">
      <c r="X5943"/>
      <c r="AO5943"/>
    </row>
    <row r="5944" spans="24:41" x14ac:dyDescent="0.4">
      <c r="X5944"/>
      <c r="AO5944"/>
    </row>
    <row r="5945" spans="24:41" x14ac:dyDescent="0.4">
      <c r="X5945"/>
      <c r="AO5945"/>
    </row>
    <row r="5946" spans="24:41" x14ac:dyDescent="0.4">
      <c r="X5946"/>
      <c r="AO5946"/>
    </row>
    <row r="5947" spans="24:41" x14ac:dyDescent="0.4">
      <c r="X5947"/>
      <c r="AO5947"/>
    </row>
    <row r="5948" spans="24:41" x14ac:dyDescent="0.4">
      <c r="X5948"/>
      <c r="AO5948"/>
    </row>
    <row r="5949" spans="24:41" x14ac:dyDescent="0.4">
      <c r="X5949"/>
      <c r="AO5949"/>
    </row>
    <row r="5950" spans="24:41" x14ac:dyDescent="0.4">
      <c r="X5950"/>
      <c r="AO5950"/>
    </row>
    <row r="5951" spans="24:41" x14ac:dyDescent="0.4">
      <c r="X5951"/>
      <c r="AO5951"/>
    </row>
    <row r="5952" spans="24:41" x14ac:dyDescent="0.4">
      <c r="X5952"/>
      <c r="AO5952"/>
    </row>
    <row r="5953" spans="24:41" x14ac:dyDescent="0.4">
      <c r="X5953"/>
      <c r="AO5953"/>
    </row>
    <row r="5954" spans="24:41" x14ac:dyDescent="0.4">
      <c r="X5954"/>
      <c r="AO5954"/>
    </row>
    <row r="5955" spans="24:41" x14ac:dyDescent="0.4">
      <c r="X5955"/>
      <c r="AO5955"/>
    </row>
    <row r="5956" spans="24:41" x14ac:dyDescent="0.4">
      <c r="X5956"/>
      <c r="AO5956"/>
    </row>
    <row r="5957" spans="24:41" x14ac:dyDescent="0.4">
      <c r="X5957"/>
      <c r="AO5957"/>
    </row>
    <row r="5958" spans="24:41" x14ac:dyDescent="0.4">
      <c r="X5958"/>
      <c r="AO5958"/>
    </row>
    <row r="5959" spans="24:41" x14ac:dyDescent="0.4">
      <c r="X5959"/>
      <c r="AO5959"/>
    </row>
    <row r="5960" spans="24:41" x14ac:dyDescent="0.4">
      <c r="X5960"/>
      <c r="AO5960"/>
    </row>
    <row r="5961" spans="24:41" x14ac:dyDescent="0.4">
      <c r="X5961"/>
      <c r="AO5961"/>
    </row>
    <row r="5962" spans="24:41" x14ac:dyDescent="0.4">
      <c r="X5962"/>
      <c r="AO5962"/>
    </row>
    <row r="5963" spans="24:41" x14ac:dyDescent="0.4">
      <c r="X5963"/>
      <c r="AO5963"/>
    </row>
    <row r="5964" spans="24:41" x14ac:dyDescent="0.4">
      <c r="X5964"/>
      <c r="AO5964"/>
    </row>
    <row r="5965" spans="24:41" x14ac:dyDescent="0.4">
      <c r="X5965"/>
      <c r="AO5965"/>
    </row>
    <row r="5966" spans="24:41" x14ac:dyDescent="0.4">
      <c r="X5966"/>
      <c r="AO5966"/>
    </row>
    <row r="5967" spans="24:41" x14ac:dyDescent="0.4">
      <c r="X5967"/>
      <c r="AO5967"/>
    </row>
    <row r="5968" spans="24:41" x14ac:dyDescent="0.4">
      <c r="X5968"/>
      <c r="AO5968"/>
    </row>
    <row r="5969" spans="24:41" x14ac:dyDescent="0.4">
      <c r="X5969"/>
      <c r="AO5969"/>
    </row>
    <row r="5970" spans="24:41" x14ac:dyDescent="0.4">
      <c r="X5970"/>
      <c r="AO5970"/>
    </row>
    <row r="5971" spans="24:41" x14ac:dyDescent="0.4">
      <c r="X5971"/>
      <c r="AO5971"/>
    </row>
    <row r="5972" spans="24:41" x14ac:dyDescent="0.4">
      <c r="X5972"/>
      <c r="AO5972"/>
    </row>
    <row r="5973" spans="24:41" x14ac:dyDescent="0.4">
      <c r="X5973"/>
      <c r="AO5973"/>
    </row>
    <row r="5974" spans="24:41" x14ac:dyDescent="0.4">
      <c r="X5974"/>
      <c r="AO5974"/>
    </row>
    <row r="5975" spans="24:41" x14ac:dyDescent="0.4">
      <c r="X5975"/>
      <c r="AO5975"/>
    </row>
    <row r="5976" spans="24:41" x14ac:dyDescent="0.4">
      <c r="X5976"/>
      <c r="AO5976"/>
    </row>
    <row r="5977" spans="24:41" x14ac:dyDescent="0.4">
      <c r="X5977"/>
      <c r="AO5977"/>
    </row>
    <row r="5978" spans="24:41" x14ac:dyDescent="0.4">
      <c r="X5978"/>
      <c r="AO5978"/>
    </row>
    <row r="5979" spans="24:41" x14ac:dyDescent="0.4">
      <c r="X5979"/>
      <c r="AO5979"/>
    </row>
    <row r="5980" spans="24:41" x14ac:dyDescent="0.4">
      <c r="X5980"/>
      <c r="AO5980"/>
    </row>
    <row r="5981" spans="24:41" x14ac:dyDescent="0.4">
      <c r="X5981"/>
      <c r="AO5981"/>
    </row>
    <row r="5982" spans="24:41" x14ac:dyDescent="0.4">
      <c r="X5982"/>
      <c r="AO5982"/>
    </row>
    <row r="5983" spans="24:41" x14ac:dyDescent="0.4">
      <c r="X5983"/>
      <c r="AO5983"/>
    </row>
    <row r="5984" spans="24:41" x14ac:dyDescent="0.4">
      <c r="X5984"/>
      <c r="AO5984"/>
    </row>
    <row r="5985" spans="24:41" x14ac:dyDescent="0.4">
      <c r="X5985"/>
      <c r="AO5985"/>
    </row>
    <row r="5986" spans="24:41" x14ac:dyDescent="0.4">
      <c r="X5986"/>
      <c r="AO5986"/>
    </row>
    <row r="5987" spans="24:41" x14ac:dyDescent="0.4">
      <c r="X5987"/>
      <c r="AO5987"/>
    </row>
    <row r="5988" spans="24:41" x14ac:dyDescent="0.4">
      <c r="X5988"/>
      <c r="AO5988"/>
    </row>
    <row r="5989" spans="24:41" x14ac:dyDescent="0.4">
      <c r="X5989"/>
      <c r="AO5989"/>
    </row>
    <row r="5990" spans="24:41" x14ac:dyDescent="0.4">
      <c r="X5990"/>
      <c r="AO5990"/>
    </row>
    <row r="5991" spans="24:41" x14ac:dyDescent="0.4">
      <c r="X5991"/>
      <c r="AO5991"/>
    </row>
    <row r="5992" spans="24:41" x14ac:dyDescent="0.4">
      <c r="X5992"/>
      <c r="AO5992"/>
    </row>
    <row r="5993" spans="24:41" x14ac:dyDescent="0.4">
      <c r="X5993"/>
      <c r="AO5993"/>
    </row>
    <row r="5994" spans="24:41" x14ac:dyDescent="0.4">
      <c r="X5994"/>
      <c r="AO5994"/>
    </row>
    <row r="5995" spans="24:41" x14ac:dyDescent="0.4">
      <c r="X5995"/>
      <c r="AO5995"/>
    </row>
    <row r="5996" spans="24:41" x14ac:dyDescent="0.4">
      <c r="X5996"/>
      <c r="AO5996"/>
    </row>
    <row r="5997" spans="24:41" x14ac:dyDescent="0.4">
      <c r="X5997"/>
      <c r="AO5997"/>
    </row>
    <row r="5998" spans="24:41" x14ac:dyDescent="0.4">
      <c r="X5998"/>
      <c r="AO5998"/>
    </row>
    <row r="5999" spans="24:41" x14ac:dyDescent="0.4">
      <c r="X5999"/>
      <c r="AO5999"/>
    </row>
    <row r="6000" spans="24:41" x14ac:dyDescent="0.4">
      <c r="X6000"/>
      <c r="AO6000"/>
    </row>
    <row r="6001" spans="24:41" x14ac:dyDescent="0.4">
      <c r="X6001"/>
      <c r="AO6001"/>
    </row>
    <row r="6002" spans="24:41" x14ac:dyDescent="0.4">
      <c r="X6002"/>
      <c r="AO6002"/>
    </row>
    <row r="6003" spans="24:41" x14ac:dyDescent="0.4">
      <c r="X6003"/>
      <c r="AO6003"/>
    </row>
    <row r="6004" spans="24:41" x14ac:dyDescent="0.4">
      <c r="X6004"/>
      <c r="AO6004"/>
    </row>
    <row r="6005" spans="24:41" x14ac:dyDescent="0.4">
      <c r="X6005"/>
      <c r="AO6005"/>
    </row>
    <row r="6006" spans="24:41" x14ac:dyDescent="0.4">
      <c r="X6006"/>
      <c r="AO6006"/>
    </row>
    <row r="6007" spans="24:41" x14ac:dyDescent="0.4">
      <c r="X6007"/>
      <c r="AO6007"/>
    </row>
    <row r="6008" spans="24:41" x14ac:dyDescent="0.4">
      <c r="X6008"/>
      <c r="AO6008"/>
    </row>
    <row r="6009" spans="24:41" x14ac:dyDescent="0.4">
      <c r="X6009"/>
      <c r="AO6009"/>
    </row>
    <row r="6010" spans="24:41" x14ac:dyDescent="0.4">
      <c r="X6010"/>
      <c r="AO6010"/>
    </row>
    <row r="6011" spans="24:41" x14ac:dyDescent="0.4">
      <c r="X6011"/>
      <c r="AO6011"/>
    </row>
    <row r="6012" spans="24:41" x14ac:dyDescent="0.4">
      <c r="X6012"/>
      <c r="AO6012"/>
    </row>
    <row r="6013" spans="24:41" x14ac:dyDescent="0.4">
      <c r="X6013"/>
      <c r="AO6013"/>
    </row>
    <row r="6014" spans="24:41" x14ac:dyDescent="0.4">
      <c r="X6014"/>
      <c r="AO6014"/>
    </row>
    <row r="6015" spans="24:41" x14ac:dyDescent="0.4">
      <c r="X6015"/>
      <c r="AO6015"/>
    </row>
    <row r="6016" spans="24:41" x14ac:dyDescent="0.4">
      <c r="X6016"/>
      <c r="AO6016"/>
    </row>
    <row r="6017" spans="24:41" x14ac:dyDescent="0.4">
      <c r="X6017"/>
      <c r="AO6017"/>
    </row>
    <row r="6018" spans="24:41" x14ac:dyDescent="0.4">
      <c r="X6018"/>
      <c r="AO6018"/>
    </row>
    <row r="6019" spans="24:41" x14ac:dyDescent="0.4">
      <c r="X6019"/>
      <c r="AO6019"/>
    </row>
    <row r="6020" spans="24:41" x14ac:dyDescent="0.4">
      <c r="X6020"/>
      <c r="AO6020"/>
    </row>
    <row r="6021" spans="24:41" x14ac:dyDescent="0.4">
      <c r="X6021"/>
      <c r="AO6021"/>
    </row>
    <row r="6022" spans="24:41" x14ac:dyDescent="0.4">
      <c r="X6022"/>
      <c r="AO6022"/>
    </row>
    <row r="6023" spans="24:41" x14ac:dyDescent="0.4">
      <c r="X6023"/>
      <c r="AO6023"/>
    </row>
    <row r="6024" spans="24:41" x14ac:dyDescent="0.4">
      <c r="X6024"/>
      <c r="AO6024"/>
    </row>
    <row r="6025" spans="24:41" x14ac:dyDescent="0.4">
      <c r="X6025"/>
      <c r="AO6025"/>
    </row>
    <row r="6026" spans="24:41" x14ac:dyDescent="0.4">
      <c r="X6026"/>
      <c r="AO6026"/>
    </row>
    <row r="6027" spans="24:41" x14ac:dyDescent="0.4">
      <c r="X6027"/>
      <c r="AO6027"/>
    </row>
    <row r="6028" spans="24:41" x14ac:dyDescent="0.4">
      <c r="X6028"/>
      <c r="AO6028"/>
    </row>
    <row r="6029" spans="24:41" x14ac:dyDescent="0.4">
      <c r="X6029"/>
      <c r="AO6029"/>
    </row>
    <row r="6030" spans="24:41" x14ac:dyDescent="0.4">
      <c r="X6030"/>
      <c r="AO6030"/>
    </row>
    <row r="6031" spans="24:41" x14ac:dyDescent="0.4">
      <c r="X6031"/>
      <c r="AO6031"/>
    </row>
    <row r="6032" spans="24:41" x14ac:dyDescent="0.4">
      <c r="X6032"/>
      <c r="AO6032"/>
    </row>
    <row r="6033" spans="24:41" x14ac:dyDescent="0.4">
      <c r="X6033"/>
      <c r="AO6033"/>
    </row>
    <row r="6034" spans="24:41" x14ac:dyDescent="0.4">
      <c r="X6034"/>
      <c r="AO6034"/>
    </row>
    <row r="6035" spans="24:41" x14ac:dyDescent="0.4">
      <c r="X6035"/>
      <c r="AO6035"/>
    </row>
    <row r="6036" spans="24:41" x14ac:dyDescent="0.4">
      <c r="X6036"/>
      <c r="AO6036"/>
    </row>
    <row r="6037" spans="24:41" x14ac:dyDescent="0.4">
      <c r="X6037"/>
      <c r="AO6037"/>
    </row>
    <row r="6038" spans="24:41" x14ac:dyDescent="0.4">
      <c r="X6038"/>
      <c r="AO6038"/>
    </row>
    <row r="6039" spans="24:41" x14ac:dyDescent="0.4">
      <c r="X6039"/>
      <c r="AO6039"/>
    </row>
    <row r="6040" spans="24:41" x14ac:dyDescent="0.4">
      <c r="X6040"/>
      <c r="AO6040"/>
    </row>
    <row r="6041" spans="24:41" x14ac:dyDescent="0.4">
      <c r="X6041"/>
      <c r="AO6041"/>
    </row>
    <row r="6042" spans="24:41" x14ac:dyDescent="0.4">
      <c r="X6042"/>
      <c r="AO6042"/>
    </row>
    <row r="6043" spans="24:41" x14ac:dyDescent="0.4">
      <c r="X6043"/>
      <c r="AO6043"/>
    </row>
    <row r="6044" spans="24:41" x14ac:dyDescent="0.4">
      <c r="X6044"/>
      <c r="AO6044"/>
    </row>
    <row r="6045" spans="24:41" x14ac:dyDescent="0.4">
      <c r="X6045"/>
      <c r="AO6045"/>
    </row>
    <row r="6046" spans="24:41" x14ac:dyDescent="0.4">
      <c r="X6046"/>
      <c r="AO6046"/>
    </row>
    <row r="6047" spans="24:41" x14ac:dyDescent="0.4">
      <c r="X6047"/>
      <c r="AO6047"/>
    </row>
    <row r="6048" spans="24:41" x14ac:dyDescent="0.4">
      <c r="X6048"/>
      <c r="AO6048"/>
    </row>
    <row r="6049" spans="24:41" x14ac:dyDescent="0.4">
      <c r="X6049"/>
      <c r="AO6049"/>
    </row>
    <row r="6050" spans="24:41" x14ac:dyDescent="0.4">
      <c r="X6050"/>
      <c r="AO6050"/>
    </row>
    <row r="6051" spans="24:41" x14ac:dyDescent="0.4">
      <c r="X6051"/>
      <c r="AO6051"/>
    </row>
    <row r="6052" spans="24:41" x14ac:dyDescent="0.4">
      <c r="X6052"/>
      <c r="AO6052"/>
    </row>
    <row r="6053" spans="24:41" x14ac:dyDescent="0.4">
      <c r="X6053"/>
      <c r="AO6053"/>
    </row>
    <row r="6054" spans="24:41" x14ac:dyDescent="0.4">
      <c r="X6054"/>
      <c r="AO6054"/>
    </row>
    <row r="6055" spans="24:41" x14ac:dyDescent="0.4">
      <c r="X6055"/>
      <c r="AO6055"/>
    </row>
    <row r="6056" spans="24:41" x14ac:dyDescent="0.4">
      <c r="X6056"/>
      <c r="AO6056"/>
    </row>
    <row r="6057" spans="24:41" x14ac:dyDescent="0.4">
      <c r="X6057"/>
      <c r="AO6057"/>
    </row>
    <row r="6058" spans="24:41" x14ac:dyDescent="0.4">
      <c r="X6058"/>
      <c r="AO6058"/>
    </row>
    <row r="6059" spans="24:41" x14ac:dyDescent="0.4">
      <c r="X6059"/>
      <c r="AO6059"/>
    </row>
    <row r="6060" spans="24:41" x14ac:dyDescent="0.4">
      <c r="X6060"/>
      <c r="AO6060"/>
    </row>
    <row r="6061" spans="24:41" x14ac:dyDescent="0.4">
      <c r="X6061"/>
      <c r="AO6061"/>
    </row>
    <row r="6062" spans="24:41" x14ac:dyDescent="0.4">
      <c r="X6062"/>
      <c r="AO6062"/>
    </row>
    <row r="6063" spans="24:41" x14ac:dyDescent="0.4">
      <c r="X6063"/>
      <c r="AO6063"/>
    </row>
    <row r="6064" spans="24:41" x14ac:dyDescent="0.4">
      <c r="X6064"/>
      <c r="AO6064"/>
    </row>
    <row r="6065" spans="24:41" x14ac:dyDescent="0.4">
      <c r="X6065"/>
      <c r="AO6065"/>
    </row>
    <row r="6066" spans="24:41" x14ac:dyDescent="0.4">
      <c r="X6066"/>
      <c r="AO6066"/>
    </row>
    <row r="6067" spans="24:41" x14ac:dyDescent="0.4">
      <c r="X6067"/>
      <c r="AO6067"/>
    </row>
    <row r="6068" spans="24:41" x14ac:dyDescent="0.4">
      <c r="X6068"/>
      <c r="AO6068"/>
    </row>
    <row r="6069" spans="24:41" x14ac:dyDescent="0.4">
      <c r="X6069"/>
      <c r="AO6069"/>
    </row>
    <row r="6070" spans="24:41" x14ac:dyDescent="0.4">
      <c r="X6070"/>
      <c r="AO6070"/>
    </row>
    <row r="6071" spans="24:41" x14ac:dyDescent="0.4">
      <c r="X6071"/>
      <c r="AO6071"/>
    </row>
    <row r="6072" spans="24:41" x14ac:dyDescent="0.4">
      <c r="X6072"/>
      <c r="AO6072"/>
    </row>
    <row r="6073" spans="24:41" x14ac:dyDescent="0.4">
      <c r="X6073"/>
      <c r="AO6073"/>
    </row>
    <row r="6074" spans="24:41" x14ac:dyDescent="0.4">
      <c r="X6074"/>
      <c r="AO6074"/>
    </row>
    <row r="6075" spans="24:41" x14ac:dyDescent="0.4">
      <c r="X6075"/>
      <c r="AO6075"/>
    </row>
    <row r="6076" spans="24:41" x14ac:dyDescent="0.4">
      <c r="X6076"/>
      <c r="AO6076"/>
    </row>
    <row r="6077" spans="24:41" x14ac:dyDescent="0.4">
      <c r="X6077"/>
      <c r="AO6077"/>
    </row>
    <row r="6078" spans="24:41" x14ac:dyDescent="0.4">
      <c r="X6078"/>
      <c r="AO6078"/>
    </row>
    <row r="6079" spans="24:41" x14ac:dyDescent="0.4">
      <c r="X6079"/>
      <c r="AO6079"/>
    </row>
    <row r="6080" spans="24:41" x14ac:dyDescent="0.4">
      <c r="X6080"/>
      <c r="AO6080"/>
    </row>
    <row r="6081" spans="24:41" x14ac:dyDescent="0.4">
      <c r="X6081"/>
      <c r="AO6081"/>
    </row>
    <row r="6082" spans="24:41" x14ac:dyDescent="0.4">
      <c r="X6082"/>
      <c r="AO6082"/>
    </row>
    <row r="6083" spans="24:41" x14ac:dyDescent="0.4">
      <c r="X6083"/>
      <c r="AO6083"/>
    </row>
    <row r="6084" spans="24:41" x14ac:dyDescent="0.4">
      <c r="X6084"/>
      <c r="AO6084"/>
    </row>
    <row r="6085" spans="24:41" x14ac:dyDescent="0.4">
      <c r="X6085"/>
      <c r="AO6085"/>
    </row>
    <row r="6086" spans="24:41" x14ac:dyDescent="0.4">
      <c r="X6086"/>
      <c r="AO6086"/>
    </row>
    <row r="6087" spans="24:41" x14ac:dyDescent="0.4">
      <c r="X6087"/>
      <c r="AO6087"/>
    </row>
    <row r="6088" spans="24:41" x14ac:dyDescent="0.4">
      <c r="X6088"/>
      <c r="AO6088"/>
    </row>
    <row r="6089" spans="24:41" x14ac:dyDescent="0.4">
      <c r="X6089"/>
      <c r="AO6089"/>
    </row>
    <row r="6090" spans="24:41" x14ac:dyDescent="0.4">
      <c r="X6090"/>
      <c r="AO6090"/>
    </row>
    <row r="6091" spans="24:41" x14ac:dyDescent="0.4">
      <c r="X6091"/>
      <c r="AO6091"/>
    </row>
    <row r="6092" spans="24:41" x14ac:dyDescent="0.4">
      <c r="X6092"/>
      <c r="AO6092"/>
    </row>
    <row r="6093" spans="24:41" x14ac:dyDescent="0.4">
      <c r="X6093"/>
      <c r="AO6093"/>
    </row>
    <row r="6094" spans="24:41" x14ac:dyDescent="0.4">
      <c r="X6094"/>
      <c r="AO6094"/>
    </row>
    <row r="6095" spans="24:41" x14ac:dyDescent="0.4">
      <c r="X6095"/>
      <c r="AO6095"/>
    </row>
    <row r="6096" spans="24:41" x14ac:dyDescent="0.4">
      <c r="X6096"/>
      <c r="AO6096"/>
    </row>
    <row r="6097" spans="24:41" x14ac:dyDescent="0.4">
      <c r="X6097"/>
      <c r="AO6097"/>
    </row>
    <row r="6098" spans="24:41" x14ac:dyDescent="0.4">
      <c r="X6098"/>
      <c r="AO6098"/>
    </row>
    <row r="6099" spans="24:41" x14ac:dyDescent="0.4">
      <c r="X6099"/>
      <c r="AO6099"/>
    </row>
    <row r="6100" spans="24:41" x14ac:dyDescent="0.4">
      <c r="X6100"/>
      <c r="AO6100"/>
    </row>
    <row r="6101" spans="24:41" x14ac:dyDescent="0.4">
      <c r="X6101"/>
      <c r="AO6101"/>
    </row>
    <row r="6102" spans="24:41" x14ac:dyDescent="0.4">
      <c r="X6102"/>
      <c r="AO6102"/>
    </row>
    <row r="6103" spans="24:41" x14ac:dyDescent="0.4">
      <c r="X6103"/>
      <c r="AO6103"/>
    </row>
    <row r="6104" spans="24:41" x14ac:dyDescent="0.4">
      <c r="X6104"/>
      <c r="AO6104"/>
    </row>
    <row r="6105" spans="24:41" x14ac:dyDescent="0.4">
      <c r="X6105"/>
      <c r="AO6105"/>
    </row>
    <row r="6106" spans="24:41" x14ac:dyDescent="0.4">
      <c r="X6106"/>
      <c r="AO6106"/>
    </row>
    <row r="6107" spans="24:41" x14ac:dyDescent="0.4">
      <c r="X6107"/>
      <c r="AO6107"/>
    </row>
    <row r="6108" spans="24:41" x14ac:dyDescent="0.4">
      <c r="X6108"/>
      <c r="AO6108"/>
    </row>
    <row r="6109" spans="24:41" x14ac:dyDescent="0.4">
      <c r="X6109"/>
      <c r="AO6109"/>
    </row>
    <row r="6110" spans="24:41" x14ac:dyDescent="0.4">
      <c r="X6110"/>
      <c r="AO6110"/>
    </row>
    <row r="6111" spans="24:41" x14ac:dyDescent="0.4">
      <c r="X6111"/>
      <c r="AO6111"/>
    </row>
    <row r="6112" spans="24:41" x14ac:dyDescent="0.4">
      <c r="X6112"/>
      <c r="AO6112"/>
    </row>
    <row r="6113" spans="24:41" x14ac:dyDescent="0.4">
      <c r="X6113"/>
      <c r="AO6113"/>
    </row>
    <row r="6114" spans="24:41" x14ac:dyDescent="0.4">
      <c r="X6114"/>
      <c r="AO6114"/>
    </row>
    <row r="6115" spans="24:41" x14ac:dyDescent="0.4">
      <c r="X6115"/>
      <c r="AO6115"/>
    </row>
    <row r="6116" spans="24:41" x14ac:dyDescent="0.4">
      <c r="X6116"/>
      <c r="AO6116"/>
    </row>
    <row r="6117" spans="24:41" x14ac:dyDescent="0.4">
      <c r="X6117"/>
      <c r="AO6117"/>
    </row>
    <row r="6118" spans="24:41" x14ac:dyDescent="0.4">
      <c r="X6118"/>
      <c r="AO6118"/>
    </row>
    <row r="6119" spans="24:41" x14ac:dyDescent="0.4">
      <c r="X6119"/>
      <c r="AO6119"/>
    </row>
    <row r="6120" spans="24:41" x14ac:dyDescent="0.4">
      <c r="X6120"/>
      <c r="AO6120"/>
    </row>
    <row r="6121" spans="24:41" x14ac:dyDescent="0.4">
      <c r="X6121"/>
      <c r="AO6121"/>
    </row>
    <row r="6122" spans="24:41" x14ac:dyDescent="0.4">
      <c r="X6122"/>
      <c r="AO6122"/>
    </row>
    <row r="6123" spans="24:41" x14ac:dyDescent="0.4">
      <c r="X6123"/>
      <c r="AO6123"/>
    </row>
    <row r="6124" spans="24:41" x14ac:dyDescent="0.4">
      <c r="X6124"/>
      <c r="AO6124"/>
    </row>
    <row r="6125" spans="24:41" x14ac:dyDescent="0.4">
      <c r="X6125"/>
      <c r="AO6125"/>
    </row>
    <row r="6126" spans="24:41" x14ac:dyDescent="0.4">
      <c r="X6126"/>
      <c r="AO6126"/>
    </row>
    <row r="6127" spans="24:41" x14ac:dyDescent="0.4">
      <c r="X6127"/>
      <c r="AO6127"/>
    </row>
    <row r="6128" spans="24:41" x14ac:dyDescent="0.4">
      <c r="X6128"/>
      <c r="AO6128"/>
    </row>
    <row r="6129" spans="24:41" x14ac:dyDescent="0.4">
      <c r="X6129"/>
      <c r="AO6129"/>
    </row>
    <row r="6130" spans="24:41" x14ac:dyDescent="0.4">
      <c r="X6130"/>
      <c r="AO6130"/>
    </row>
    <row r="6131" spans="24:41" x14ac:dyDescent="0.4">
      <c r="X6131"/>
      <c r="AO6131"/>
    </row>
    <row r="6132" spans="24:41" x14ac:dyDescent="0.4">
      <c r="X6132"/>
      <c r="AO6132"/>
    </row>
    <row r="6133" spans="24:41" x14ac:dyDescent="0.4">
      <c r="X6133"/>
      <c r="AO6133"/>
    </row>
    <row r="6134" spans="24:41" x14ac:dyDescent="0.4">
      <c r="X6134"/>
      <c r="AO6134"/>
    </row>
    <row r="6135" spans="24:41" x14ac:dyDescent="0.4">
      <c r="X6135"/>
      <c r="AO6135"/>
    </row>
    <row r="6136" spans="24:41" x14ac:dyDescent="0.4">
      <c r="X6136"/>
      <c r="AO6136"/>
    </row>
    <row r="6137" spans="24:41" x14ac:dyDescent="0.4">
      <c r="X6137"/>
      <c r="AO6137"/>
    </row>
    <row r="6138" spans="24:41" x14ac:dyDescent="0.4">
      <c r="X6138"/>
      <c r="AO6138"/>
    </row>
    <row r="6139" spans="24:41" x14ac:dyDescent="0.4">
      <c r="X6139"/>
      <c r="AO6139"/>
    </row>
    <row r="6140" spans="24:41" x14ac:dyDescent="0.4">
      <c r="X6140"/>
      <c r="AO6140"/>
    </row>
    <row r="6141" spans="24:41" x14ac:dyDescent="0.4">
      <c r="X6141"/>
      <c r="AO6141"/>
    </row>
    <row r="6142" spans="24:41" x14ac:dyDescent="0.4">
      <c r="X6142"/>
      <c r="AO6142"/>
    </row>
    <row r="6143" spans="24:41" x14ac:dyDescent="0.4">
      <c r="X6143"/>
      <c r="AO6143"/>
    </row>
    <row r="6144" spans="24:41" x14ac:dyDescent="0.4">
      <c r="X6144"/>
      <c r="AO6144"/>
    </row>
    <row r="6145" spans="24:41" x14ac:dyDescent="0.4">
      <c r="X6145"/>
      <c r="AO6145"/>
    </row>
    <row r="6146" spans="24:41" x14ac:dyDescent="0.4">
      <c r="X6146"/>
      <c r="AO6146"/>
    </row>
    <row r="6147" spans="24:41" x14ac:dyDescent="0.4">
      <c r="X6147"/>
      <c r="AO6147"/>
    </row>
    <row r="6148" spans="24:41" x14ac:dyDescent="0.4">
      <c r="X6148"/>
      <c r="AO6148"/>
    </row>
    <row r="6149" spans="24:41" x14ac:dyDescent="0.4">
      <c r="X6149"/>
      <c r="AO6149"/>
    </row>
    <row r="6150" spans="24:41" x14ac:dyDescent="0.4">
      <c r="X6150"/>
      <c r="AO6150"/>
    </row>
    <row r="6151" spans="24:41" x14ac:dyDescent="0.4">
      <c r="X6151"/>
      <c r="AO6151"/>
    </row>
    <row r="6152" spans="24:41" x14ac:dyDescent="0.4">
      <c r="X6152"/>
      <c r="AO6152"/>
    </row>
    <row r="6153" spans="24:41" x14ac:dyDescent="0.4">
      <c r="X6153"/>
      <c r="AO6153"/>
    </row>
    <row r="6154" spans="24:41" x14ac:dyDescent="0.4">
      <c r="X6154"/>
      <c r="AO6154"/>
    </row>
    <row r="6155" spans="24:41" x14ac:dyDescent="0.4">
      <c r="X6155"/>
      <c r="AO6155"/>
    </row>
    <row r="6156" spans="24:41" x14ac:dyDescent="0.4">
      <c r="X6156"/>
      <c r="AO6156"/>
    </row>
    <row r="6157" spans="24:41" x14ac:dyDescent="0.4">
      <c r="X6157"/>
      <c r="AO6157"/>
    </row>
    <row r="6158" spans="24:41" x14ac:dyDescent="0.4">
      <c r="X6158"/>
      <c r="AO6158"/>
    </row>
    <row r="6159" spans="24:41" x14ac:dyDescent="0.4">
      <c r="X6159"/>
      <c r="AO6159"/>
    </row>
    <row r="6160" spans="24:41" x14ac:dyDescent="0.4">
      <c r="X6160"/>
      <c r="AO6160"/>
    </row>
    <row r="6161" spans="24:41" x14ac:dyDescent="0.4">
      <c r="X6161"/>
      <c r="AO6161"/>
    </row>
    <row r="6162" spans="24:41" x14ac:dyDescent="0.4">
      <c r="X6162"/>
      <c r="AO6162"/>
    </row>
    <row r="6163" spans="24:41" x14ac:dyDescent="0.4">
      <c r="X6163"/>
      <c r="AO6163"/>
    </row>
    <row r="6164" spans="24:41" x14ac:dyDescent="0.4">
      <c r="X6164"/>
      <c r="AO6164"/>
    </row>
    <row r="6165" spans="24:41" x14ac:dyDescent="0.4">
      <c r="X6165"/>
      <c r="AO6165"/>
    </row>
    <row r="6166" spans="24:41" x14ac:dyDescent="0.4">
      <c r="X6166"/>
      <c r="AO6166"/>
    </row>
    <row r="6167" spans="24:41" x14ac:dyDescent="0.4">
      <c r="X6167"/>
      <c r="AO6167"/>
    </row>
    <row r="6168" spans="24:41" x14ac:dyDescent="0.4">
      <c r="X6168"/>
      <c r="AO6168"/>
    </row>
    <row r="6169" spans="24:41" x14ac:dyDescent="0.4">
      <c r="X6169"/>
      <c r="AO6169"/>
    </row>
    <row r="6170" spans="24:41" x14ac:dyDescent="0.4">
      <c r="X6170"/>
      <c r="AO6170"/>
    </row>
    <row r="6171" spans="24:41" x14ac:dyDescent="0.4">
      <c r="X6171"/>
      <c r="AO6171"/>
    </row>
    <row r="6172" spans="24:41" x14ac:dyDescent="0.4">
      <c r="X6172"/>
      <c r="AO6172"/>
    </row>
    <row r="6173" spans="24:41" x14ac:dyDescent="0.4">
      <c r="X6173"/>
      <c r="AO6173"/>
    </row>
    <row r="6174" spans="24:41" x14ac:dyDescent="0.4">
      <c r="X6174"/>
      <c r="AO6174"/>
    </row>
    <row r="6175" spans="24:41" x14ac:dyDescent="0.4">
      <c r="X6175"/>
      <c r="AO6175"/>
    </row>
    <row r="6176" spans="24:41" x14ac:dyDescent="0.4">
      <c r="X6176"/>
      <c r="AO6176"/>
    </row>
    <row r="6177" spans="24:41" x14ac:dyDescent="0.4">
      <c r="X6177"/>
      <c r="AO6177"/>
    </row>
    <row r="6178" spans="24:41" x14ac:dyDescent="0.4">
      <c r="X6178"/>
      <c r="AO6178"/>
    </row>
    <row r="6179" spans="24:41" x14ac:dyDescent="0.4">
      <c r="X6179"/>
      <c r="AO6179"/>
    </row>
    <row r="6180" spans="24:41" x14ac:dyDescent="0.4">
      <c r="X6180"/>
      <c r="AO6180"/>
    </row>
    <row r="6181" spans="24:41" x14ac:dyDescent="0.4">
      <c r="X6181"/>
      <c r="AO6181"/>
    </row>
    <row r="6182" spans="24:41" x14ac:dyDescent="0.4">
      <c r="X6182"/>
      <c r="AO6182"/>
    </row>
    <row r="6183" spans="24:41" x14ac:dyDescent="0.4">
      <c r="X6183"/>
      <c r="AO6183"/>
    </row>
    <row r="6184" spans="24:41" x14ac:dyDescent="0.4">
      <c r="X6184"/>
      <c r="AO6184"/>
    </row>
    <row r="6185" spans="24:41" x14ac:dyDescent="0.4">
      <c r="X6185"/>
      <c r="AO6185"/>
    </row>
    <row r="6186" spans="24:41" x14ac:dyDescent="0.4">
      <c r="X6186"/>
      <c r="AO6186"/>
    </row>
    <row r="6187" spans="24:41" x14ac:dyDescent="0.4">
      <c r="X6187"/>
      <c r="AO6187"/>
    </row>
    <row r="6188" spans="24:41" x14ac:dyDescent="0.4">
      <c r="X6188"/>
      <c r="AO6188"/>
    </row>
    <row r="6189" spans="24:41" x14ac:dyDescent="0.4">
      <c r="X6189"/>
      <c r="AO6189"/>
    </row>
    <row r="6190" spans="24:41" x14ac:dyDescent="0.4">
      <c r="X6190"/>
      <c r="AO6190"/>
    </row>
    <row r="6191" spans="24:41" x14ac:dyDescent="0.4">
      <c r="X6191"/>
      <c r="AO6191"/>
    </row>
    <row r="6192" spans="24:41" x14ac:dyDescent="0.4">
      <c r="X6192"/>
      <c r="AO6192"/>
    </row>
    <row r="6193" spans="24:41" x14ac:dyDescent="0.4">
      <c r="X6193"/>
      <c r="AO6193"/>
    </row>
    <row r="6194" spans="24:41" x14ac:dyDescent="0.4">
      <c r="X6194"/>
      <c r="AO6194"/>
    </row>
    <row r="6195" spans="24:41" x14ac:dyDescent="0.4">
      <c r="X6195"/>
      <c r="AO6195"/>
    </row>
    <row r="6196" spans="24:41" x14ac:dyDescent="0.4">
      <c r="X6196"/>
      <c r="AO6196"/>
    </row>
    <row r="6197" spans="24:41" x14ac:dyDescent="0.4">
      <c r="X6197"/>
      <c r="AO6197"/>
    </row>
    <row r="6198" spans="24:41" x14ac:dyDescent="0.4">
      <c r="X6198"/>
      <c r="AO6198"/>
    </row>
    <row r="6199" spans="24:41" x14ac:dyDescent="0.4">
      <c r="X6199"/>
      <c r="AO6199"/>
    </row>
    <row r="6200" spans="24:41" x14ac:dyDescent="0.4">
      <c r="X6200"/>
      <c r="AO6200"/>
    </row>
    <row r="6201" spans="24:41" x14ac:dyDescent="0.4">
      <c r="X6201"/>
      <c r="AO6201"/>
    </row>
    <row r="6202" spans="24:41" x14ac:dyDescent="0.4">
      <c r="X6202"/>
      <c r="AO6202"/>
    </row>
    <row r="6203" spans="24:41" x14ac:dyDescent="0.4">
      <c r="X6203"/>
      <c r="AO6203"/>
    </row>
    <row r="6204" spans="24:41" x14ac:dyDescent="0.4">
      <c r="X6204"/>
      <c r="AO6204"/>
    </row>
    <row r="6205" spans="24:41" x14ac:dyDescent="0.4">
      <c r="X6205"/>
      <c r="AO6205"/>
    </row>
    <row r="6206" spans="24:41" x14ac:dyDescent="0.4">
      <c r="X6206"/>
      <c r="AO6206"/>
    </row>
    <row r="6207" spans="24:41" x14ac:dyDescent="0.4">
      <c r="X6207"/>
      <c r="AO6207"/>
    </row>
    <row r="6208" spans="24:41" x14ac:dyDescent="0.4">
      <c r="X6208"/>
      <c r="AO6208"/>
    </row>
    <row r="6209" spans="24:41" x14ac:dyDescent="0.4">
      <c r="X6209"/>
      <c r="AO6209"/>
    </row>
    <row r="6210" spans="24:41" x14ac:dyDescent="0.4">
      <c r="X6210"/>
      <c r="AO6210"/>
    </row>
    <row r="6211" spans="24:41" x14ac:dyDescent="0.4">
      <c r="X6211"/>
      <c r="AO6211"/>
    </row>
    <row r="6212" spans="24:41" x14ac:dyDescent="0.4">
      <c r="X6212"/>
      <c r="AO6212"/>
    </row>
    <row r="6213" spans="24:41" x14ac:dyDescent="0.4">
      <c r="X6213"/>
      <c r="AO6213"/>
    </row>
    <row r="6214" spans="24:41" x14ac:dyDescent="0.4">
      <c r="X6214"/>
      <c r="AO6214"/>
    </row>
    <row r="6215" spans="24:41" x14ac:dyDescent="0.4">
      <c r="X6215"/>
      <c r="AO6215"/>
    </row>
    <row r="6216" spans="24:41" x14ac:dyDescent="0.4">
      <c r="X6216"/>
      <c r="AO6216"/>
    </row>
    <row r="6217" spans="24:41" x14ac:dyDescent="0.4">
      <c r="X6217"/>
      <c r="AO6217"/>
    </row>
    <row r="6218" spans="24:41" x14ac:dyDescent="0.4">
      <c r="X6218"/>
      <c r="AO6218"/>
    </row>
    <row r="6219" spans="24:41" x14ac:dyDescent="0.4">
      <c r="X6219"/>
      <c r="AO6219"/>
    </row>
    <row r="6220" spans="24:41" x14ac:dyDescent="0.4">
      <c r="X6220"/>
      <c r="AO6220"/>
    </row>
    <row r="6221" spans="24:41" x14ac:dyDescent="0.4">
      <c r="X6221"/>
      <c r="AO6221"/>
    </row>
    <row r="6222" spans="24:41" x14ac:dyDescent="0.4">
      <c r="X6222"/>
      <c r="AO6222"/>
    </row>
    <row r="6223" spans="24:41" x14ac:dyDescent="0.4">
      <c r="X6223"/>
      <c r="AO6223"/>
    </row>
    <row r="6224" spans="24:41" x14ac:dyDescent="0.4">
      <c r="X6224"/>
      <c r="AO6224"/>
    </row>
    <row r="6225" spans="24:41" x14ac:dyDescent="0.4">
      <c r="X6225"/>
      <c r="AO6225"/>
    </row>
    <row r="6226" spans="24:41" x14ac:dyDescent="0.4">
      <c r="X6226"/>
      <c r="AO6226"/>
    </row>
    <row r="6227" spans="24:41" x14ac:dyDescent="0.4">
      <c r="X6227"/>
      <c r="AO6227"/>
    </row>
    <row r="6228" spans="24:41" x14ac:dyDescent="0.4">
      <c r="X6228"/>
      <c r="AO6228"/>
    </row>
    <row r="6229" spans="24:41" x14ac:dyDescent="0.4">
      <c r="X6229"/>
      <c r="AO6229"/>
    </row>
    <row r="6230" spans="24:41" x14ac:dyDescent="0.4">
      <c r="X6230"/>
      <c r="AO6230"/>
    </row>
    <row r="6231" spans="24:41" x14ac:dyDescent="0.4">
      <c r="X6231"/>
      <c r="AO6231"/>
    </row>
    <row r="6232" spans="24:41" x14ac:dyDescent="0.4">
      <c r="X6232"/>
      <c r="AO6232"/>
    </row>
    <row r="6233" spans="24:41" x14ac:dyDescent="0.4">
      <c r="X6233"/>
      <c r="AO6233"/>
    </row>
    <row r="6234" spans="24:41" x14ac:dyDescent="0.4">
      <c r="X6234"/>
      <c r="AO6234"/>
    </row>
    <row r="6235" spans="24:41" x14ac:dyDescent="0.4">
      <c r="X6235"/>
      <c r="AO6235"/>
    </row>
    <row r="6236" spans="24:41" x14ac:dyDescent="0.4">
      <c r="X6236"/>
      <c r="AO6236"/>
    </row>
    <row r="6237" spans="24:41" x14ac:dyDescent="0.4">
      <c r="X6237"/>
      <c r="AO6237"/>
    </row>
    <row r="6238" spans="24:41" x14ac:dyDescent="0.4">
      <c r="X6238"/>
      <c r="AO6238"/>
    </row>
    <row r="6239" spans="24:41" x14ac:dyDescent="0.4">
      <c r="X6239"/>
      <c r="AO6239"/>
    </row>
    <row r="6240" spans="24:41" x14ac:dyDescent="0.4">
      <c r="X6240"/>
      <c r="AO6240"/>
    </row>
    <row r="6241" spans="24:41" x14ac:dyDescent="0.4">
      <c r="X6241"/>
      <c r="AO6241"/>
    </row>
    <row r="6242" spans="24:41" x14ac:dyDescent="0.4">
      <c r="X6242"/>
      <c r="AO6242"/>
    </row>
    <row r="6243" spans="24:41" x14ac:dyDescent="0.4">
      <c r="X6243"/>
      <c r="AO6243"/>
    </row>
    <row r="6244" spans="24:41" x14ac:dyDescent="0.4">
      <c r="X6244"/>
      <c r="AO6244"/>
    </row>
    <row r="6245" spans="24:41" x14ac:dyDescent="0.4">
      <c r="X6245"/>
      <c r="AO6245"/>
    </row>
    <row r="6246" spans="24:41" x14ac:dyDescent="0.4">
      <c r="X6246"/>
      <c r="AO6246"/>
    </row>
    <row r="6247" spans="24:41" x14ac:dyDescent="0.4">
      <c r="X6247"/>
      <c r="AO6247"/>
    </row>
    <row r="6248" spans="24:41" x14ac:dyDescent="0.4">
      <c r="X6248"/>
      <c r="AO6248"/>
    </row>
    <row r="6249" spans="24:41" x14ac:dyDescent="0.4">
      <c r="X6249"/>
      <c r="AO6249"/>
    </row>
    <row r="6250" spans="24:41" x14ac:dyDescent="0.4">
      <c r="X6250"/>
      <c r="AO6250"/>
    </row>
    <row r="6251" spans="24:41" x14ac:dyDescent="0.4">
      <c r="X6251"/>
      <c r="AO6251"/>
    </row>
    <row r="6252" spans="24:41" x14ac:dyDescent="0.4">
      <c r="X6252"/>
      <c r="AO6252"/>
    </row>
    <row r="6253" spans="24:41" x14ac:dyDescent="0.4">
      <c r="X6253"/>
      <c r="AO6253"/>
    </row>
    <row r="6254" spans="24:41" x14ac:dyDescent="0.4">
      <c r="X6254"/>
      <c r="AO6254"/>
    </row>
    <row r="6255" spans="24:41" x14ac:dyDescent="0.4">
      <c r="X6255"/>
      <c r="AO6255"/>
    </row>
    <row r="6256" spans="24:41" x14ac:dyDescent="0.4">
      <c r="X6256"/>
      <c r="AO6256"/>
    </row>
    <row r="6257" spans="24:41" x14ac:dyDescent="0.4">
      <c r="X6257"/>
      <c r="AO6257"/>
    </row>
    <row r="6258" spans="24:41" x14ac:dyDescent="0.4">
      <c r="X6258"/>
      <c r="AO6258"/>
    </row>
    <row r="6259" spans="24:41" x14ac:dyDescent="0.4">
      <c r="X6259"/>
      <c r="AO6259"/>
    </row>
    <row r="6260" spans="24:41" x14ac:dyDescent="0.4">
      <c r="X6260"/>
      <c r="AO6260"/>
    </row>
    <row r="6261" spans="24:41" x14ac:dyDescent="0.4">
      <c r="X6261"/>
      <c r="AO6261"/>
    </row>
    <row r="6262" spans="24:41" x14ac:dyDescent="0.4">
      <c r="X6262"/>
      <c r="AO6262"/>
    </row>
    <row r="6263" spans="24:41" x14ac:dyDescent="0.4">
      <c r="X6263"/>
      <c r="AO6263"/>
    </row>
    <row r="6264" spans="24:41" x14ac:dyDescent="0.4">
      <c r="X6264"/>
      <c r="AO6264"/>
    </row>
    <row r="6265" spans="24:41" x14ac:dyDescent="0.4">
      <c r="X6265"/>
      <c r="AO6265"/>
    </row>
    <row r="6266" spans="24:41" x14ac:dyDescent="0.4">
      <c r="X6266"/>
      <c r="AO6266"/>
    </row>
    <row r="6267" spans="24:41" x14ac:dyDescent="0.4">
      <c r="X6267"/>
      <c r="AO6267"/>
    </row>
    <row r="6268" spans="24:41" x14ac:dyDescent="0.4">
      <c r="X6268"/>
      <c r="AO6268"/>
    </row>
    <row r="6269" spans="24:41" x14ac:dyDescent="0.4">
      <c r="X6269"/>
      <c r="AO6269"/>
    </row>
    <row r="6270" spans="24:41" x14ac:dyDescent="0.4">
      <c r="X6270"/>
      <c r="AO6270"/>
    </row>
    <row r="6271" spans="24:41" x14ac:dyDescent="0.4">
      <c r="X6271"/>
      <c r="AO6271"/>
    </row>
    <row r="6272" spans="24:41" x14ac:dyDescent="0.4">
      <c r="X6272"/>
      <c r="AO6272"/>
    </row>
    <row r="6273" spans="24:41" x14ac:dyDescent="0.4">
      <c r="X6273"/>
      <c r="AO6273"/>
    </row>
    <row r="6274" spans="24:41" x14ac:dyDescent="0.4">
      <c r="X6274"/>
      <c r="AO6274"/>
    </row>
    <row r="6275" spans="24:41" x14ac:dyDescent="0.4">
      <c r="X6275"/>
      <c r="AO6275"/>
    </row>
    <row r="6276" spans="24:41" x14ac:dyDescent="0.4">
      <c r="X6276"/>
      <c r="AO6276"/>
    </row>
    <row r="6277" spans="24:41" x14ac:dyDescent="0.4">
      <c r="X6277"/>
      <c r="AO6277"/>
    </row>
    <row r="6278" spans="24:41" x14ac:dyDescent="0.4">
      <c r="X6278"/>
      <c r="AO6278"/>
    </row>
    <row r="6279" spans="24:41" x14ac:dyDescent="0.4">
      <c r="X6279"/>
      <c r="AO6279"/>
    </row>
    <row r="6280" spans="24:41" x14ac:dyDescent="0.4">
      <c r="X6280"/>
      <c r="AO6280"/>
    </row>
    <row r="6281" spans="24:41" x14ac:dyDescent="0.4">
      <c r="X6281"/>
      <c r="AO6281"/>
    </row>
    <row r="6282" spans="24:41" x14ac:dyDescent="0.4">
      <c r="X6282"/>
      <c r="AO6282"/>
    </row>
    <row r="6283" spans="24:41" x14ac:dyDescent="0.4">
      <c r="X6283"/>
      <c r="AO6283"/>
    </row>
    <row r="6284" spans="24:41" x14ac:dyDescent="0.4">
      <c r="X6284"/>
      <c r="AO6284"/>
    </row>
    <row r="6285" spans="24:41" x14ac:dyDescent="0.4">
      <c r="X6285"/>
      <c r="AO6285"/>
    </row>
    <row r="6286" spans="24:41" x14ac:dyDescent="0.4">
      <c r="X6286"/>
      <c r="AO6286"/>
    </row>
    <row r="6287" spans="24:41" x14ac:dyDescent="0.4">
      <c r="X6287"/>
      <c r="AO6287"/>
    </row>
    <row r="6288" spans="24:41" x14ac:dyDescent="0.4">
      <c r="X6288"/>
      <c r="AO6288"/>
    </row>
    <row r="6289" spans="24:41" x14ac:dyDescent="0.4">
      <c r="X6289"/>
      <c r="AO6289"/>
    </row>
    <row r="6290" spans="24:41" x14ac:dyDescent="0.4">
      <c r="X6290"/>
      <c r="AO6290"/>
    </row>
    <row r="6291" spans="24:41" x14ac:dyDescent="0.4">
      <c r="X6291"/>
      <c r="AO6291"/>
    </row>
    <row r="6292" spans="24:41" x14ac:dyDescent="0.4">
      <c r="X6292"/>
      <c r="AO6292"/>
    </row>
    <row r="6293" spans="24:41" x14ac:dyDescent="0.4">
      <c r="X6293"/>
      <c r="AO6293"/>
    </row>
    <row r="6294" spans="24:41" x14ac:dyDescent="0.4">
      <c r="X6294"/>
      <c r="AO6294"/>
    </row>
    <row r="6295" spans="24:41" x14ac:dyDescent="0.4">
      <c r="X6295"/>
      <c r="AO6295"/>
    </row>
    <row r="6296" spans="24:41" x14ac:dyDescent="0.4">
      <c r="X6296"/>
      <c r="AO6296"/>
    </row>
    <row r="6297" spans="24:41" x14ac:dyDescent="0.4">
      <c r="X6297"/>
      <c r="AO6297"/>
    </row>
    <row r="6298" spans="24:41" x14ac:dyDescent="0.4">
      <c r="X6298"/>
      <c r="AO6298"/>
    </row>
    <row r="6299" spans="24:41" x14ac:dyDescent="0.4">
      <c r="X6299"/>
      <c r="AO6299"/>
    </row>
    <row r="6300" spans="24:41" x14ac:dyDescent="0.4">
      <c r="X6300"/>
      <c r="AO6300"/>
    </row>
    <row r="6301" spans="24:41" x14ac:dyDescent="0.4">
      <c r="X6301"/>
      <c r="AO6301"/>
    </row>
    <row r="6302" spans="24:41" x14ac:dyDescent="0.4">
      <c r="X6302"/>
      <c r="AO6302"/>
    </row>
    <row r="6303" spans="24:41" x14ac:dyDescent="0.4">
      <c r="X6303"/>
      <c r="AO6303"/>
    </row>
    <row r="6304" spans="24:41" x14ac:dyDescent="0.4">
      <c r="X6304"/>
      <c r="AO6304"/>
    </row>
    <row r="6305" spans="24:41" x14ac:dyDescent="0.4">
      <c r="X6305"/>
      <c r="AO6305"/>
    </row>
    <row r="6306" spans="24:41" x14ac:dyDescent="0.4">
      <c r="X6306"/>
      <c r="AO6306"/>
    </row>
    <row r="6307" spans="24:41" x14ac:dyDescent="0.4">
      <c r="X6307"/>
      <c r="AO6307"/>
    </row>
    <row r="6308" spans="24:41" x14ac:dyDescent="0.4">
      <c r="X6308"/>
      <c r="AO6308"/>
    </row>
    <row r="6309" spans="24:41" x14ac:dyDescent="0.4">
      <c r="X6309"/>
      <c r="AO6309"/>
    </row>
    <row r="6310" spans="24:41" x14ac:dyDescent="0.4">
      <c r="X6310"/>
      <c r="AO6310"/>
    </row>
    <row r="6311" spans="24:41" x14ac:dyDescent="0.4">
      <c r="X6311"/>
      <c r="AO6311"/>
    </row>
    <row r="6312" spans="24:41" x14ac:dyDescent="0.4">
      <c r="X6312"/>
      <c r="AO6312"/>
    </row>
    <row r="6313" spans="24:41" x14ac:dyDescent="0.4">
      <c r="X6313"/>
      <c r="AO6313"/>
    </row>
    <row r="6314" spans="24:41" x14ac:dyDescent="0.4">
      <c r="X6314"/>
      <c r="AO6314"/>
    </row>
    <row r="6315" spans="24:41" x14ac:dyDescent="0.4">
      <c r="X6315"/>
      <c r="AO6315"/>
    </row>
    <row r="6316" spans="24:41" x14ac:dyDescent="0.4">
      <c r="X6316"/>
      <c r="AO6316"/>
    </row>
    <row r="6317" spans="24:41" x14ac:dyDescent="0.4">
      <c r="X6317"/>
      <c r="AO6317"/>
    </row>
    <row r="6318" spans="24:41" x14ac:dyDescent="0.4">
      <c r="X6318"/>
      <c r="AO6318"/>
    </row>
    <row r="6319" spans="24:41" x14ac:dyDescent="0.4">
      <c r="X6319"/>
      <c r="AO6319"/>
    </row>
    <row r="6320" spans="24:41" x14ac:dyDescent="0.4">
      <c r="X6320"/>
      <c r="AO6320"/>
    </row>
    <row r="6321" spans="24:41" x14ac:dyDescent="0.4">
      <c r="X6321"/>
      <c r="AO6321"/>
    </row>
    <row r="6322" spans="24:41" x14ac:dyDescent="0.4">
      <c r="X6322"/>
      <c r="AO6322"/>
    </row>
    <row r="6323" spans="24:41" x14ac:dyDescent="0.4">
      <c r="X6323"/>
      <c r="AO6323"/>
    </row>
    <row r="6324" spans="24:41" x14ac:dyDescent="0.4">
      <c r="X6324"/>
      <c r="AO6324"/>
    </row>
    <row r="6325" spans="24:41" x14ac:dyDescent="0.4">
      <c r="X6325"/>
      <c r="AO6325"/>
    </row>
    <row r="6326" spans="24:41" x14ac:dyDescent="0.4">
      <c r="X6326"/>
      <c r="AO6326"/>
    </row>
    <row r="6327" spans="24:41" x14ac:dyDescent="0.4">
      <c r="X6327"/>
      <c r="AO6327"/>
    </row>
    <row r="6328" spans="24:41" x14ac:dyDescent="0.4">
      <c r="X6328"/>
      <c r="AO6328"/>
    </row>
    <row r="6329" spans="24:41" x14ac:dyDescent="0.4">
      <c r="X6329"/>
      <c r="AO6329"/>
    </row>
    <row r="6330" spans="24:41" x14ac:dyDescent="0.4">
      <c r="X6330"/>
      <c r="AO6330"/>
    </row>
    <row r="6331" spans="24:41" x14ac:dyDescent="0.4">
      <c r="X6331"/>
      <c r="AO6331"/>
    </row>
    <row r="6332" spans="24:41" x14ac:dyDescent="0.4">
      <c r="X6332"/>
      <c r="AO6332"/>
    </row>
    <row r="6333" spans="24:41" x14ac:dyDescent="0.4">
      <c r="X6333"/>
      <c r="AO6333"/>
    </row>
    <row r="6334" spans="24:41" x14ac:dyDescent="0.4">
      <c r="X6334"/>
      <c r="AO6334"/>
    </row>
    <row r="6335" spans="24:41" x14ac:dyDescent="0.4">
      <c r="X6335"/>
      <c r="AO6335"/>
    </row>
    <row r="6336" spans="24:41" x14ac:dyDescent="0.4">
      <c r="X6336"/>
      <c r="AO6336"/>
    </row>
    <row r="6337" spans="24:41" x14ac:dyDescent="0.4">
      <c r="X6337"/>
      <c r="AO6337"/>
    </row>
    <row r="6338" spans="24:41" x14ac:dyDescent="0.4">
      <c r="X6338"/>
      <c r="AO6338"/>
    </row>
    <row r="6339" spans="24:41" x14ac:dyDescent="0.4">
      <c r="X6339"/>
      <c r="AO6339"/>
    </row>
    <row r="6340" spans="24:41" x14ac:dyDescent="0.4">
      <c r="X6340"/>
      <c r="AO6340"/>
    </row>
    <row r="6341" spans="24:41" x14ac:dyDescent="0.4">
      <c r="X6341"/>
      <c r="AO6341"/>
    </row>
    <row r="6342" spans="24:41" x14ac:dyDescent="0.4">
      <c r="X6342"/>
      <c r="AO6342"/>
    </row>
    <row r="6343" spans="24:41" x14ac:dyDescent="0.4">
      <c r="X6343"/>
      <c r="AO6343"/>
    </row>
    <row r="6344" spans="24:41" x14ac:dyDescent="0.4">
      <c r="X6344"/>
      <c r="AO6344"/>
    </row>
    <row r="6345" spans="24:41" x14ac:dyDescent="0.4">
      <c r="X6345"/>
      <c r="AO6345"/>
    </row>
    <row r="6346" spans="24:41" x14ac:dyDescent="0.4">
      <c r="X6346"/>
      <c r="AO6346"/>
    </row>
    <row r="6347" spans="24:41" x14ac:dyDescent="0.4">
      <c r="X6347"/>
      <c r="AO6347"/>
    </row>
    <row r="6348" spans="24:41" x14ac:dyDescent="0.4">
      <c r="X6348"/>
      <c r="AO6348"/>
    </row>
    <row r="6349" spans="24:41" x14ac:dyDescent="0.4">
      <c r="X6349"/>
      <c r="AO6349"/>
    </row>
    <row r="6350" spans="24:41" x14ac:dyDescent="0.4">
      <c r="X6350"/>
      <c r="AO6350"/>
    </row>
    <row r="6351" spans="24:41" x14ac:dyDescent="0.4">
      <c r="X6351"/>
      <c r="AO6351"/>
    </row>
    <row r="6352" spans="24:41" x14ac:dyDescent="0.4">
      <c r="X6352"/>
      <c r="AO6352"/>
    </row>
    <row r="6353" spans="24:41" x14ac:dyDescent="0.4">
      <c r="X6353"/>
      <c r="AO6353"/>
    </row>
    <row r="6354" spans="24:41" x14ac:dyDescent="0.4">
      <c r="X6354"/>
      <c r="AO6354"/>
    </row>
    <row r="6355" spans="24:41" x14ac:dyDescent="0.4">
      <c r="X6355"/>
      <c r="AO6355"/>
    </row>
    <row r="6356" spans="24:41" x14ac:dyDescent="0.4">
      <c r="X6356"/>
      <c r="AO6356"/>
    </row>
    <row r="6357" spans="24:41" x14ac:dyDescent="0.4">
      <c r="X6357"/>
      <c r="AO6357"/>
    </row>
    <row r="6358" spans="24:41" x14ac:dyDescent="0.4">
      <c r="X6358"/>
      <c r="AO6358"/>
    </row>
    <row r="6359" spans="24:41" x14ac:dyDescent="0.4">
      <c r="X6359"/>
      <c r="AO6359"/>
    </row>
    <row r="6360" spans="24:41" x14ac:dyDescent="0.4">
      <c r="X6360"/>
      <c r="AO6360"/>
    </row>
    <row r="6361" spans="24:41" x14ac:dyDescent="0.4">
      <c r="X6361"/>
      <c r="AO6361"/>
    </row>
    <row r="6362" spans="24:41" x14ac:dyDescent="0.4">
      <c r="X6362"/>
      <c r="AO6362"/>
    </row>
    <row r="6363" spans="24:41" x14ac:dyDescent="0.4">
      <c r="X6363"/>
      <c r="AO6363"/>
    </row>
    <row r="6364" spans="24:41" x14ac:dyDescent="0.4">
      <c r="X6364"/>
      <c r="AO6364"/>
    </row>
    <row r="6365" spans="24:41" x14ac:dyDescent="0.4">
      <c r="X6365"/>
      <c r="AO6365"/>
    </row>
    <row r="6366" spans="24:41" x14ac:dyDescent="0.4">
      <c r="X6366"/>
      <c r="AO6366"/>
    </row>
    <row r="6367" spans="24:41" x14ac:dyDescent="0.4">
      <c r="X6367"/>
      <c r="AO6367"/>
    </row>
    <row r="6368" spans="24:41" x14ac:dyDescent="0.4">
      <c r="X6368"/>
      <c r="AO6368"/>
    </row>
    <row r="6369" spans="24:41" x14ac:dyDescent="0.4">
      <c r="X6369"/>
      <c r="AO6369"/>
    </row>
    <row r="6370" spans="24:41" x14ac:dyDescent="0.4">
      <c r="X6370"/>
      <c r="AO6370"/>
    </row>
    <row r="6371" spans="24:41" x14ac:dyDescent="0.4">
      <c r="X6371"/>
      <c r="AO6371"/>
    </row>
    <row r="6372" spans="24:41" x14ac:dyDescent="0.4">
      <c r="X6372"/>
      <c r="AO6372"/>
    </row>
    <row r="6373" spans="24:41" x14ac:dyDescent="0.4">
      <c r="X6373"/>
      <c r="AO6373"/>
    </row>
    <row r="6374" spans="24:41" x14ac:dyDescent="0.4">
      <c r="X6374"/>
      <c r="AO6374"/>
    </row>
    <row r="6375" spans="24:41" x14ac:dyDescent="0.4">
      <c r="X6375"/>
      <c r="AO6375"/>
    </row>
    <row r="6376" spans="24:41" x14ac:dyDescent="0.4">
      <c r="X6376"/>
      <c r="AO6376"/>
    </row>
    <row r="6377" spans="24:41" x14ac:dyDescent="0.4">
      <c r="X6377"/>
      <c r="AO6377"/>
    </row>
    <row r="6378" spans="24:41" x14ac:dyDescent="0.4">
      <c r="X6378"/>
      <c r="AO6378"/>
    </row>
    <row r="6379" spans="24:41" x14ac:dyDescent="0.4">
      <c r="X6379"/>
      <c r="AO6379"/>
    </row>
    <row r="6380" spans="24:41" x14ac:dyDescent="0.4">
      <c r="X6380"/>
      <c r="AO6380"/>
    </row>
    <row r="6381" spans="24:41" x14ac:dyDescent="0.4">
      <c r="X6381"/>
      <c r="AO6381"/>
    </row>
    <row r="6382" spans="24:41" x14ac:dyDescent="0.4">
      <c r="X6382"/>
      <c r="AO6382"/>
    </row>
    <row r="6383" spans="24:41" x14ac:dyDescent="0.4">
      <c r="X6383"/>
      <c r="AO6383"/>
    </row>
    <row r="6384" spans="24:41" x14ac:dyDescent="0.4">
      <c r="X6384"/>
      <c r="AO6384"/>
    </row>
    <row r="6385" spans="24:41" x14ac:dyDescent="0.4">
      <c r="X6385"/>
      <c r="AO6385"/>
    </row>
    <row r="6386" spans="24:41" x14ac:dyDescent="0.4">
      <c r="X6386"/>
      <c r="AO6386"/>
    </row>
    <row r="6387" spans="24:41" x14ac:dyDescent="0.4">
      <c r="X6387"/>
      <c r="AO6387"/>
    </row>
    <row r="6388" spans="24:41" x14ac:dyDescent="0.4">
      <c r="X6388"/>
      <c r="AO6388"/>
    </row>
    <row r="6389" spans="24:41" x14ac:dyDescent="0.4">
      <c r="X6389"/>
      <c r="AO6389"/>
    </row>
    <row r="6390" spans="24:41" x14ac:dyDescent="0.4">
      <c r="X6390"/>
      <c r="AO6390"/>
    </row>
    <row r="6391" spans="24:41" x14ac:dyDescent="0.4">
      <c r="X6391"/>
      <c r="AO6391"/>
    </row>
    <row r="6392" spans="24:41" x14ac:dyDescent="0.4">
      <c r="X6392"/>
      <c r="AO6392"/>
    </row>
    <row r="6393" spans="24:41" x14ac:dyDescent="0.4">
      <c r="X6393"/>
      <c r="AO6393"/>
    </row>
    <row r="6394" spans="24:41" x14ac:dyDescent="0.4">
      <c r="X6394"/>
      <c r="AO6394"/>
    </row>
    <row r="6395" spans="24:41" x14ac:dyDescent="0.4">
      <c r="X6395"/>
      <c r="AO6395"/>
    </row>
    <row r="6396" spans="24:41" x14ac:dyDescent="0.4">
      <c r="X6396"/>
      <c r="AO6396"/>
    </row>
    <row r="6397" spans="24:41" x14ac:dyDescent="0.4">
      <c r="X6397"/>
      <c r="AO6397"/>
    </row>
    <row r="6398" spans="24:41" x14ac:dyDescent="0.4">
      <c r="X6398"/>
      <c r="AO6398"/>
    </row>
    <row r="6399" spans="24:41" x14ac:dyDescent="0.4">
      <c r="X6399"/>
      <c r="AO6399"/>
    </row>
    <row r="6400" spans="24:41" x14ac:dyDescent="0.4">
      <c r="X6400"/>
      <c r="AO6400"/>
    </row>
    <row r="6401" spans="24:41" x14ac:dyDescent="0.4">
      <c r="X6401"/>
      <c r="AO6401"/>
    </row>
    <row r="6402" spans="24:41" x14ac:dyDescent="0.4">
      <c r="X6402"/>
      <c r="AO6402"/>
    </row>
    <row r="6403" spans="24:41" x14ac:dyDescent="0.4">
      <c r="X6403"/>
      <c r="AO6403"/>
    </row>
    <row r="6404" spans="24:41" x14ac:dyDescent="0.4">
      <c r="X6404"/>
      <c r="AO6404"/>
    </row>
    <row r="6405" spans="24:41" x14ac:dyDescent="0.4">
      <c r="X6405"/>
      <c r="AO6405"/>
    </row>
    <row r="6406" spans="24:41" x14ac:dyDescent="0.4">
      <c r="X6406"/>
      <c r="AO6406"/>
    </row>
    <row r="6407" spans="24:41" x14ac:dyDescent="0.4">
      <c r="X6407"/>
      <c r="AO6407"/>
    </row>
    <row r="6408" spans="24:41" x14ac:dyDescent="0.4">
      <c r="X6408"/>
      <c r="AO6408"/>
    </row>
    <row r="6409" spans="24:41" x14ac:dyDescent="0.4">
      <c r="X6409"/>
      <c r="AO6409"/>
    </row>
    <row r="6410" spans="24:41" x14ac:dyDescent="0.4">
      <c r="X6410"/>
      <c r="AO6410"/>
    </row>
    <row r="6411" spans="24:41" x14ac:dyDescent="0.4">
      <c r="X6411"/>
      <c r="AO6411"/>
    </row>
    <row r="6412" spans="24:41" x14ac:dyDescent="0.4">
      <c r="X6412"/>
      <c r="AO6412"/>
    </row>
    <row r="6413" spans="24:41" x14ac:dyDescent="0.4">
      <c r="X6413"/>
      <c r="AO6413"/>
    </row>
    <row r="6414" spans="24:41" x14ac:dyDescent="0.4">
      <c r="X6414"/>
      <c r="AO6414"/>
    </row>
    <row r="6415" spans="24:41" x14ac:dyDescent="0.4">
      <c r="X6415"/>
      <c r="AO6415"/>
    </row>
    <row r="6416" spans="24:41" x14ac:dyDescent="0.4">
      <c r="X6416"/>
      <c r="AO6416"/>
    </row>
    <row r="6417" spans="24:41" x14ac:dyDescent="0.4">
      <c r="X6417"/>
      <c r="AO6417"/>
    </row>
    <row r="6418" spans="24:41" x14ac:dyDescent="0.4">
      <c r="X6418"/>
      <c r="AO6418"/>
    </row>
    <row r="6419" spans="24:41" x14ac:dyDescent="0.4">
      <c r="X6419"/>
      <c r="AO6419"/>
    </row>
    <row r="6420" spans="24:41" x14ac:dyDescent="0.4">
      <c r="X6420"/>
      <c r="AO6420"/>
    </row>
    <row r="6421" spans="24:41" x14ac:dyDescent="0.4">
      <c r="X6421"/>
      <c r="AO6421"/>
    </row>
    <row r="6422" spans="24:41" x14ac:dyDescent="0.4">
      <c r="X6422"/>
      <c r="AO6422"/>
    </row>
    <row r="6423" spans="24:41" x14ac:dyDescent="0.4">
      <c r="X6423"/>
      <c r="AO6423"/>
    </row>
    <row r="6424" spans="24:41" x14ac:dyDescent="0.4">
      <c r="X6424"/>
      <c r="AO6424"/>
    </row>
    <row r="6425" spans="24:41" x14ac:dyDescent="0.4">
      <c r="X6425"/>
      <c r="AO6425"/>
    </row>
    <row r="6426" spans="24:41" x14ac:dyDescent="0.4">
      <c r="X6426"/>
      <c r="AO6426"/>
    </row>
    <row r="6427" spans="24:41" x14ac:dyDescent="0.4">
      <c r="X6427"/>
      <c r="AO6427"/>
    </row>
    <row r="6428" spans="24:41" x14ac:dyDescent="0.4">
      <c r="X6428"/>
      <c r="AO6428"/>
    </row>
    <row r="6429" spans="24:41" x14ac:dyDescent="0.4">
      <c r="X6429"/>
      <c r="AO6429"/>
    </row>
    <row r="6430" spans="24:41" x14ac:dyDescent="0.4">
      <c r="X6430"/>
      <c r="AO6430"/>
    </row>
    <row r="6431" spans="24:41" x14ac:dyDescent="0.4">
      <c r="X6431"/>
      <c r="AO6431"/>
    </row>
    <row r="6432" spans="24:41" x14ac:dyDescent="0.4">
      <c r="X6432"/>
      <c r="AO6432"/>
    </row>
    <row r="6433" spans="24:41" x14ac:dyDescent="0.4">
      <c r="X6433"/>
      <c r="AO6433"/>
    </row>
    <row r="6434" spans="24:41" x14ac:dyDescent="0.4">
      <c r="X6434"/>
      <c r="AO6434"/>
    </row>
    <row r="6435" spans="24:41" x14ac:dyDescent="0.4">
      <c r="X6435"/>
      <c r="AO6435"/>
    </row>
    <row r="6436" spans="24:41" x14ac:dyDescent="0.4">
      <c r="X6436"/>
      <c r="AO6436"/>
    </row>
    <row r="6437" spans="24:41" x14ac:dyDescent="0.4">
      <c r="X6437"/>
      <c r="AO6437"/>
    </row>
    <row r="6438" spans="24:41" x14ac:dyDescent="0.4">
      <c r="X6438"/>
      <c r="AO6438"/>
    </row>
    <row r="6439" spans="24:41" x14ac:dyDescent="0.4">
      <c r="X6439"/>
      <c r="AO6439"/>
    </row>
    <row r="6440" spans="24:41" x14ac:dyDescent="0.4">
      <c r="X6440"/>
      <c r="AO6440"/>
    </row>
    <row r="6441" spans="24:41" x14ac:dyDescent="0.4">
      <c r="X6441"/>
      <c r="AO6441"/>
    </row>
    <row r="6442" spans="24:41" x14ac:dyDescent="0.4">
      <c r="X6442"/>
      <c r="AO6442"/>
    </row>
    <row r="6443" spans="24:41" x14ac:dyDescent="0.4">
      <c r="X6443"/>
      <c r="AO6443"/>
    </row>
    <row r="6444" spans="24:41" x14ac:dyDescent="0.4">
      <c r="X6444"/>
      <c r="AO6444"/>
    </row>
    <row r="6445" spans="24:41" x14ac:dyDescent="0.4">
      <c r="X6445"/>
      <c r="AO6445"/>
    </row>
    <row r="6446" spans="24:41" x14ac:dyDescent="0.4">
      <c r="X6446"/>
      <c r="AO6446"/>
    </row>
    <row r="6447" spans="24:41" x14ac:dyDescent="0.4">
      <c r="X6447"/>
      <c r="AO6447"/>
    </row>
    <row r="6448" spans="24:41" x14ac:dyDescent="0.4">
      <c r="X6448"/>
      <c r="AO6448"/>
    </row>
    <row r="6449" spans="24:41" x14ac:dyDescent="0.4">
      <c r="X6449"/>
      <c r="AO6449"/>
    </row>
    <row r="6450" spans="24:41" x14ac:dyDescent="0.4">
      <c r="X6450"/>
      <c r="AO6450"/>
    </row>
    <row r="6451" spans="24:41" x14ac:dyDescent="0.4">
      <c r="X6451"/>
      <c r="AO6451"/>
    </row>
    <row r="6452" spans="24:41" x14ac:dyDescent="0.4">
      <c r="X6452"/>
      <c r="AO6452"/>
    </row>
    <row r="6453" spans="24:41" x14ac:dyDescent="0.4">
      <c r="X6453"/>
      <c r="AO6453"/>
    </row>
    <row r="6454" spans="24:41" x14ac:dyDescent="0.4">
      <c r="X6454"/>
      <c r="AO6454"/>
    </row>
    <row r="6455" spans="24:41" x14ac:dyDescent="0.4">
      <c r="X6455"/>
      <c r="AO6455"/>
    </row>
    <row r="6456" spans="24:41" x14ac:dyDescent="0.4">
      <c r="X6456"/>
      <c r="AO6456"/>
    </row>
    <row r="6457" spans="24:41" x14ac:dyDescent="0.4">
      <c r="X6457"/>
      <c r="AO6457"/>
    </row>
    <row r="6458" spans="24:41" x14ac:dyDescent="0.4">
      <c r="X6458"/>
      <c r="AO6458"/>
    </row>
    <row r="6459" spans="24:41" x14ac:dyDescent="0.4">
      <c r="X6459"/>
      <c r="AO6459"/>
    </row>
    <row r="6460" spans="24:41" x14ac:dyDescent="0.4">
      <c r="X6460"/>
      <c r="AO6460"/>
    </row>
    <row r="6461" spans="24:41" x14ac:dyDescent="0.4">
      <c r="X6461"/>
      <c r="AO6461"/>
    </row>
    <row r="6462" spans="24:41" x14ac:dyDescent="0.4">
      <c r="X6462"/>
      <c r="AO6462"/>
    </row>
    <row r="6463" spans="24:41" x14ac:dyDescent="0.4">
      <c r="X6463"/>
      <c r="AO6463"/>
    </row>
    <row r="6464" spans="24:41" x14ac:dyDescent="0.4">
      <c r="X6464"/>
      <c r="AO6464"/>
    </row>
    <row r="6465" spans="24:41" x14ac:dyDescent="0.4">
      <c r="X6465"/>
      <c r="AO6465"/>
    </row>
    <row r="6466" spans="24:41" x14ac:dyDescent="0.4">
      <c r="X6466"/>
      <c r="AO6466"/>
    </row>
    <row r="6467" spans="24:41" x14ac:dyDescent="0.4">
      <c r="X6467"/>
      <c r="AO6467"/>
    </row>
    <row r="6468" spans="24:41" x14ac:dyDescent="0.4">
      <c r="X6468"/>
      <c r="AO6468"/>
    </row>
    <row r="6469" spans="24:41" x14ac:dyDescent="0.4">
      <c r="X6469"/>
      <c r="AO6469"/>
    </row>
    <row r="6470" spans="24:41" x14ac:dyDescent="0.4">
      <c r="X6470"/>
      <c r="AO6470"/>
    </row>
    <row r="6471" spans="24:41" x14ac:dyDescent="0.4">
      <c r="X6471"/>
      <c r="AO6471"/>
    </row>
    <row r="6472" spans="24:41" x14ac:dyDescent="0.4">
      <c r="X6472"/>
      <c r="AO6472"/>
    </row>
    <row r="6473" spans="24:41" x14ac:dyDescent="0.4">
      <c r="X6473"/>
      <c r="AO6473"/>
    </row>
    <row r="6474" spans="24:41" x14ac:dyDescent="0.4">
      <c r="X6474"/>
      <c r="AO6474"/>
    </row>
    <row r="6475" spans="24:41" x14ac:dyDescent="0.4">
      <c r="X6475"/>
      <c r="AO6475"/>
    </row>
    <row r="6476" spans="24:41" x14ac:dyDescent="0.4">
      <c r="X6476"/>
      <c r="AO6476"/>
    </row>
    <row r="6477" spans="24:41" x14ac:dyDescent="0.4">
      <c r="X6477"/>
      <c r="AO6477"/>
    </row>
    <row r="6478" spans="24:41" x14ac:dyDescent="0.4">
      <c r="X6478"/>
      <c r="AO6478"/>
    </row>
    <row r="6479" spans="24:41" x14ac:dyDescent="0.4">
      <c r="X6479"/>
      <c r="AO6479"/>
    </row>
    <row r="6480" spans="24:41" x14ac:dyDescent="0.4">
      <c r="X6480"/>
      <c r="AO6480"/>
    </row>
    <row r="6481" spans="24:41" x14ac:dyDescent="0.4">
      <c r="X6481"/>
      <c r="AO6481"/>
    </row>
    <row r="6482" spans="24:41" x14ac:dyDescent="0.4">
      <c r="X6482"/>
      <c r="AO6482"/>
    </row>
    <row r="6483" spans="24:41" x14ac:dyDescent="0.4">
      <c r="X6483"/>
      <c r="AO6483"/>
    </row>
    <row r="6484" spans="24:41" x14ac:dyDescent="0.4">
      <c r="X6484"/>
      <c r="AO6484"/>
    </row>
    <row r="6485" spans="24:41" x14ac:dyDescent="0.4">
      <c r="X6485"/>
      <c r="AO6485"/>
    </row>
    <row r="6486" spans="24:41" x14ac:dyDescent="0.4">
      <c r="X6486"/>
      <c r="AO6486"/>
    </row>
    <row r="6487" spans="24:41" x14ac:dyDescent="0.4">
      <c r="X6487"/>
      <c r="AO6487"/>
    </row>
    <row r="6488" spans="24:41" x14ac:dyDescent="0.4">
      <c r="X6488"/>
      <c r="AO6488"/>
    </row>
    <row r="6489" spans="24:41" x14ac:dyDescent="0.4">
      <c r="X6489"/>
      <c r="AO6489"/>
    </row>
    <row r="6490" spans="24:41" x14ac:dyDescent="0.4">
      <c r="X6490"/>
      <c r="AO6490"/>
    </row>
    <row r="6491" spans="24:41" x14ac:dyDescent="0.4">
      <c r="X6491"/>
      <c r="AO6491"/>
    </row>
    <row r="6492" spans="24:41" x14ac:dyDescent="0.4">
      <c r="X6492"/>
      <c r="AO6492"/>
    </row>
    <row r="6493" spans="24:41" x14ac:dyDescent="0.4">
      <c r="X6493"/>
      <c r="AO6493"/>
    </row>
    <row r="6494" spans="24:41" x14ac:dyDescent="0.4">
      <c r="X6494"/>
      <c r="AO6494"/>
    </row>
    <row r="6495" spans="24:41" x14ac:dyDescent="0.4">
      <c r="X6495"/>
      <c r="AO6495"/>
    </row>
    <row r="6496" spans="24:41" x14ac:dyDescent="0.4">
      <c r="X6496"/>
      <c r="AO6496"/>
    </row>
    <row r="6497" spans="24:41" x14ac:dyDescent="0.4">
      <c r="X6497"/>
      <c r="AO6497"/>
    </row>
    <row r="6498" spans="24:41" x14ac:dyDescent="0.4">
      <c r="X6498"/>
      <c r="AO6498"/>
    </row>
    <row r="6499" spans="24:41" x14ac:dyDescent="0.4">
      <c r="X6499"/>
      <c r="AO6499"/>
    </row>
    <row r="6500" spans="24:41" x14ac:dyDescent="0.4">
      <c r="X6500"/>
      <c r="AO6500"/>
    </row>
    <row r="6501" spans="24:41" x14ac:dyDescent="0.4">
      <c r="X6501"/>
      <c r="AO6501"/>
    </row>
    <row r="6502" spans="24:41" x14ac:dyDescent="0.4">
      <c r="X6502"/>
      <c r="AO6502"/>
    </row>
    <row r="6503" spans="24:41" x14ac:dyDescent="0.4">
      <c r="X6503"/>
      <c r="AO6503"/>
    </row>
    <row r="6504" spans="24:41" x14ac:dyDescent="0.4">
      <c r="X6504"/>
      <c r="AO6504"/>
    </row>
    <row r="6505" spans="24:41" x14ac:dyDescent="0.4">
      <c r="X6505"/>
      <c r="AO6505"/>
    </row>
    <row r="6506" spans="24:41" x14ac:dyDescent="0.4">
      <c r="X6506"/>
      <c r="AO6506"/>
    </row>
    <row r="6507" spans="24:41" x14ac:dyDescent="0.4">
      <c r="X6507"/>
      <c r="AO6507"/>
    </row>
    <row r="6508" spans="24:41" x14ac:dyDescent="0.4">
      <c r="X6508"/>
      <c r="AO6508"/>
    </row>
    <row r="6509" spans="24:41" x14ac:dyDescent="0.4">
      <c r="X6509"/>
      <c r="AO6509"/>
    </row>
    <row r="6510" spans="24:41" x14ac:dyDescent="0.4">
      <c r="X6510"/>
      <c r="AO6510"/>
    </row>
    <row r="6511" spans="24:41" x14ac:dyDescent="0.4">
      <c r="X6511"/>
      <c r="AO6511"/>
    </row>
    <row r="6512" spans="24:41" x14ac:dyDescent="0.4">
      <c r="X6512"/>
      <c r="AO6512"/>
    </row>
    <row r="6513" spans="24:41" x14ac:dyDescent="0.4">
      <c r="X6513"/>
      <c r="AO6513"/>
    </row>
    <row r="6514" spans="24:41" x14ac:dyDescent="0.4">
      <c r="X6514"/>
      <c r="AO6514"/>
    </row>
    <row r="6515" spans="24:41" x14ac:dyDescent="0.4">
      <c r="X6515"/>
      <c r="AO6515"/>
    </row>
    <row r="6516" spans="24:41" x14ac:dyDescent="0.4">
      <c r="X6516"/>
      <c r="AO6516"/>
    </row>
    <row r="6517" spans="24:41" x14ac:dyDescent="0.4">
      <c r="X6517"/>
      <c r="AO6517"/>
    </row>
    <row r="6518" spans="24:41" x14ac:dyDescent="0.4">
      <c r="X6518"/>
      <c r="AO6518"/>
    </row>
    <row r="6519" spans="24:41" x14ac:dyDescent="0.4">
      <c r="X6519"/>
      <c r="AO6519"/>
    </row>
    <row r="6520" spans="24:41" x14ac:dyDescent="0.4">
      <c r="X6520"/>
      <c r="AO6520"/>
    </row>
    <row r="6521" spans="24:41" x14ac:dyDescent="0.4">
      <c r="X6521"/>
      <c r="AO6521"/>
    </row>
    <row r="6522" spans="24:41" x14ac:dyDescent="0.4">
      <c r="X6522"/>
      <c r="AO6522"/>
    </row>
    <row r="6523" spans="24:41" x14ac:dyDescent="0.4">
      <c r="X6523"/>
      <c r="AO6523"/>
    </row>
    <row r="6524" spans="24:41" x14ac:dyDescent="0.4">
      <c r="X6524"/>
      <c r="AO6524"/>
    </row>
    <row r="6525" spans="24:41" x14ac:dyDescent="0.4">
      <c r="X6525"/>
      <c r="AO6525"/>
    </row>
    <row r="6526" spans="24:41" x14ac:dyDescent="0.4">
      <c r="X6526"/>
      <c r="AO6526"/>
    </row>
    <row r="6527" spans="24:41" x14ac:dyDescent="0.4">
      <c r="X6527"/>
      <c r="AO6527"/>
    </row>
    <row r="6528" spans="24:41" x14ac:dyDescent="0.4">
      <c r="X6528"/>
      <c r="AO6528"/>
    </row>
    <row r="6529" spans="24:41" x14ac:dyDescent="0.4">
      <c r="X6529"/>
      <c r="AO6529"/>
    </row>
    <row r="6530" spans="24:41" x14ac:dyDescent="0.4">
      <c r="X6530"/>
      <c r="AO6530"/>
    </row>
    <row r="6531" spans="24:41" x14ac:dyDescent="0.4">
      <c r="X6531"/>
      <c r="AO6531"/>
    </row>
    <row r="6532" spans="24:41" x14ac:dyDescent="0.4">
      <c r="X6532"/>
      <c r="AO6532"/>
    </row>
    <row r="6533" spans="24:41" x14ac:dyDescent="0.4">
      <c r="X6533"/>
      <c r="AO6533"/>
    </row>
    <row r="6534" spans="24:41" x14ac:dyDescent="0.4">
      <c r="X6534"/>
      <c r="AO6534"/>
    </row>
    <row r="6535" spans="24:41" x14ac:dyDescent="0.4">
      <c r="X6535"/>
      <c r="AO6535"/>
    </row>
    <row r="6536" spans="24:41" x14ac:dyDescent="0.4">
      <c r="X6536"/>
      <c r="AO6536"/>
    </row>
    <row r="6537" spans="24:41" x14ac:dyDescent="0.4">
      <c r="X6537"/>
      <c r="AO6537"/>
    </row>
    <row r="6538" spans="24:41" x14ac:dyDescent="0.4">
      <c r="X6538"/>
      <c r="AO6538"/>
    </row>
    <row r="6539" spans="24:41" x14ac:dyDescent="0.4">
      <c r="X6539"/>
      <c r="AO6539"/>
    </row>
    <row r="6540" spans="24:41" x14ac:dyDescent="0.4">
      <c r="X6540"/>
      <c r="AO6540"/>
    </row>
    <row r="6541" spans="24:41" x14ac:dyDescent="0.4">
      <c r="X6541"/>
      <c r="AO6541"/>
    </row>
    <row r="6542" spans="24:41" x14ac:dyDescent="0.4">
      <c r="X6542"/>
      <c r="AO6542"/>
    </row>
    <row r="6543" spans="24:41" x14ac:dyDescent="0.4">
      <c r="X6543"/>
      <c r="AO6543"/>
    </row>
    <row r="6544" spans="24:41" x14ac:dyDescent="0.4">
      <c r="X6544"/>
      <c r="AO6544"/>
    </row>
    <row r="6545" spans="24:41" x14ac:dyDescent="0.4">
      <c r="X6545"/>
      <c r="AO6545"/>
    </row>
    <row r="6546" spans="24:41" x14ac:dyDescent="0.4">
      <c r="X6546"/>
      <c r="AO6546"/>
    </row>
    <row r="6547" spans="24:41" x14ac:dyDescent="0.4">
      <c r="X6547"/>
      <c r="AO6547"/>
    </row>
    <row r="6548" spans="24:41" x14ac:dyDescent="0.4">
      <c r="X6548"/>
      <c r="AO6548"/>
    </row>
    <row r="6549" spans="24:41" x14ac:dyDescent="0.4">
      <c r="X6549"/>
      <c r="AO6549"/>
    </row>
    <row r="6550" spans="24:41" x14ac:dyDescent="0.4">
      <c r="X6550"/>
      <c r="AO6550"/>
    </row>
    <row r="6551" spans="24:41" x14ac:dyDescent="0.4">
      <c r="X6551"/>
      <c r="AO6551"/>
    </row>
    <row r="6552" spans="24:41" x14ac:dyDescent="0.4">
      <c r="X6552"/>
      <c r="AO6552"/>
    </row>
    <row r="6553" spans="24:41" x14ac:dyDescent="0.4">
      <c r="X6553"/>
      <c r="AO6553"/>
    </row>
    <row r="6554" spans="24:41" x14ac:dyDescent="0.4">
      <c r="X6554"/>
      <c r="AO6554"/>
    </row>
    <row r="6555" spans="24:41" x14ac:dyDescent="0.4">
      <c r="X6555"/>
      <c r="AO6555"/>
    </row>
    <row r="6556" spans="24:41" x14ac:dyDescent="0.4">
      <c r="X6556"/>
      <c r="AO6556"/>
    </row>
    <row r="6557" spans="24:41" x14ac:dyDescent="0.4">
      <c r="X6557"/>
      <c r="AO6557"/>
    </row>
    <row r="6558" spans="24:41" x14ac:dyDescent="0.4">
      <c r="X6558"/>
      <c r="AO6558"/>
    </row>
    <row r="6559" spans="24:41" x14ac:dyDescent="0.4">
      <c r="X6559"/>
      <c r="AO6559"/>
    </row>
    <row r="6560" spans="24:41" x14ac:dyDescent="0.4">
      <c r="X6560"/>
      <c r="AO6560"/>
    </row>
    <row r="6561" spans="24:41" x14ac:dyDescent="0.4">
      <c r="X6561"/>
      <c r="AO6561"/>
    </row>
    <row r="6562" spans="24:41" x14ac:dyDescent="0.4">
      <c r="X6562"/>
      <c r="AO6562"/>
    </row>
    <row r="6563" spans="24:41" x14ac:dyDescent="0.4">
      <c r="X6563"/>
      <c r="AO6563"/>
    </row>
    <row r="6564" spans="24:41" x14ac:dyDescent="0.4">
      <c r="X6564"/>
      <c r="AO6564"/>
    </row>
    <row r="6565" spans="24:41" x14ac:dyDescent="0.4">
      <c r="X6565"/>
      <c r="AO6565"/>
    </row>
    <row r="6566" spans="24:41" x14ac:dyDescent="0.4">
      <c r="X6566"/>
      <c r="AO6566"/>
    </row>
    <row r="6567" spans="24:41" x14ac:dyDescent="0.4">
      <c r="X6567"/>
      <c r="AO6567"/>
    </row>
    <row r="6568" spans="24:41" x14ac:dyDescent="0.4">
      <c r="X6568"/>
      <c r="AO6568"/>
    </row>
    <row r="6569" spans="24:41" x14ac:dyDescent="0.4">
      <c r="X6569"/>
      <c r="AO6569"/>
    </row>
    <row r="6570" spans="24:41" x14ac:dyDescent="0.4">
      <c r="X6570"/>
      <c r="AO6570"/>
    </row>
    <row r="6571" spans="24:41" x14ac:dyDescent="0.4">
      <c r="X6571"/>
      <c r="AO6571"/>
    </row>
    <row r="6572" spans="24:41" x14ac:dyDescent="0.4">
      <c r="X6572"/>
      <c r="AO6572"/>
    </row>
    <row r="6573" spans="24:41" x14ac:dyDescent="0.4">
      <c r="X6573"/>
      <c r="AO6573"/>
    </row>
    <row r="6574" spans="24:41" x14ac:dyDescent="0.4">
      <c r="X6574"/>
      <c r="AO6574"/>
    </row>
    <row r="6575" spans="24:41" x14ac:dyDescent="0.4">
      <c r="X6575"/>
      <c r="AO6575"/>
    </row>
    <row r="6576" spans="24:41" x14ac:dyDescent="0.4">
      <c r="X6576"/>
      <c r="AO6576"/>
    </row>
    <row r="6577" spans="24:41" x14ac:dyDescent="0.4">
      <c r="X6577"/>
      <c r="AO6577"/>
    </row>
    <row r="6578" spans="24:41" x14ac:dyDescent="0.4">
      <c r="X6578"/>
      <c r="AO6578"/>
    </row>
    <row r="6579" spans="24:41" x14ac:dyDescent="0.4">
      <c r="X6579"/>
      <c r="AO6579"/>
    </row>
    <row r="6580" spans="24:41" x14ac:dyDescent="0.4">
      <c r="X6580"/>
      <c r="AO6580"/>
    </row>
    <row r="6581" spans="24:41" x14ac:dyDescent="0.4">
      <c r="X6581"/>
      <c r="AO6581"/>
    </row>
    <row r="6582" spans="24:41" x14ac:dyDescent="0.4">
      <c r="X6582"/>
      <c r="AO6582"/>
    </row>
    <row r="6583" spans="24:41" x14ac:dyDescent="0.4">
      <c r="X6583"/>
      <c r="AO6583"/>
    </row>
    <row r="6584" spans="24:41" x14ac:dyDescent="0.4">
      <c r="X6584"/>
      <c r="AO6584"/>
    </row>
    <row r="6585" spans="24:41" x14ac:dyDescent="0.4">
      <c r="X6585"/>
      <c r="AO6585"/>
    </row>
    <row r="6586" spans="24:41" x14ac:dyDescent="0.4">
      <c r="X6586"/>
      <c r="AO6586"/>
    </row>
    <row r="6587" spans="24:41" x14ac:dyDescent="0.4">
      <c r="X6587"/>
      <c r="AO6587"/>
    </row>
    <row r="6588" spans="24:41" x14ac:dyDescent="0.4">
      <c r="X6588"/>
      <c r="AO6588"/>
    </row>
    <row r="6589" spans="24:41" x14ac:dyDescent="0.4">
      <c r="X6589"/>
      <c r="AO6589"/>
    </row>
    <row r="6590" spans="24:41" x14ac:dyDescent="0.4">
      <c r="X6590"/>
      <c r="AO6590"/>
    </row>
    <row r="6591" spans="24:41" x14ac:dyDescent="0.4">
      <c r="X6591"/>
      <c r="AO6591"/>
    </row>
    <row r="6592" spans="24:41" x14ac:dyDescent="0.4">
      <c r="X6592"/>
      <c r="AO6592"/>
    </row>
    <row r="6593" spans="24:41" x14ac:dyDescent="0.4">
      <c r="X6593"/>
      <c r="AO6593"/>
    </row>
    <row r="6594" spans="24:41" x14ac:dyDescent="0.4">
      <c r="X6594"/>
      <c r="AO6594"/>
    </row>
    <row r="6595" spans="24:41" x14ac:dyDescent="0.4">
      <c r="X6595"/>
      <c r="AO6595"/>
    </row>
    <row r="6596" spans="24:41" x14ac:dyDescent="0.4">
      <c r="X6596"/>
      <c r="AO6596"/>
    </row>
    <row r="6597" spans="24:41" x14ac:dyDescent="0.4">
      <c r="X6597"/>
      <c r="AO6597"/>
    </row>
    <row r="6598" spans="24:41" x14ac:dyDescent="0.4">
      <c r="X6598"/>
      <c r="AO6598"/>
    </row>
    <row r="6599" spans="24:41" x14ac:dyDescent="0.4">
      <c r="X6599"/>
      <c r="AO6599"/>
    </row>
    <row r="6600" spans="24:41" x14ac:dyDescent="0.4">
      <c r="X6600"/>
      <c r="AO6600"/>
    </row>
    <row r="6601" spans="24:41" x14ac:dyDescent="0.4">
      <c r="X6601"/>
      <c r="AO6601"/>
    </row>
    <row r="6602" spans="24:41" x14ac:dyDescent="0.4">
      <c r="X6602"/>
      <c r="AO6602"/>
    </row>
    <row r="6603" spans="24:41" x14ac:dyDescent="0.4">
      <c r="X6603"/>
      <c r="AO6603"/>
    </row>
    <row r="6604" spans="24:41" x14ac:dyDescent="0.4">
      <c r="X6604"/>
      <c r="AO6604"/>
    </row>
    <row r="6605" spans="24:41" x14ac:dyDescent="0.4">
      <c r="X6605"/>
      <c r="AO6605"/>
    </row>
    <row r="6606" spans="24:41" x14ac:dyDescent="0.4">
      <c r="X6606"/>
      <c r="AO6606"/>
    </row>
    <row r="6607" spans="24:41" x14ac:dyDescent="0.4">
      <c r="X6607"/>
      <c r="AO6607"/>
    </row>
    <row r="6608" spans="24:41" x14ac:dyDescent="0.4">
      <c r="X6608"/>
      <c r="AO6608"/>
    </row>
    <row r="6609" spans="24:41" x14ac:dyDescent="0.4">
      <c r="X6609"/>
      <c r="AO6609"/>
    </row>
    <row r="6610" spans="24:41" x14ac:dyDescent="0.4">
      <c r="X6610"/>
      <c r="AO6610"/>
    </row>
    <row r="6611" spans="24:41" x14ac:dyDescent="0.4">
      <c r="X6611"/>
      <c r="AO6611"/>
    </row>
    <row r="6612" spans="24:41" x14ac:dyDescent="0.4">
      <c r="X6612"/>
      <c r="AO6612"/>
    </row>
    <row r="6613" spans="24:41" x14ac:dyDescent="0.4">
      <c r="X6613"/>
      <c r="AO6613"/>
    </row>
    <row r="6614" spans="24:41" x14ac:dyDescent="0.4">
      <c r="X6614"/>
      <c r="AO6614"/>
    </row>
    <row r="6615" spans="24:41" x14ac:dyDescent="0.4">
      <c r="X6615"/>
      <c r="AO6615"/>
    </row>
    <row r="6616" spans="24:41" x14ac:dyDescent="0.4">
      <c r="X6616"/>
      <c r="AO6616"/>
    </row>
    <row r="6617" spans="24:41" x14ac:dyDescent="0.4">
      <c r="X6617"/>
      <c r="AO6617"/>
    </row>
    <row r="6618" spans="24:41" x14ac:dyDescent="0.4">
      <c r="X6618"/>
      <c r="AO6618"/>
    </row>
    <row r="6619" spans="24:41" x14ac:dyDescent="0.4">
      <c r="X6619"/>
      <c r="AO6619"/>
    </row>
    <row r="6620" spans="24:41" x14ac:dyDescent="0.4">
      <c r="X6620"/>
      <c r="AO6620"/>
    </row>
    <row r="6621" spans="24:41" x14ac:dyDescent="0.4">
      <c r="X6621"/>
      <c r="AO6621"/>
    </row>
    <row r="6622" spans="24:41" x14ac:dyDescent="0.4">
      <c r="X6622"/>
      <c r="AO6622"/>
    </row>
    <row r="6623" spans="24:41" x14ac:dyDescent="0.4">
      <c r="X6623"/>
      <c r="AO6623"/>
    </row>
    <row r="6624" spans="24:41" x14ac:dyDescent="0.4">
      <c r="X6624"/>
      <c r="AO6624"/>
    </row>
    <row r="6625" spans="24:41" x14ac:dyDescent="0.4">
      <c r="X6625"/>
      <c r="AO6625"/>
    </row>
    <row r="6626" spans="24:41" x14ac:dyDescent="0.4">
      <c r="X6626"/>
      <c r="AO6626"/>
    </row>
    <row r="6627" spans="24:41" x14ac:dyDescent="0.4">
      <c r="X6627"/>
      <c r="AO6627"/>
    </row>
    <row r="6628" spans="24:41" x14ac:dyDescent="0.4">
      <c r="X6628"/>
      <c r="AO6628"/>
    </row>
    <row r="6629" spans="24:41" x14ac:dyDescent="0.4">
      <c r="X6629"/>
      <c r="AO6629"/>
    </row>
    <row r="6630" spans="24:41" x14ac:dyDescent="0.4">
      <c r="X6630"/>
      <c r="AO6630"/>
    </row>
    <row r="6631" spans="24:41" x14ac:dyDescent="0.4">
      <c r="X6631"/>
      <c r="AO6631"/>
    </row>
    <row r="6632" spans="24:41" x14ac:dyDescent="0.4">
      <c r="X6632"/>
      <c r="AO6632"/>
    </row>
    <row r="6633" spans="24:41" x14ac:dyDescent="0.4">
      <c r="X6633"/>
      <c r="AO6633"/>
    </row>
    <row r="6634" spans="24:41" x14ac:dyDescent="0.4">
      <c r="X6634"/>
      <c r="AO6634"/>
    </row>
    <row r="6635" spans="24:41" x14ac:dyDescent="0.4">
      <c r="X6635"/>
      <c r="AO6635"/>
    </row>
    <row r="6636" spans="24:41" x14ac:dyDescent="0.4">
      <c r="X6636"/>
      <c r="AO6636"/>
    </row>
    <row r="6637" spans="24:41" x14ac:dyDescent="0.4">
      <c r="X6637"/>
      <c r="AO6637"/>
    </row>
    <row r="6638" spans="24:41" x14ac:dyDescent="0.4">
      <c r="X6638"/>
      <c r="AO6638"/>
    </row>
    <row r="6639" spans="24:41" x14ac:dyDescent="0.4">
      <c r="X6639"/>
      <c r="AO6639"/>
    </row>
    <row r="6640" spans="24:41" x14ac:dyDescent="0.4">
      <c r="X6640"/>
      <c r="AO6640"/>
    </row>
    <row r="6641" spans="24:41" x14ac:dyDescent="0.4">
      <c r="X6641"/>
      <c r="AO6641"/>
    </row>
    <row r="6642" spans="24:41" x14ac:dyDescent="0.4">
      <c r="X6642"/>
      <c r="AO6642"/>
    </row>
    <row r="6643" spans="24:41" x14ac:dyDescent="0.4">
      <c r="X6643"/>
      <c r="AO6643"/>
    </row>
    <row r="6644" spans="24:41" x14ac:dyDescent="0.4">
      <c r="X6644"/>
      <c r="AO6644"/>
    </row>
    <row r="6645" spans="24:41" x14ac:dyDescent="0.4">
      <c r="X6645"/>
      <c r="AO6645"/>
    </row>
    <row r="6646" spans="24:41" x14ac:dyDescent="0.4">
      <c r="X6646"/>
      <c r="AO6646"/>
    </row>
    <row r="6647" spans="24:41" x14ac:dyDescent="0.4">
      <c r="X6647"/>
      <c r="AO6647"/>
    </row>
    <row r="6648" spans="24:41" x14ac:dyDescent="0.4">
      <c r="X6648"/>
      <c r="AO6648"/>
    </row>
    <row r="6649" spans="24:41" x14ac:dyDescent="0.4">
      <c r="X6649"/>
      <c r="AO6649"/>
    </row>
    <row r="6650" spans="24:41" x14ac:dyDescent="0.4">
      <c r="X6650"/>
      <c r="AO6650"/>
    </row>
    <row r="6651" spans="24:41" x14ac:dyDescent="0.4">
      <c r="X6651"/>
      <c r="AO6651"/>
    </row>
    <row r="6652" spans="24:41" x14ac:dyDescent="0.4">
      <c r="X6652"/>
      <c r="AO6652"/>
    </row>
    <row r="6653" spans="24:41" x14ac:dyDescent="0.4">
      <c r="X6653"/>
      <c r="AO6653"/>
    </row>
    <row r="6654" spans="24:41" x14ac:dyDescent="0.4">
      <c r="X6654"/>
      <c r="AO6654"/>
    </row>
    <row r="6655" spans="24:41" x14ac:dyDescent="0.4">
      <c r="X6655"/>
      <c r="AO6655"/>
    </row>
    <row r="6656" spans="24:41" x14ac:dyDescent="0.4">
      <c r="X6656"/>
      <c r="AO6656"/>
    </row>
    <row r="6657" spans="24:41" x14ac:dyDescent="0.4">
      <c r="X6657"/>
      <c r="AO6657"/>
    </row>
    <row r="6658" spans="24:41" x14ac:dyDescent="0.4">
      <c r="X6658"/>
      <c r="AO6658"/>
    </row>
    <row r="6659" spans="24:41" x14ac:dyDescent="0.4">
      <c r="X6659"/>
      <c r="AO6659"/>
    </row>
    <row r="6660" spans="24:41" x14ac:dyDescent="0.4">
      <c r="X6660"/>
      <c r="AO6660"/>
    </row>
    <row r="6661" spans="24:41" x14ac:dyDescent="0.4">
      <c r="X6661"/>
      <c r="AO6661"/>
    </row>
    <row r="6662" spans="24:41" x14ac:dyDescent="0.4">
      <c r="X6662"/>
      <c r="AO6662"/>
    </row>
    <row r="6663" spans="24:41" x14ac:dyDescent="0.4">
      <c r="X6663"/>
      <c r="AO6663"/>
    </row>
    <row r="6664" spans="24:41" x14ac:dyDescent="0.4">
      <c r="X6664"/>
      <c r="AO6664"/>
    </row>
    <row r="6665" spans="24:41" x14ac:dyDescent="0.4">
      <c r="X6665"/>
      <c r="AO6665"/>
    </row>
    <row r="6666" spans="24:41" x14ac:dyDescent="0.4">
      <c r="X6666"/>
      <c r="AO6666"/>
    </row>
    <row r="6667" spans="24:41" x14ac:dyDescent="0.4">
      <c r="X6667"/>
      <c r="AO6667"/>
    </row>
    <row r="6668" spans="24:41" x14ac:dyDescent="0.4">
      <c r="X6668"/>
      <c r="AO6668"/>
    </row>
    <row r="6669" spans="24:41" x14ac:dyDescent="0.4">
      <c r="X6669"/>
      <c r="AO6669"/>
    </row>
    <row r="6670" spans="24:41" x14ac:dyDescent="0.4">
      <c r="X6670"/>
      <c r="AO6670"/>
    </row>
    <row r="6671" spans="24:41" x14ac:dyDescent="0.4">
      <c r="X6671"/>
      <c r="AO6671"/>
    </row>
    <row r="6672" spans="24:41" x14ac:dyDescent="0.4">
      <c r="X6672"/>
      <c r="AO6672"/>
    </row>
    <row r="6673" spans="24:41" x14ac:dyDescent="0.4">
      <c r="X6673"/>
      <c r="AO6673"/>
    </row>
    <row r="6674" spans="24:41" x14ac:dyDescent="0.4">
      <c r="X6674"/>
      <c r="AO6674"/>
    </row>
    <row r="6675" spans="24:41" x14ac:dyDescent="0.4">
      <c r="X6675"/>
      <c r="AO6675"/>
    </row>
    <row r="6676" spans="24:41" x14ac:dyDescent="0.4">
      <c r="X6676"/>
      <c r="AO6676"/>
    </row>
    <row r="6677" spans="24:41" x14ac:dyDescent="0.4">
      <c r="X6677"/>
      <c r="AO6677"/>
    </row>
    <row r="6678" spans="24:41" x14ac:dyDescent="0.4">
      <c r="X6678"/>
      <c r="AO6678"/>
    </row>
    <row r="6679" spans="24:41" x14ac:dyDescent="0.4">
      <c r="X6679"/>
      <c r="AO6679"/>
    </row>
    <row r="6680" spans="24:41" x14ac:dyDescent="0.4">
      <c r="X6680"/>
      <c r="AO6680"/>
    </row>
    <row r="6681" spans="24:41" x14ac:dyDescent="0.4">
      <c r="X6681"/>
      <c r="AO6681"/>
    </row>
    <row r="6682" spans="24:41" x14ac:dyDescent="0.4">
      <c r="X6682"/>
      <c r="AO6682"/>
    </row>
    <row r="6683" spans="24:41" x14ac:dyDescent="0.4">
      <c r="X6683"/>
      <c r="AO6683"/>
    </row>
    <row r="6684" spans="24:41" x14ac:dyDescent="0.4">
      <c r="X6684"/>
      <c r="AO6684"/>
    </row>
    <row r="6685" spans="24:41" x14ac:dyDescent="0.4">
      <c r="X6685"/>
      <c r="AO6685"/>
    </row>
    <row r="6686" spans="24:41" x14ac:dyDescent="0.4">
      <c r="X6686"/>
      <c r="AO6686"/>
    </row>
    <row r="6687" spans="24:41" x14ac:dyDescent="0.4">
      <c r="X6687"/>
      <c r="AO6687"/>
    </row>
    <row r="6688" spans="24:41" x14ac:dyDescent="0.4">
      <c r="X6688"/>
      <c r="AO6688"/>
    </row>
    <row r="6689" spans="24:41" x14ac:dyDescent="0.4">
      <c r="X6689"/>
      <c r="AO6689"/>
    </row>
    <row r="6690" spans="24:41" x14ac:dyDescent="0.4">
      <c r="X6690"/>
      <c r="AO6690"/>
    </row>
    <row r="6691" spans="24:41" x14ac:dyDescent="0.4">
      <c r="X6691"/>
      <c r="AO6691"/>
    </row>
    <row r="6692" spans="24:41" x14ac:dyDescent="0.4">
      <c r="X6692"/>
      <c r="AO6692"/>
    </row>
    <row r="6693" spans="24:41" x14ac:dyDescent="0.4">
      <c r="X6693"/>
      <c r="AO6693"/>
    </row>
    <row r="6694" spans="24:41" x14ac:dyDescent="0.4">
      <c r="X6694"/>
      <c r="AO6694"/>
    </row>
    <row r="6695" spans="24:41" x14ac:dyDescent="0.4">
      <c r="X6695"/>
      <c r="AO6695"/>
    </row>
    <row r="6696" spans="24:41" x14ac:dyDescent="0.4">
      <c r="X6696"/>
      <c r="AO6696"/>
    </row>
    <row r="6697" spans="24:41" x14ac:dyDescent="0.4">
      <c r="X6697"/>
      <c r="AO6697"/>
    </row>
    <row r="6698" spans="24:41" x14ac:dyDescent="0.4">
      <c r="X6698"/>
      <c r="AO6698"/>
    </row>
    <row r="6699" spans="24:41" x14ac:dyDescent="0.4">
      <c r="X6699"/>
      <c r="AO6699"/>
    </row>
    <row r="6700" spans="24:41" x14ac:dyDescent="0.4">
      <c r="X6700"/>
      <c r="AO6700"/>
    </row>
    <row r="6701" spans="24:41" x14ac:dyDescent="0.4">
      <c r="X6701"/>
      <c r="AO6701"/>
    </row>
    <row r="6702" spans="24:41" x14ac:dyDescent="0.4">
      <c r="X6702"/>
      <c r="AO6702"/>
    </row>
    <row r="6703" spans="24:41" x14ac:dyDescent="0.4">
      <c r="X6703"/>
      <c r="AO6703"/>
    </row>
    <row r="6704" spans="24:41" x14ac:dyDescent="0.4">
      <c r="X6704"/>
      <c r="AO6704"/>
    </row>
    <row r="6705" spans="24:41" x14ac:dyDescent="0.4">
      <c r="X6705"/>
      <c r="AO6705"/>
    </row>
    <row r="6706" spans="24:41" x14ac:dyDescent="0.4">
      <c r="X6706"/>
      <c r="AO6706"/>
    </row>
    <row r="6707" spans="24:41" x14ac:dyDescent="0.4">
      <c r="X6707"/>
      <c r="AO6707"/>
    </row>
    <row r="6708" spans="24:41" x14ac:dyDescent="0.4">
      <c r="X6708"/>
      <c r="AO6708"/>
    </row>
    <row r="6709" spans="24:41" x14ac:dyDescent="0.4">
      <c r="X6709"/>
      <c r="AO6709"/>
    </row>
    <row r="6710" spans="24:41" x14ac:dyDescent="0.4">
      <c r="X6710"/>
      <c r="AO6710"/>
    </row>
    <row r="6711" spans="24:41" x14ac:dyDescent="0.4">
      <c r="X6711"/>
      <c r="AO6711"/>
    </row>
    <row r="6712" spans="24:41" x14ac:dyDescent="0.4">
      <c r="X6712"/>
      <c r="AO6712"/>
    </row>
    <row r="6713" spans="24:41" x14ac:dyDescent="0.4">
      <c r="X6713"/>
      <c r="AO6713"/>
    </row>
    <row r="6714" spans="24:41" x14ac:dyDescent="0.4">
      <c r="X6714"/>
      <c r="AO6714"/>
    </row>
    <row r="6715" spans="24:41" x14ac:dyDescent="0.4">
      <c r="X6715"/>
      <c r="AO6715"/>
    </row>
    <row r="6716" spans="24:41" x14ac:dyDescent="0.4">
      <c r="X6716"/>
      <c r="AO6716"/>
    </row>
    <row r="6717" spans="24:41" x14ac:dyDescent="0.4">
      <c r="X6717"/>
      <c r="AO6717"/>
    </row>
    <row r="6718" spans="24:41" x14ac:dyDescent="0.4">
      <c r="X6718"/>
      <c r="AO6718"/>
    </row>
    <row r="6719" spans="24:41" x14ac:dyDescent="0.4">
      <c r="X6719"/>
      <c r="AO6719"/>
    </row>
    <row r="6720" spans="24:41" x14ac:dyDescent="0.4">
      <c r="X6720"/>
      <c r="AO6720"/>
    </row>
    <row r="6721" spans="24:41" x14ac:dyDescent="0.4">
      <c r="X6721"/>
      <c r="AO6721"/>
    </row>
    <row r="6722" spans="24:41" x14ac:dyDescent="0.4">
      <c r="X6722"/>
      <c r="AO6722"/>
    </row>
    <row r="6723" spans="24:41" x14ac:dyDescent="0.4">
      <c r="X6723"/>
      <c r="AO6723"/>
    </row>
    <row r="6724" spans="24:41" x14ac:dyDescent="0.4">
      <c r="X6724"/>
      <c r="AO6724"/>
    </row>
    <row r="6725" spans="24:41" x14ac:dyDescent="0.4">
      <c r="X6725"/>
      <c r="AO6725"/>
    </row>
    <row r="6726" spans="24:41" x14ac:dyDescent="0.4">
      <c r="X6726"/>
      <c r="AO6726"/>
    </row>
    <row r="6727" spans="24:41" x14ac:dyDescent="0.4">
      <c r="X6727"/>
      <c r="AO6727"/>
    </row>
    <row r="6728" spans="24:41" x14ac:dyDescent="0.4">
      <c r="X6728"/>
      <c r="AO6728"/>
    </row>
    <row r="6729" spans="24:41" x14ac:dyDescent="0.4">
      <c r="X6729"/>
      <c r="AO6729"/>
    </row>
    <row r="6730" spans="24:41" x14ac:dyDescent="0.4">
      <c r="X6730"/>
      <c r="AO6730"/>
    </row>
    <row r="6731" spans="24:41" x14ac:dyDescent="0.4">
      <c r="X6731"/>
      <c r="AO6731"/>
    </row>
    <row r="6732" spans="24:41" x14ac:dyDescent="0.4">
      <c r="X6732"/>
      <c r="AO6732"/>
    </row>
    <row r="6733" spans="24:41" x14ac:dyDescent="0.4">
      <c r="X6733"/>
      <c r="AO6733"/>
    </row>
    <row r="6734" spans="24:41" x14ac:dyDescent="0.4">
      <c r="X6734"/>
      <c r="AO6734"/>
    </row>
    <row r="6735" spans="24:41" x14ac:dyDescent="0.4">
      <c r="X6735"/>
      <c r="AO6735"/>
    </row>
    <row r="6736" spans="24:41" x14ac:dyDescent="0.4">
      <c r="X6736"/>
      <c r="AO6736"/>
    </row>
    <row r="6737" spans="24:41" x14ac:dyDescent="0.4">
      <c r="X6737"/>
      <c r="AO6737"/>
    </row>
    <row r="6738" spans="24:41" x14ac:dyDescent="0.4">
      <c r="X6738"/>
      <c r="AO6738"/>
    </row>
    <row r="6739" spans="24:41" x14ac:dyDescent="0.4">
      <c r="X6739"/>
      <c r="AO6739"/>
    </row>
    <row r="6740" spans="24:41" x14ac:dyDescent="0.4">
      <c r="X6740"/>
      <c r="AO6740"/>
    </row>
    <row r="6741" spans="24:41" x14ac:dyDescent="0.4">
      <c r="X6741"/>
      <c r="AO6741"/>
    </row>
    <row r="6742" spans="24:41" x14ac:dyDescent="0.4">
      <c r="X6742"/>
      <c r="AO6742"/>
    </row>
    <row r="6743" spans="24:41" x14ac:dyDescent="0.4">
      <c r="X6743"/>
      <c r="AO6743"/>
    </row>
    <row r="6744" spans="24:41" x14ac:dyDescent="0.4">
      <c r="X6744"/>
      <c r="AO6744"/>
    </row>
    <row r="6745" spans="24:41" x14ac:dyDescent="0.4">
      <c r="X6745"/>
      <c r="AO6745"/>
    </row>
    <row r="6746" spans="24:41" x14ac:dyDescent="0.4">
      <c r="X6746"/>
      <c r="AO6746"/>
    </row>
    <row r="6747" spans="24:41" x14ac:dyDescent="0.4">
      <c r="X6747"/>
      <c r="AO6747"/>
    </row>
    <row r="6748" spans="24:41" x14ac:dyDescent="0.4">
      <c r="X6748"/>
      <c r="AO6748"/>
    </row>
    <row r="6749" spans="24:41" x14ac:dyDescent="0.4">
      <c r="X6749"/>
      <c r="AO6749"/>
    </row>
    <row r="6750" spans="24:41" x14ac:dyDescent="0.4">
      <c r="X6750"/>
      <c r="AO6750"/>
    </row>
    <row r="6751" spans="24:41" x14ac:dyDescent="0.4">
      <c r="X6751"/>
      <c r="AO6751"/>
    </row>
    <row r="6752" spans="24:41" x14ac:dyDescent="0.4">
      <c r="X6752"/>
      <c r="AO6752"/>
    </row>
    <row r="6753" spans="24:41" x14ac:dyDescent="0.4">
      <c r="X6753"/>
      <c r="AO6753"/>
    </row>
    <row r="6754" spans="24:41" x14ac:dyDescent="0.4">
      <c r="X6754"/>
      <c r="AO6754"/>
    </row>
    <row r="6755" spans="24:41" x14ac:dyDescent="0.4">
      <c r="X6755"/>
      <c r="AO6755"/>
    </row>
    <row r="6756" spans="24:41" x14ac:dyDescent="0.4">
      <c r="X6756"/>
      <c r="AO6756"/>
    </row>
    <row r="6757" spans="24:41" x14ac:dyDescent="0.4">
      <c r="X6757"/>
      <c r="AO6757"/>
    </row>
    <row r="6758" spans="24:41" x14ac:dyDescent="0.4">
      <c r="X6758"/>
      <c r="AO6758"/>
    </row>
    <row r="6759" spans="24:41" x14ac:dyDescent="0.4">
      <c r="X6759"/>
      <c r="AO6759"/>
    </row>
    <row r="6760" spans="24:41" x14ac:dyDescent="0.4">
      <c r="X6760"/>
      <c r="AO6760"/>
    </row>
    <row r="6761" spans="24:41" x14ac:dyDescent="0.4">
      <c r="X6761"/>
      <c r="AO6761"/>
    </row>
    <row r="6762" spans="24:41" x14ac:dyDescent="0.4">
      <c r="X6762"/>
      <c r="AO6762"/>
    </row>
    <row r="6763" spans="24:41" x14ac:dyDescent="0.4">
      <c r="X6763"/>
      <c r="AO6763"/>
    </row>
    <row r="6764" spans="24:41" x14ac:dyDescent="0.4">
      <c r="X6764"/>
      <c r="AO6764"/>
    </row>
    <row r="6765" spans="24:41" x14ac:dyDescent="0.4">
      <c r="X6765"/>
      <c r="AO6765"/>
    </row>
    <row r="6766" spans="24:41" x14ac:dyDescent="0.4">
      <c r="X6766"/>
      <c r="AO6766"/>
    </row>
    <row r="6767" spans="24:41" x14ac:dyDescent="0.4">
      <c r="X6767"/>
      <c r="AO6767"/>
    </row>
    <row r="6768" spans="24:41" x14ac:dyDescent="0.4">
      <c r="X6768"/>
      <c r="AO6768"/>
    </row>
    <row r="6769" spans="24:41" x14ac:dyDescent="0.4">
      <c r="X6769"/>
      <c r="AO6769"/>
    </row>
    <row r="6770" spans="24:41" x14ac:dyDescent="0.4">
      <c r="X6770"/>
      <c r="AO6770"/>
    </row>
    <row r="6771" spans="24:41" x14ac:dyDescent="0.4">
      <c r="X6771"/>
      <c r="AO6771"/>
    </row>
    <row r="6772" spans="24:41" x14ac:dyDescent="0.4">
      <c r="X6772"/>
      <c r="AO6772"/>
    </row>
    <row r="6773" spans="24:41" x14ac:dyDescent="0.4">
      <c r="X6773"/>
      <c r="AO6773"/>
    </row>
    <row r="6774" spans="24:41" x14ac:dyDescent="0.4">
      <c r="X6774"/>
      <c r="AO6774"/>
    </row>
    <row r="6775" spans="24:41" x14ac:dyDescent="0.4">
      <c r="X6775"/>
      <c r="AO6775"/>
    </row>
    <row r="6776" spans="24:41" x14ac:dyDescent="0.4">
      <c r="X6776"/>
      <c r="AO6776"/>
    </row>
    <row r="6777" spans="24:41" x14ac:dyDescent="0.4">
      <c r="X6777"/>
      <c r="AO6777"/>
    </row>
    <row r="6778" spans="24:41" x14ac:dyDescent="0.4">
      <c r="X6778"/>
      <c r="AO6778"/>
    </row>
    <row r="6779" spans="24:41" x14ac:dyDescent="0.4">
      <c r="X6779"/>
      <c r="AO6779"/>
    </row>
    <row r="6780" spans="24:41" x14ac:dyDescent="0.4">
      <c r="X6780"/>
      <c r="AO6780"/>
    </row>
    <row r="6781" spans="24:41" x14ac:dyDescent="0.4">
      <c r="X6781"/>
      <c r="AO6781"/>
    </row>
    <row r="6782" spans="24:41" x14ac:dyDescent="0.4">
      <c r="X6782"/>
      <c r="AO6782"/>
    </row>
    <row r="6783" spans="24:41" x14ac:dyDescent="0.4">
      <c r="X6783"/>
      <c r="AO6783"/>
    </row>
    <row r="6784" spans="24:41" x14ac:dyDescent="0.4">
      <c r="X6784"/>
      <c r="AO6784"/>
    </row>
    <row r="6785" spans="24:41" x14ac:dyDescent="0.4">
      <c r="X6785"/>
      <c r="AO6785"/>
    </row>
    <row r="6786" spans="24:41" x14ac:dyDescent="0.4">
      <c r="X6786"/>
      <c r="AO6786"/>
    </row>
    <row r="6787" spans="24:41" x14ac:dyDescent="0.4">
      <c r="X6787"/>
      <c r="AO6787"/>
    </row>
    <row r="6788" spans="24:41" x14ac:dyDescent="0.4">
      <c r="X6788"/>
      <c r="AO6788"/>
    </row>
    <row r="6789" spans="24:41" x14ac:dyDescent="0.4">
      <c r="X6789"/>
      <c r="AO6789"/>
    </row>
    <row r="6790" spans="24:41" x14ac:dyDescent="0.4">
      <c r="X6790"/>
      <c r="AO6790"/>
    </row>
    <row r="6791" spans="24:41" x14ac:dyDescent="0.4">
      <c r="X6791"/>
      <c r="AO6791"/>
    </row>
    <row r="6792" spans="24:41" x14ac:dyDescent="0.4">
      <c r="X6792"/>
      <c r="AO6792"/>
    </row>
    <row r="6793" spans="24:41" x14ac:dyDescent="0.4">
      <c r="X6793"/>
      <c r="AO6793"/>
    </row>
    <row r="6794" spans="24:41" x14ac:dyDescent="0.4">
      <c r="X6794"/>
      <c r="AO6794"/>
    </row>
    <row r="6795" spans="24:41" x14ac:dyDescent="0.4">
      <c r="X6795"/>
      <c r="AO6795"/>
    </row>
    <row r="6796" spans="24:41" x14ac:dyDescent="0.4">
      <c r="X6796"/>
      <c r="AO6796"/>
    </row>
    <row r="6797" spans="24:41" x14ac:dyDescent="0.4">
      <c r="X6797"/>
      <c r="AO6797"/>
    </row>
    <row r="6798" spans="24:41" x14ac:dyDescent="0.4">
      <c r="X6798"/>
      <c r="AO6798"/>
    </row>
    <row r="6799" spans="24:41" x14ac:dyDescent="0.4">
      <c r="X6799"/>
      <c r="AO6799"/>
    </row>
    <row r="6800" spans="24:41" x14ac:dyDescent="0.4">
      <c r="X6800"/>
      <c r="AO6800"/>
    </row>
    <row r="6801" spans="24:41" x14ac:dyDescent="0.4">
      <c r="X6801"/>
      <c r="AO6801"/>
    </row>
    <row r="6802" spans="24:41" x14ac:dyDescent="0.4">
      <c r="X6802"/>
      <c r="AO6802"/>
    </row>
    <row r="6803" spans="24:41" x14ac:dyDescent="0.4">
      <c r="X6803"/>
      <c r="AO6803"/>
    </row>
    <row r="6804" spans="24:41" x14ac:dyDescent="0.4">
      <c r="X6804"/>
      <c r="AO6804"/>
    </row>
    <row r="6805" spans="24:41" x14ac:dyDescent="0.4">
      <c r="X6805"/>
      <c r="AO6805"/>
    </row>
    <row r="6806" spans="24:41" x14ac:dyDescent="0.4">
      <c r="X6806"/>
      <c r="AO6806"/>
    </row>
    <row r="6807" spans="24:41" x14ac:dyDescent="0.4">
      <c r="X6807"/>
      <c r="AO6807"/>
    </row>
    <row r="6808" spans="24:41" x14ac:dyDescent="0.4">
      <c r="X6808"/>
      <c r="AO6808"/>
    </row>
    <row r="6809" spans="24:41" x14ac:dyDescent="0.4">
      <c r="X6809"/>
      <c r="AO6809"/>
    </row>
    <row r="6810" spans="24:41" x14ac:dyDescent="0.4">
      <c r="X6810"/>
      <c r="AO6810"/>
    </row>
    <row r="6811" spans="24:41" x14ac:dyDescent="0.4">
      <c r="X6811"/>
      <c r="AO6811"/>
    </row>
    <row r="6812" spans="24:41" x14ac:dyDescent="0.4">
      <c r="X6812"/>
      <c r="AO6812"/>
    </row>
    <row r="6813" spans="24:41" x14ac:dyDescent="0.4">
      <c r="X6813"/>
      <c r="AO6813"/>
    </row>
    <row r="6814" spans="24:41" x14ac:dyDescent="0.4">
      <c r="X6814"/>
      <c r="AO6814"/>
    </row>
    <row r="6815" spans="24:41" x14ac:dyDescent="0.4">
      <c r="X6815"/>
      <c r="AO6815"/>
    </row>
    <row r="6816" spans="24:41" x14ac:dyDescent="0.4">
      <c r="X6816"/>
      <c r="AO6816"/>
    </row>
    <row r="6817" spans="24:41" x14ac:dyDescent="0.4">
      <c r="X6817"/>
      <c r="AO6817"/>
    </row>
    <row r="6818" spans="24:41" x14ac:dyDescent="0.4">
      <c r="X6818"/>
      <c r="AO6818"/>
    </row>
    <row r="6819" spans="24:41" x14ac:dyDescent="0.4">
      <c r="X6819"/>
      <c r="AO6819"/>
    </row>
    <row r="6820" spans="24:41" x14ac:dyDescent="0.4">
      <c r="X6820"/>
      <c r="AO6820"/>
    </row>
    <row r="6821" spans="24:41" x14ac:dyDescent="0.4">
      <c r="X6821"/>
      <c r="AO6821"/>
    </row>
    <row r="6822" spans="24:41" x14ac:dyDescent="0.4">
      <c r="X6822"/>
      <c r="AO6822"/>
    </row>
    <row r="6823" spans="24:41" x14ac:dyDescent="0.4">
      <c r="X6823"/>
      <c r="AO6823"/>
    </row>
    <row r="6824" spans="24:41" x14ac:dyDescent="0.4">
      <c r="X6824"/>
      <c r="AO6824"/>
    </row>
    <row r="6825" spans="24:41" x14ac:dyDescent="0.4">
      <c r="X6825"/>
      <c r="AO6825"/>
    </row>
    <row r="6826" spans="24:41" x14ac:dyDescent="0.4">
      <c r="X6826"/>
      <c r="AO6826"/>
    </row>
    <row r="6827" spans="24:41" x14ac:dyDescent="0.4">
      <c r="X6827"/>
      <c r="AO6827"/>
    </row>
    <row r="6828" spans="24:41" x14ac:dyDescent="0.4">
      <c r="X6828"/>
      <c r="AO6828"/>
    </row>
    <row r="6829" spans="24:41" x14ac:dyDescent="0.4">
      <c r="X6829"/>
      <c r="AO6829"/>
    </row>
    <row r="6830" spans="24:41" x14ac:dyDescent="0.4">
      <c r="X6830"/>
      <c r="AO6830"/>
    </row>
    <row r="6831" spans="24:41" x14ac:dyDescent="0.4">
      <c r="X6831"/>
      <c r="AO6831"/>
    </row>
    <row r="6832" spans="24:41" x14ac:dyDescent="0.4">
      <c r="X6832"/>
      <c r="AO6832"/>
    </row>
    <row r="6833" spans="24:41" x14ac:dyDescent="0.4">
      <c r="X6833"/>
      <c r="AO6833"/>
    </row>
    <row r="6834" spans="24:41" x14ac:dyDescent="0.4">
      <c r="X6834"/>
      <c r="AO6834"/>
    </row>
    <row r="6835" spans="24:41" x14ac:dyDescent="0.4">
      <c r="X6835"/>
      <c r="AO6835"/>
    </row>
    <row r="6836" spans="24:41" x14ac:dyDescent="0.4">
      <c r="X6836"/>
      <c r="AO6836"/>
    </row>
    <row r="6837" spans="24:41" x14ac:dyDescent="0.4">
      <c r="X6837"/>
      <c r="AO6837"/>
    </row>
    <row r="6838" spans="24:41" x14ac:dyDescent="0.4">
      <c r="X6838"/>
      <c r="AO6838"/>
    </row>
    <row r="6839" spans="24:41" x14ac:dyDescent="0.4">
      <c r="X6839"/>
      <c r="AO6839"/>
    </row>
    <row r="6840" spans="24:41" x14ac:dyDescent="0.4">
      <c r="X6840"/>
      <c r="AO6840"/>
    </row>
    <row r="6841" spans="24:41" x14ac:dyDescent="0.4">
      <c r="X6841"/>
      <c r="AO6841"/>
    </row>
    <row r="6842" spans="24:41" x14ac:dyDescent="0.4">
      <c r="X6842"/>
      <c r="AO6842"/>
    </row>
    <row r="6843" spans="24:41" x14ac:dyDescent="0.4">
      <c r="X6843"/>
      <c r="AO6843"/>
    </row>
    <row r="6844" spans="24:41" x14ac:dyDescent="0.4">
      <c r="X6844"/>
      <c r="AO6844"/>
    </row>
    <row r="6845" spans="24:41" x14ac:dyDescent="0.4">
      <c r="X6845"/>
      <c r="AO6845"/>
    </row>
    <row r="6846" spans="24:41" x14ac:dyDescent="0.4">
      <c r="X6846"/>
      <c r="AO6846"/>
    </row>
    <row r="6847" spans="24:41" x14ac:dyDescent="0.4">
      <c r="X6847"/>
      <c r="AO6847"/>
    </row>
    <row r="6848" spans="24:41" x14ac:dyDescent="0.4">
      <c r="X6848"/>
      <c r="AO6848"/>
    </row>
    <row r="6849" spans="24:41" x14ac:dyDescent="0.4">
      <c r="X6849"/>
      <c r="AO6849"/>
    </row>
    <row r="6850" spans="24:41" x14ac:dyDescent="0.4">
      <c r="X6850"/>
      <c r="AO6850"/>
    </row>
    <row r="6851" spans="24:41" x14ac:dyDescent="0.4">
      <c r="X6851"/>
      <c r="AO6851"/>
    </row>
    <row r="6852" spans="24:41" x14ac:dyDescent="0.4">
      <c r="X6852"/>
      <c r="AO6852"/>
    </row>
    <row r="6853" spans="24:41" x14ac:dyDescent="0.4">
      <c r="X6853"/>
      <c r="AO6853"/>
    </row>
    <row r="6854" spans="24:41" x14ac:dyDescent="0.4">
      <c r="X6854"/>
      <c r="AO6854"/>
    </row>
    <row r="6855" spans="24:41" x14ac:dyDescent="0.4">
      <c r="X6855"/>
      <c r="AO6855"/>
    </row>
    <row r="6856" spans="24:41" x14ac:dyDescent="0.4">
      <c r="X6856"/>
      <c r="AO6856"/>
    </row>
    <row r="6857" spans="24:41" x14ac:dyDescent="0.4">
      <c r="X6857"/>
      <c r="AO6857"/>
    </row>
    <row r="6858" spans="24:41" x14ac:dyDescent="0.4">
      <c r="X6858"/>
      <c r="AO6858"/>
    </row>
    <row r="6859" spans="24:41" x14ac:dyDescent="0.4">
      <c r="X6859"/>
      <c r="AO6859"/>
    </row>
    <row r="6860" spans="24:41" x14ac:dyDescent="0.4">
      <c r="X6860"/>
      <c r="AO6860"/>
    </row>
    <row r="6861" spans="24:41" x14ac:dyDescent="0.4">
      <c r="X6861"/>
      <c r="AO6861"/>
    </row>
    <row r="6862" spans="24:41" x14ac:dyDescent="0.4">
      <c r="X6862"/>
      <c r="AO6862"/>
    </row>
    <row r="6863" spans="24:41" x14ac:dyDescent="0.4">
      <c r="X6863"/>
      <c r="AO6863"/>
    </row>
    <row r="6864" spans="24:41" x14ac:dyDescent="0.4">
      <c r="X6864"/>
      <c r="AO6864"/>
    </row>
    <row r="6865" spans="24:41" x14ac:dyDescent="0.4">
      <c r="X6865"/>
      <c r="AO6865"/>
    </row>
    <row r="6866" spans="24:41" x14ac:dyDescent="0.4">
      <c r="X6866"/>
      <c r="AO6866"/>
    </row>
    <row r="6867" spans="24:41" x14ac:dyDescent="0.4">
      <c r="X6867"/>
      <c r="AO6867"/>
    </row>
    <row r="6868" spans="24:41" x14ac:dyDescent="0.4">
      <c r="X6868"/>
      <c r="AO6868"/>
    </row>
    <row r="6869" spans="24:41" x14ac:dyDescent="0.4">
      <c r="X6869"/>
      <c r="AO6869"/>
    </row>
    <row r="6870" spans="24:41" x14ac:dyDescent="0.4">
      <c r="X6870"/>
      <c r="AO6870"/>
    </row>
    <row r="6871" spans="24:41" x14ac:dyDescent="0.4">
      <c r="X6871"/>
      <c r="AO6871"/>
    </row>
    <row r="6872" spans="24:41" x14ac:dyDescent="0.4">
      <c r="X6872"/>
      <c r="AO6872"/>
    </row>
    <row r="6873" spans="24:41" x14ac:dyDescent="0.4">
      <c r="X6873"/>
      <c r="AO6873"/>
    </row>
    <row r="6874" spans="24:41" x14ac:dyDescent="0.4">
      <c r="X6874"/>
      <c r="AO6874"/>
    </row>
    <row r="6875" spans="24:41" x14ac:dyDescent="0.4">
      <c r="X6875"/>
      <c r="AO6875"/>
    </row>
    <row r="6876" spans="24:41" x14ac:dyDescent="0.4">
      <c r="X6876"/>
      <c r="AO6876"/>
    </row>
    <row r="6877" spans="24:41" x14ac:dyDescent="0.4">
      <c r="X6877"/>
      <c r="AO6877"/>
    </row>
    <row r="6878" spans="24:41" x14ac:dyDescent="0.4">
      <c r="X6878"/>
      <c r="AO6878"/>
    </row>
    <row r="6879" spans="24:41" x14ac:dyDescent="0.4">
      <c r="X6879"/>
      <c r="AO6879"/>
    </row>
    <row r="6880" spans="24:41" x14ac:dyDescent="0.4">
      <c r="X6880"/>
      <c r="AO6880"/>
    </row>
    <row r="6881" spans="24:41" x14ac:dyDescent="0.4">
      <c r="X6881"/>
      <c r="AO6881"/>
    </row>
    <row r="6882" spans="24:41" x14ac:dyDescent="0.4">
      <c r="X6882"/>
      <c r="AO6882"/>
    </row>
    <row r="6883" spans="24:41" x14ac:dyDescent="0.4">
      <c r="X6883"/>
      <c r="AO6883"/>
    </row>
    <row r="6884" spans="24:41" x14ac:dyDescent="0.4">
      <c r="X6884"/>
      <c r="AO6884"/>
    </row>
    <row r="6885" spans="24:41" x14ac:dyDescent="0.4">
      <c r="X6885"/>
      <c r="AO6885"/>
    </row>
    <row r="6886" spans="24:41" x14ac:dyDescent="0.4">
      <c r="X6886"/>
      <c r="AO6886"/>
    </row>
    <row r="6887" spans="24:41" x14ac:dyDescent="0.4">
      <c r="X6887"/>
      <c r="AO6887"/>
    </row>
    <row r="6888" spans="24:41" x14ac:dyDescent="0.4">
      <c r="X6888"/>
      <c r="AO6888"/>
    </row>
    <row r="6889" spans="24:41" x14ac:dyDescent="0.4">
      <c r="X6889"/>
      <c r="AO6889"/>
    </row>
    <row r="6890" spans="24:41" x14ac:dyDescent="0.4">
      <c r="X6890"/>
      <c r="AO6890"/>
    </row>
    <row r="6891" spans="24:41" x14ac:dyDescent="0.4">
      <c r="X6891"/>
      <c r="AO6891"/>
    </row>
    <row r="6892" spans="24:41" x14ac:dyDescent="0.4">
      <c r="X6892"/>
      <c r="AO6892"/>
    </row>
    <row r="6893" spans="24:41" x14ac:dyDescent="0.4">
      <c r="X6893"/>
      <c r="AO6893"/>
    </row>
    <row r="6894" spans="24:41" x14ac:dyDescent="0.4">
      <c r="X6894"/>
      <c r="AO6894"/>
    </row>
    <row r="6895" spans="24:41" x14ac:dyDescent="0.4">
      <c r="X6895"/>
      <c r="AO6895"/>
    </row>
    <row r="6896" spans="24:41" x14ac:dyDescent="0.4">
      <c r="X6896"/>
      <c r="AO6896"/>
    </row>
    <row r="6897" spans="24:41" x14ac:dyDescent="0.4">
      <c r="X6897"/>
      <c r="AO6897"/>
    </row>
    <row r="6898" spans="24:41" x14ac:dyDescent="0.4">
      <c r="X6898"/>
      <c r="AO6898"/>
    </row>
    <row r="6899" spans="24:41" x14ac:dyDescent="0.4">
      <c r="X6899"/>
      <c r="AO6899"/>
    </row>
    <row r="6900" spans="24:41" x14ac:dyDescent="0.4">
      <c r="X6900"/>
      <c r="AO6900"/>
    </row>
    <row r="6901" spans="24:41" x14ac:dyDescent="0.4">
      <c r="X6901"/>
      <c r="AO6901"/>
    </row>
    <row r="6902" spans="24:41" x14ac:dyDescent="0.4">
      <c r="X6902"/>
      <c r="AO6902"/>
    </row>
    <row r="6903" spans="24:41" x14ac:dyDescent="0.4">
      <c r="X6903"/>
      <c r="AO6903"/>
    </row>
    <row r="6904" spans="24:41" x14ac:dyDescent="0.4">
      <c r="X6904"/>
      <c r="AO6904"/>
    </row>
    <row r="6905" spans="24:41" x14ac:dyDescent="0.4">
      <c r="X6905"/>
      <c r="AO6905"/>
    </row>
    <row r="6906" spans="24:41" x14ac:dyDescent="0.4">
      <c r="X6906"/>
      <c r="AO6906"/>
    </row>
    <row r="6907" spans="24:41" x14ac:dyDescent="0.4">
      <c r="X6907"/>
      <c r="AO6907"/>
    </row>
    <row r="6908" spans="24:41" x14ac:dyDescent="0.4">
      <c r="X6908"/>
      <c r="AO6908"/>
    </row>
    <row r="6909" spans="24:41" x14ac:dyDescent="0.4">
      <c r="X6909"/>
      <c r="AO6909"/>
    </row>
    <row r="6910" spans="24:41" x14ac:dyDescent="0.4">
      <c r="X6910"/>
      <c r="AO6910"/>
    </row>
    <row r="6911" spans="24:41" x14ac:dyDescent="0.4">
      <c r="X6911"/>
      <c r="AO6911"/>
    </row>
    <row r="6912" spans="24:41" x14ac:dyDescent="0.4">
      <c r="X6912"/>
      <c r="AO6912"/>
    </row>
    <row r="6913" spans="24:41" x14ac:dyDescent="0.4">
      <c r="X6913"/>
      <c r="AO6913"/>
    </row>
    <row r="6914" spans="24:41" x14ac:dyDescent="0.4">
      <c r="X6914"/>
      <c r="AO6914"/>
    </row>
    <row r="6915" spans="24:41" x14ac:dyDescent="0.4">
      <c r="X6915"/>
      <c r="AO6915"/>
    </row>
    <row r="6916" spans="24:41" x14ac:dyDescent="0.4">
      <c r="X6916"/>
      <c r="AO6916"/>
    </row>
    <row r="6917" spans="24:41" x14ac:dyDescent="0.4">
      <c r="X6917"/>
      <c r="AO6917"/>
    </row>
    <row r="6918" spans="24:41" x14ac:dyDescent="0.4">
      <c r="X6918"/>
      <c r="AO6918"/>
    </row>
    <row r="6919" spans="24:41" x14ac:dyDescent="0.4">
      <c r="X6919"/>
      <c r="AO6919"/>
    </row>
    <row r="6920" spans="24:41" x14ac:dyDescent="0.4">
      <c r="X6920"/>
      <c r="AO6920"/>
    </row>
    <row r="6921" spans="24:41" x14ac:dyDescent="0.4">
      <c r="X6921"/>
      <c r="AO6921"/>
    </row>
    <row r="6922" spans="24:41" x14ac:dyDescent="0.4">
      <c r="X6922"/>
      <c r="AO6922"/>
    </row>
    <row r="6923" spans="24:41" x14ac:dyDescent="0.4">
      <c r="X6923"/>
      <c r="AO6923"/>
    </row>
    <row r="6924" spans="24:41" x14ac:dyDescent="0.4">
      <c r="X6924"/>
      <c r="AO6924"/>
    </row>
    <row r="6925" spans="24:41" x14ac:dyDescent="0.4">
      <c r="X6925"/>
      <c r="AO6925"/>
    </row>
    <row r="6926" spans="24:41" x14ac:dyDescent="0.4">
      <c r="X6926"/>
      <c r="AO6926"/>
    </row>
    <row r="6927" spans="24:41" x14ac:dyDescent="0.4">
      <c r="X6927"/>
      <c r="AO6927"/>
    </row>
    <row r="6928" spans="24:41" x14ac:dyDescent="0.4">
      <c r="X6928"/>
      <c r="AO6928"/>
    </row>
    <row r="6929" spans="24:41" x14ac:dyDescent="0.4">
      <c r="X6929"/>
      <c r="AO6929"/>
    </row>
    <row r="6930" spans="24:41" x14ac:dyDescent="0.4">
      <c r="X6930"/>
      <c r="AO6930"/>
    </row>
    <row r="6931" spans="24:41" x14ac:dyDescent="0.4">
      <c r="X6931"/>
      <c r="AO6931"/>
    </row>
    <row r="6932" spans="24:41" x14ac:dyDescent="0.4">
      <c r="X6932"/>
      <c r="AO6932"/>
    </row>
    <row r="6933" spans="24:41" x14ac:dyDescent="0.4">
      <c r="X6933"/>
      <c r="AO6933"/>
    </row>
    <row r="6934" spans="24:41" x14ac:dyDescent="0.4">
      <c r="X6934"/>
      <c r="AO6934"/>
    </row>
    <row r="6935" spans="24:41" x14ac:dyDescent="0.4">
      <c r="X6935"/>
      <c r="AO6935"/>
    </row>
    <row r="6936" spans="24:41" x14ac:dyDescent="0.4">
      <c r="X6936"/>
      <c r="AO6936"/>
    </row>
    <row r="6937" spans="24:41" x14ac:dyDescent="0.4">
      <c r="X6937"/>
      <c r="AO6937"/>
    </row>
    <row r="6938" spans="24:41" x14ac:dyDescent="0.4">
      <c r="X6938"/>
      <c r="AO6938"/>
    </row>
    <row r="6939" spans="24:41" x14ac:dyDescent="0.4">
      <c r="X6939"/>
      <c r="AO6939"/>
    </row>
    <row r="6940" spans="24:41" x14ac:dyDescent="0.4">
      <c r="X6940"/>
      <c r="AO6940"/>
    </row>
    <row r="6941" spans="24:41" x14ac:dyDescent="0.4">
      <c r="X6941"/>
      <c r="AO6941"/>
    </row>
    <row r="6942" spans="24:41" x14ac:dyDescent="0.4">
      <c r="X6942"/>
      <c r="AO6942"/>
    </row>
    <row r="6943" spans="24:41" x14ac:dyDescent="0.4">
      <c r="X6943"/>
      <c r="AO6943"/>
    </row>
    <row r="6944" spans="24:41" x14ac:dyDescent="0.4">
      <c r="X6944"/>
      <c r="AO6944"/>
    </row>
    <row r="6945" spans="24:41" x14ac:dyDescent="0.4">
      <c r="X6945"/>
      <c r="AO6945"/>
    </row>
    <row r="6946" spans="24:41" x14ac:dyDescent="0.4">
      <c r="X6946"/>
      <c r="AO6946"/>
    </row>
    <row r="6947" spans="24:41" x14ac:dyDescent="0.4">
      <c r="X6947"/>
      <c r="AO6947"/>
    </row>
    <row r="6948" spans="24:41" x14ac:dyDescent="0.4">
      <c r="X6948"/>
      <c r="AO6948"/>
    </row>
    <row r="6949" spans="24:41" x14ac:dyDescent="0.4">
      <c r="X6949"/>
      <c r="AO6949"/>
    </row>
    <row r="6950" spans="24:41" x14ac:dyDescent="0.4">
      <c r="X6950"/>
      <c r="AO6950"/>
    </row>
    <row r="6951" spans="24:41" x14ac:dyDescent="0.4">
      <c r="X6951"/>
      <c r="AO6951"/>
    </row>
    <row r="6952" spans="24:41" x14ac:dyDescent="0.4">
      <c r="X6952"/>
      <c r="AO6952"/>
    </row>
    <row r="6953" spans="24:41" x14ac:dyDescent="0.4">
      <c r="X6953"/>
      <c r="AO6953"/>
    </row>
    <row r="6954" spans="24:41" x14ac:dyDescent="0.4">
      <c r="X6954"/>
      <c r="AO6954"/>
    </row>
    <row r="6955" spans="24:41" x14ac:dyDescent="0.4">
      <c r="X6955"/>
      <c r="AO6955"/>
    </row>
    <row r="6956" spans="24:41" x14ac:dyDescent="0.4">
      <c r="X6956"/>
      <c r="AO6956"/>
    </row>
    <row r="6957" spans="24:41" x14ac:dyDescent="0.4">
      <c r="X6957"/>
      <c r="AO6957"/>
    </row>
    <row r="6958" spans="24:41" x14ac:dyDescent="0.4">
      <c r="X6958"/>
      <c r="AO6958"/>
    </row>
    <row r="6959" spans="24:41" x14ac:dyDescent="0.4">
      <c r="X6959"/>
      <c r="AO6959"/>
    </row>
    <row r="6960" spans="24:41" x14ac:dyDescent="0.4">
      <c r="X6960"/>
      <c r="AO6960"/>
    </row>
    <row r="6961" spans="24:41" x14ac:dyDescent="0.4">
      <c r="X6961"/>
      <c r="AO6961"/>
    </row>
    <row r="6962" spans="24:41" x14ac:dyDescent="0.4">
      <c r="X6962"/>
      <c r="AO6962"/>
    </row>
    <row r="6963" spans="24:41" x14ac:dyDescent="0.4">
      <c r="X6963"/>
      <c r="AO6963"/>
    </row>
    <row r="6964" spans="24:41" x14ac:dyDescent="0.4">
      <c r="X6964"/>
      <c r="AO6964"/>
    </row>
    <row r="6965" spans="24:41" x14ac:dyDescent="0.4">
      <c r="X6965"/>
      <c r="AO6965"/>
    </row>
    <row r="6966" spans="24:41" x14ac:dyDescent="0.4">
      <c r="X6966"/>
      <c r="AO6966"/>
    </row>
    <row r="6967" spans="24:41" x14ac:dyDescent="0.4">
      <c r="X6967"/>
      <c r="AO6967"/>
    </row>
    <row r="6968" spans="24:41" x14ac:dyDescent="0.4">
      <c r="X6968"/>
      <c r="AO6968"/>
    </row>
    <row r="6969" spans="24:41" x14ac:dyDescent="0.4">
      <c r="X6969"/>
      <c r="AO6969"/>
    </row>
    <row r="6970" spans="24:41" x14ac:dyDescent="0.4">
      <c r="X6970"/>
      <c r="AO6970"/>
    </row>
    <row r="6971" spans="24:41" x14ac:dyDescent="0.4">
      <c r="X6971"/>
      <c r="AO6971"/>
    </row>
    <row r="6972" spans="24:41" x14ac:dyDescent="0.4">
      <c r="X6972"/>
      <c r="AO6972"/>
    </row>
    <row r="6973" spans="24:41" x14ac:dyDescent="0.4">
      <c r="X6973"/>
      <c r="AO6973"/>
    </row>
    <row r="6974" spans="24:41" x14ac:dyDescent="0.4">
      <c r="X6974"/>
      <c r="AO6974"/>
    </row>
    <row r="6975" spans="24:41" x14ac:dyDescent="0.4">
      <c r="X6975"/>
      <c r="AO6975"/>
    </row>
    <row r="6976" spans="24:41" x14ac:dyDescent="0.4">
      <c r="X6976"/>
      <c r="AO6976"/>
    </row>
    <row r="6977" spans="24:41" x14ac:dyDescent="0.4">
      <c r="X6977"/>
      <c r="AO6977"/>
    </row>
    <row r="6978" spans="24:41" x14ac:dyDescent="0.4">
      <c r="X6978"/>
      <c r="AO6978"/>
    </row>
    <row r="6979" spans="24:41" x14ac:dyDescent="0.4">
      <c r="X6979"/>
      <c r="AO6979"/>
    </row>
    <row r="6980" spans="24:41" x14ac:dyDescent="0.4">
      <c r="X6980"/>
      <c r="AO6980"/>
    </row>
    <row r="6981" spans="24:41" x14ac:dyDescent="0.4">
      <c r="X6981"/>
      <c r="AO6981"/>
    </row>
    <row r="6982" spans="24:41" x14ac:dyDescent="0.4">
      <c r="X6982"/>
      <c r="AO6982"/>
    </row>
    <row r="6983" spans="24:41" x14ac:dyDescent="0.4">
      <c r="X6983"/>
      <c r="AO6983"/>
    </row>
    <row r="6984" spans="24:41" x14ac:dyDescent="0.4">
      <c r="X6984"/>
      <c r="AO6984"/>
    </row>
    <row r="6985" spans="24:41" x14ac:dyDescent="0.4">
      <c r="X6985"/>
      <c r="AO6985"/>
    </row>
    <row r="6986" spans="24:41" x14ac:dyDescent="0.4">
      <c r="X6986"/>
      <c r="AO6986"/>
    </row>
    <row r="6987" spans="24:41" x14ac:dyDescent="0.4">
      <c r="X6987"/>
      <c r="AO6987"/>
    </row>
    <row r="6988" spans="24:41" x14ac:dyDescent="0.4">
      <c r="X6988"/>
      <c r="AO6988"/>
    </row>
    <row r="6989" spans="24:41" x14ac:dyDescent="0.4">
      <c r="X6989"/>
      <c r="AO6989"/>
    </row>
    <row r="6990" spans="24:41" x14ac:dyDescent="0.4">
      <c r="X6990"/>
      <c r="AO6990"/>
    </row>
    <row r="6991" spans="24:41" x14ac:dyDescent="0.4">
      <c r="X6991"/>
      <c r="AO6991"/>
    </row>
    <row r="6992" spans="24:41" x14ac:dyDescent="0.4">
      <c r="X6992"/>
      <c r="AO6992"/>
    </row>
    <row r="6993" spans="24:41" x14ac:dyDescent="0.4">
      <c r="X6993"/>
      <c r="AO6993"/>
    </row>
    <row r="6994" spans="24:41" x14ac:dyDescent="0.4">
      <c r="X6994"/>
      <c r="AO6994"/>
    </row>
    <row r="6995" spans="24:41" x14ac:dyDescent="0.4">
      <c r="X6995"/>
      <c r="AO6995"/>
    </row>
    <row r="6996" spans="24:41" x14ac:dyDescent="0.4">
      <c r="X6996"/>
      <c r="AO6996"/>
    </row>
    <row r="6997" spans="24:41" x14ac:dyDescent="0.4">
      <c r="X6997"/>
      <c r="AO6997"/>
    </row>
    <row r="6998" spans="24:41" x14ac:dyDescent="0.4">
      <c r="X6998"/>
      <c r="AO6998"/>
    </row>
    <row r="6999" spans="24:41" x14ac:dyDescent="0.4">
      <c r="X6999"/>
      <c r="AO6999"/>
    </row>
    <row r="7000" spans="24:41" x14ac:dyDescent="0.4">
      <c r="X7000"/>
      <c r="AO7000"/>
    </row>
    <row r="7001" spans="24:41" x14ac:dyDescent="0.4">
      <c r="X7001"/>
      <c r="AO7001"/>
    </row>
    <row r="7002" spans="24:41" x14ac:dyDescent="0.4">
      <c r="X7002"/>
      <c r="AO7002"/>
    </row>
    <row r="7003" spans="24:41" x14ac:dyDescent="0.4">
      <c r="X7003"/>
      <c r="AO7003"/>
    </row>
    <row r="7004" spans="24:41" x14ac:dyDescent="0.4">
      <c r="X7004"/>
      <c r="AO7004"/>
    </row>
    <row r="7005" spans="24:41" x14ac:dyDescent="0.4">
      <c r="X7005"/>
      <c r="AO7005"/>
    </row>
    <row r="7006" spans="24:41" x14ac:dyDescent="0.4">
      <c r="X7006"/>
      <c r="AO7006"/>
    </row>
    <row r="7007" spans="24:41" x14ac:dyDescent="0.4">
      <c r="X7007"/>
      <c r="AO7007"/>
    </row>
    <row r="7008" spans="24:41" x14ac:dyDescent="0.4">
      <c r="X7008"/>
      <c r="AO7008"/>
    </row>
    <row r="7009" spans="24:41" x14ac:dyDescent="0.4">
      <c r="X7009"/>
      <c r="AO7009"/>
    </row>
    <row r="7010" spans="24:41" x14ac:dyDescent="0.4">
      <c r="X7010"/>
      <c r="AO7010"/>
    </row>
    <row r="7011" spans="24:41" x14ac:dyDescent="0.4">
      <c r="X7011"/>
      <c r="AO7011"/>
    </row>
    <row r="7012" spans="24:41" x14ac:dyDescent="0.4">
      <c r="X7012"/>
      <c r="AO7012"/>
    </row>
    <row r="7013" spans="24:41" x14ac:dyDescent="0.4">
      <c r="X7013"/>
      <c r="AO7013"/>
    </row>
    <row r="7014" spans="24:41" x14ac:dyDescent="0.4">
      <c r="X7014"/>
      <c r="AO7014"/>
    </row>
    <row r="7015" spans="24:41" x14ac:dyDescent="0.4">
      <c r="X7015"/>
      <c r="AO7015"/>
    </row>
    <row r="7016" spans="24:41" x14ac:dyDescent="0.4">
      <c r="X7016"/>
      <c r="AO7016"/>
    </row>
    <row r="7017" spans="24:41" x14ac:dyDescent="0.4">
      <c r="X7017"/>
      <c r="AO7017"/>
    </row>
    <row r="7018" spans="24:41" x14ac:dyDescent="0.4">
      <c r="X7018"/>
      <c r="AO7018"/>
    </row>
    <row r="7019" spans="24:41" x14ac:dyDescent="0.4">
      <c r="X7019"/>
      <c r="AO7019"/>
    </row>
    <row r="7020" spans="24:41" x14ac:dyDescent="0.4">
      <c r="X7020"/>
      <c r="AO7020"/>
    </row>
    <row r="7021" spans="24:41" x14ac:dyDescent="0.4">
      <c r="X7021"/>
      <c r="AO7021"/>
    </row>
    <row r="7022" spans="24:41" x14ac:dyDescent="0.4">
      <c r="X7022"/>
      <c r="AO7022"/>
    </row>
    <row r="7023" spans="24:41" x14ac:dyDescent="0.4">
      <c r="X7023"/>
      <c r="AO7023"/>
    </row>
    <row r="7024" spans="24:41" x14ac:dyDescent="0.4">
      <c r="X7024"/>
      <c r="AO7024"/>
    </row>
    <row r="7025" spans="24:41" x14ac:dyDescent="0.4">
      <c r="X7025"/>
      <c r="AO7025"/>
    </row>
    <row r="7026" spans="24:41" x14ac:dyDescent="0.4">
      <c r="X7026"/>
      <c r="AO7026"/>
    </row>
    <row r="7027" spans="24:41" x14ac:dyDescent="0.4">
      <c r="X7027"/>
      <c r="AO7027"/>
    </row>
    <row r="7028" spans="24:41" x14ac:dyDescent="0.4">
      <c r="X7028"/>
      <c r="AO7028"/>
    </row>
    <row r="7029" spans="24:41" x14ac:dyDescent="0.4">
      <c r="X7029"/>
      <c r="AO7029"/>
    </row>
    <row r="7030" spans="24:41" x14ac:dyDescent="0.4">
      <c r="X7030"/>
      <c r="AO7030"/>
    </row>
    <row r="7031" spans="24:41" x14ac:dyDescent="0.4">
      <c r="X7031"/>
      <c r="AO7031"/>
    </row>
    <row r="7032" spans="24:41" x14ac:dyDescent="0.4">
      <c r="X7032"/>
      <c r="AO7032"/>
    </row>
    <row r="7033" spans="24:41" x14ac:dyDescent="0.4">
      <c r="X7033"/>
      <c r="AO7033"/>
    </row>
    <row r="7034" spans="24:41" x14ac:dyDescent="0.4">
      <c r="X7034"/>
      <c r="AO7034"/>
    </row>
    <row r="7035" spans="24:41" x14ac:dyDescent="0.4">
      <c r="X7035"/>
      <c r="AO7035"/>
    </row>
    <row r="7036" spans="24:41" x14ac:dyDescent="0.4">
      <c r="X7036"/>
      <c r="AO7036"/>
    </row>
    <row r="7037" spans="24:41" x14ac:dyDescent="0.4">
      <c r="X7037"/>
      <c r="AO7037"/>
    </row>
    <row r="7038" spans="24:41" x14ac:dyDescent="0.4">
      <c r="X7038"/>
      <c r="AO7038"/>
    </row>
    <row r="7039" spans="24:41" x14ac:dyDescent="0.4">
      <c r="X7039"/>
      <c r="AO7039"/>
    </row>
    <row r="7040" spans="24:41" x14ac:dyDescent="0.4">
      <c r="X7040"/>
      <c r="AO7040"/>
    </row>
    <row r="7041" spans="24:41" x14ac:dyDescent="0.4">
      <c r="X7041"/>
      <c r="AO7041"/>
    </row>
    <row r="7042" spans="24:41" x14ac:dyDescent="0.4">
      <c r="X7042"/>
      <c r="AO7042"/>
    </row>
    <row r="7043" spans="24:41" x14ac:dyDescent="0.4">
      <c r="X7043"/>
      <c r="AO7043"/>
    </row>
    <row r="7044" spans="24:41" x14ac:dyDescent="0.4">
      <c r="X7044"/>
      <c r="AO7044"/>
    </row>
    <row r="7045" spans="24:41" x14ac:dyDescent="0.4">
      <c r="X7045"/>
      <c r="AO7045"/>
    </row>
    <row r="7046" spans="24:41" x14ac:dyDescent="0.4">
      <c r="X7046"/>
      <c r="AO7046"/>
    </row>
    <row r="7047" spans="24:41" x14ac:dyDescent="0.4">
      <c r="X7047"/>
      <c r="AO7047"/>
    </row>
    <row r="7048" spans="24:41" x14ac:dyDescent="0.4">
      <c r="X7048"/>
      <c r="AO7048"/>
    </row>
    <row r="7049" spans="24:41" x14ac:dyDescent="0.4">
      <c r="X7049"/>
      <c r="AO7049"/>
    </row>
    <row r="7050" spans="24:41" x14ac:dyDescent="0.4">
      <c r="X7050"/>
      <c r="AO7050"/>
    </row>
    <row r="7051" spans="24:41" x14ac:dyDescent="0.4">
      <c r="X7051"/>
      <c r="AO7051"/>
    </row>
    <row r="7052" spans="24:41" x14ac:dyDescent="0.4">
      <c r="X7052"/>
      <c r="AO7052"/>
    </row>
    <row r="7053" spans="24:41" x14ac:dyDescent="0.4">
      <c r="X7053"/>
      <c r="AO7053"/>
    </row>
    <row r="7054" spans="24:41" x14ac:dyDescent="0.4">
      <c r="X7054"/>
      <c r="AO7054"/>
    </row>
    <row r="7055" spans="24:41" x14ac:dyDescent="0.4">
      <c r="X7055"/>
      <c r="AO7055"/>
    </row>
    <row r="7056" spans="24:41" x14ac:dyDescent="0.4">
      <c r="X7056"/>
      <c r="AO7056"/>
    </row>
    <row r="7057" spans="24:41" x14ac:dyDescent="0.4">
      <c r="X7057"/>
      <c r="AO7057"/>
    </row>
    <row r="7058" spans="24:41" x14ac:dyDescent="0.4">
      <c r="X7058"/>
      <c r="AO7058"/>
    </row>
    <row r="7059" spans="24:41" x14ac:dyDescent="0.4">
      <c r="X7059"/>
      <c r="AO7059"/>
    </row>
    <row r="7060" spans="24:41" x14ac:dyDescent="0.4">
      <c r="X7060"/>
      <c r="AO7060"/>
    </row>
    <row r="7061" spans="24:41" x14ac:dyDescent="0.4">
      <c r="X7061"/>
      <c r="AO7061"/>
    </row>
    <row r="7062" spans="24:41" x14ac:dyDescent="0.4">
      <c r="X7062"/>
      <c r="AO7062"/>
    </row>
    <row r="7063" spans="24:41" x14ac:dyDescent="0.4">
      <c r="X7063"/>
      <c r="AO7063"/>
    </row>
    <row r="7064" spans="24:41" x14ac:dyDescent="0.4">
      <c r="X7064"/>
      <c r="AO7064"/>
    </row>
    <row r="7065" spans="24:41" x14ac:dyDescent="0.4">
      <c r="X7065"/>
      <c r="AO7065"/>
    </row>
    <row r="7066" spans="24:41" x14ac:dyDescent="0.4">
      <c r="X7066"/>
      <c r="AO7066"/>
    </row>
    <row r="7067" spans="24:41" x14ac:dyDescent="0.4">
      <c r="X7067"/>
      <c r="AO7067"/>
    </row>
    <row r="7068" spans="24:41" x14ac:dyDescent="0.4">
      <c r="X7068"/>
      <c r="AO7068"/>
    </row>
    <row r="7069" spans="24:41" x14ac:dyDescent="0.4">
      <c r="X7069"/>
      <c r="AO7069"/>
    </row>
    <row r="7070" spans="24:41" x14ac:dyDescent="0.4">
      <c r="X7070"/>
      <c r="AO7070"/>
    </row>
    <row r="7071" spans="24:41" x14ac:dyDescent="0.4">
      <c r="X7071"/>
      <c r="AO7071"/>
    </row>
    <row r="7072" spans="24:41" x14ac:dyDescent="0.4">
      <c r="X7072"/>
      <c r="AO7072"/>
    </row>
    <row r="7073" spans="24:41" x14ac:dyDescent="0.4">
      <c r="X7073"/>
      <c r="AO7073"/>
    </row>
    <row r="7074" spans="24:41" x14ac:dyDescent="0.4">
      <c r="X7074"/>
      <c r="AO7074"/>
    </row>
    <row r="7075" spans="24:41" x14ac:dyDescent="0.4">
      <c r="X7075"/>
      <c r="AO7075"/>
    </row>
    <row r="7076" spans="24:41" x14ac:dyDescent="0.4">
      <c r="X7076"/>
      <c r="AO7076"/>
    </row>
    <row r="7077" spans="24:41" x14ac:dyDescent="0.4">
      <c r="X7077"/>
      <c r="AO7077"/>
    </row>
    <row r="7078" spans="24:41" x14ac:dyDescent="0.4">
      <c r="X7078"/>
      <c r="AO7078"/>
    </row>
    <row r="7079" spans="24:41" x14ac:dyDescent="0.4">
      <c r="X7079"/>
      <c r="AO7079"/>
    </row>
    <row r="7080" spans="24:41" x14ac:dyDescent="0.4">
      <c r="X7080"/>
      <c r="AO7080"/>
    </row>
    <row r="7081" spans="24:41" x14ac:dyDescent="0.4">
      <c r="X7081"/>
      <c r="AO7081"/>
    </row>
    <row r="7082" spans="24:41" x14ac:dyDescent="0.4">
      <c r="X7082"/>
      <c r="AO7082"/>
    </row>
    <row r="7083" spans="24:41" x14ac:dyDescent="0.4">
      <c r="X7083"/>
      <c r="AO7083"/>
    </row>
    <row r="7084" spans="24:41" x14ac:dyDescent="0.4">
      <c r="X7084"/>
      <c r="AO7084"/>
    </row>
    <row r="7085" spans="24:41" x14ac:dyDescent="0.4">
      <c r="X7085"/>
      <c r="AO7085"/>
    </row>
    <row r="7086" spans="24:41" x14ac:dyDescent="0.4">
      <c r="X7086"/>
      <c r="AO7086"/>
    </row>
    <row r="7087" spans="24:41" x14ac:dyDescent="0.4">
      <c r="X7087"/>
      <c r="AO7087"/>
    </row>
    <row r="7088" spans="24:41" x14ac:dyDescent="0.4">
      <c r="X7088"/>
      <c r="AO7088"/>
    </row>
    <row r="7089" spans="24:41" x14ac:dyDescent="0.4">
      <c r="X7089"/>
      <c r="AO7089"/>
    </row>
    <row r="7090" spans="24:41" x14ac:dyDescent="0.4">
      <c r="X7090"/>
      <c r="AO7090"/>
    </row>
    <row r="7091" spans="24:41" x14ac:dyDescent="0.4">
      <c r="X7091"/>
      <c r="AO7091"/>
    </row>
    <row r="7092" spans="24:41" x14ac:dyDescent="0.4">
      <c r="X7092"/>
      <c r="AO7092"/>
    </row>
    <row r="7093" spans="24:41" x14ac:dyDescent="0.4">
      <c r="X7093"/>
      <c r="AO7093"/>
    </row>
    <row r="7094" spans="24:41" x14ac:dyDescent="0.4">
      <c r="X7094"/>
      <c r="AO7094"/>
    </row>
    <row r="7095" spans="24:41" x14ac:dyDescent="0.4">
      <c r="X7095"/>
      <c r="AO7095"/>
    </row>
    <row r="7096" spans="24:41" x14ac:dyDescent="0.4">
      <c r="X7096"/>
      <c r="AO7096"/>
    </row>
    <row r="7097" spans="24:41" x14ac:dyDescent="0.4">
      <c r="X7097"/>
      <c r="AO7097"/>
    </row>
    <row r="7098" spans="24:41" x14ac:dyDescent="0.4">
      <c r="X7098"/>
      <c r="AO7098"/>
    </row>
    <row r="7099" spans="24:41" x14ac:dyDescent="0.4">
      <c r="X7099"/>
      <c r="AO7099"/>
    </row>
    <row r="7100" spans="24:41" x14ac:dyDescent="0.4">
      <c r="X7100"/>
      <c r="AO7100"/>
    </row>
    <row r="7101" spans="24:41" x14ac:dyDescent="0.4">
      <c r="X7101"/>
      <c r="AO7101"/>
    </row>
    <row r="7102" spans="24:41" x14ac:dyDescent="0.4">
      <c r="X7102"/>
      <c r="AO7102"/>
    </row>
    <row r="7103" spans="24:41" x14ac:dyDescent="0.4">
      <c r="X7103"/>
      <c r="AO7103"/>
    </row>
    <row r="7104" spans="24:41" x14ac:dyDescent="0.4">
      <c r="X7104"/>
      <c r="AO7104"/>
    </row>
    <row r="7105" spans="24:41" x14ac:dyDescent="0.4">
      <c r="X7105"/>
      <c r="AO7105"/>
    </row>
    <row r="7106" spans="24:41" x14ac:dyDescent="0.4">
      <c r="X7106"/>
      <c r="AO7106"/>
    </row>
    <row r="7107" spans="24:41" x14ac:dyDescent="0.4">
      <c r="X7107"/>
      <c r="AO7107"/>
    </row>
    <row r="7108" spans="24:41" x14ac:dyDescent="0.4">
      <c r="X7108"/>
      <c r="AO7108"/>
    </row>
    <row r="7109" spans="24:41" x14ac:dyDescent="0.4">
      <c r="X7109"/>
      <c r="AO7109"/>
    </row>
    <row r="7110" spans="24:41" x14ac:dyDescent="0.4">
      <c r="X7110"/>
      <c r="AO7110"/>
    </row>
    <row r="7111" spans="24:41" x14ac:dyDescent="0.4">
      <c r="X7111"/>
      <c r="AO7111"/>
    </row>
    <row r="7112" spans="24:41" x14ac:dyDescent="0.4">
      <c r="X7112"/>
      <c r="AO7112"/>
    </row>
    <row r="7113" spans="24:41" x14ac:dyDescent="0.4">
      <c r="X7113"/>
      <c r="AO7113"/>
    </row>
    <row r="7114" spans="24:41" x14ac:dyDescent="0.4">
      <c r="X7114"/>
      <c r="AO7114"/>
    </row>
    <row r="7115" spans="24:41" x14ac:dyDescent="0.4">
      <c r="X7115"/>
      <c r="AO7115"/>
    </row>
    <row r="7116" spans="24:41" x14ac:dyDescent="0.4">
      <c r="X7116"/>
      <c r="AO7116"/>
    </row>
    <row r="7117" spans="24:41" x14ac:dyDescent="0.4">
      <c r="X7117"/>
      <c r="AO7117"/>
    </row>
    <row r="7118" spans="24:41" x14ac:dyDescent="0.4">
      <c r="X7118"/>
      <c r="AO7118"/>
    </row>
    <row r="7119" spans="24:41" x14ac:dyDescent="0.4">
      <c r="X7119"/>
      <c r="AO7119"/>
    </row>
    <row r="7120" spans="24:41" x14ac:dyDescent="0.4">
      <c r="X7120"/>
      <c r="AO7120"/>
    </row>
    <row r="7121" spans="24:41" x14ac:dyDescent="0.4">
      <c r="X7121"/>
      <c r="AO7121"/>
    </row>
    <row r="7122" spans="24:41" x14ac:dyDescent="0.4">
      <c r="X7122"/>
      <c r="AO7122"/>
    </row>
    <row r="7123" spans="24:41" x14ac:dyDescent="0.4">
      <c r="X7123"/>
      <c r="AO7123"/>
    </row>
    <row r="7124" spans="24:41" x14ac:dyDescent="0.4">
      <c r="X7124"/>
      <c r="AO7124"/>
    </row>
    <row r="7125" spans="24:41" x14ac:dyDescent="0.4">
      <c r="X7125"/>
      <c r="AO7125"/>
    </row>
    <row r="7126" spans="24:41" x14ac:dyDescent="0.4">
      <c r="X7126"/>
      <c r="AO7126"/>
    </row>
    <row r="7127" spans="24:41" x14ac:dyDescent="0.4">
      <c r="X7127"/>
      <c r="AO7127"/>
    </row>
    <row r="7128" spans="24:41" x14ac:dyDescent="0.4">
      <c r="X7128"/>
      <c r="AO7128"/>
    </row>
    <row r="7129" spans="24:41" x14ac:dyDescent="0.4">
      <c r="X7129"/>
      <c r="AO7129"/>
    </row>
    <row r="7130" spans="24:41" x14ac:dyDescent="0.4">
      <c r="X7130"/>
      <c r="AO7130"/>
    </row>
    <row r="7131" spans="24:41" x14ac:dyDescent="0.4">
      <c r="X7131"/>
      <c r="AO7131"/>
    </row>
    <row r="7132" spans="24:41" x14ac:dyDescent="0.4">
      <c r="X7132"/>
      <c r="AO7132"/>
    </row>
    <row r="7133" spans="24:41" x14ac:dyDescent="0.4">
      <c r="X7133"/>
      <c r="AO7133"/>
    </row>
    <row r="7134" spans="24:41" x14ac:dyDescent="0.4">
      <c r="X7134"/>
      <c r="AO7134"/>
    </row>
    <row r="7135" spans="24:41" x14ac:dyDescent="0.4">
      <c r="X7135"/>
      <c r="AO7135"/>
    </row>
    <row r="7136" spans="24:41" x14ac:dyDescent="0.4">
      <c r="X7136"/>
      <c r="AO7136"/>
    </row>
    <row r="7137" spans="24:41" x14ac:dyDescent="0.4">
      <c r="X7137"/>
      <c r="AO7137"/>
    </row>
    <row r="7138" spans="24:41" x14ac:dyDescent="0.4">
      <c r="X7138"/>
      <c r="AO7138"/>
    </row>
    <row r="7139" spans="24:41" x14ac:dyDescent="0.4">
      <c r="X7139"/>
      <c r="AO7139"/>
    </row>
    <row r="7140" spans="24:41" x14ac:dyDescent="0.4">
      <c r="X7140"/>
      <c r="AO7140"/>
    </row>
    <row r="7141" spans="24:41" x14ac:dyDescent="0.4">
      <c r="X7141"/>
      <c r="AO7141"/>
    </row>
    <row r="7142" spans="24:41" x14ac:dyDescent="0.4">
      <c r="X7142"/>
      <c r="AO7142"/>
    </row>
    <row r="7143" spans="24:41" x14ac:dyDescent="0.4">
      <c r="X7143"/>
      <c r="AO7143"/>
    </row>
    <row r="7144" spans="24:41" x14ac:dyDescent="0.4">
      <c r="X7144"/>
      <c r="AO7144"/>
    </row>
    <row r="7145" spans="24:41" x14ac:dyDescent="0.4">
      <c r="X7145"/>
      <c r="AO7145"/>
    </row>
    <row r="7146" spans="24:41" x14ac:dyDescent="0.4">
      <c r="X7146"/>
      <c r="AO7146"/>
    </row>
    <row r="7147" spans="24:41" x14ac:dyDescent="0.4">
      <c r="X7147"/>
      <c r="AO7147"/>
    </row>
    <row r="7148" spans="24:41" x14ac:dyDescent="0.4">
      <c r="X7148"/>
      <c r="AO7148"/>
    </row>
    <row r="7149" spans="24:41" x14ac:dyDescent="0.4">
      <c r="X7149"/>
      <c r="AO7149"/>
    </row>
    <row r="7150" spans="24:41" x14ac:dyDescent="0.4">
      <c r="X7150"/>
      <c r="AO7150"/>
    </row>
    <row r="7151" spans="24:41" x14ac:dyDescent="0.4">
      <c r="X7151"/>
      <c r="AO7151"/>
    </row>
    <row r="7152" spans="24:41" x14ac:dyDescent="0.4">
      <c r="X7152"/>
      <c r="AO7152"/>
    </row>
    <row r="7153" spans="24:41" x14ac:dyDescent="0.4">
      <c r="X7153"/>
      <c r="AO7153"/>
    </row>
    <row r="7154" spans="24:41" x14ac:dyDescent="0.4">
      <c r="X7154"/>
      <c r="AO7154"/>
    </row>
    <row r="7155" spans="24:41" x14ac:dyDescent="0.4">
      <c r="X7155"/>
      <c r="AO7155"/>
    </row>
    <row r="7156" spans="24:41" x14ac:dyDescent="0.4">
      <c r="X7156"/>
      <c r="AO7156"/>
    </row>
    <row r="7157" spans="24:41" x14ac:dyDescent="0.4">
      <c r="X7157"/>
      <c r="AO7157"/>
    </row>
    <row r="7158" spans="24:41" x14ac:dyDescent="0.4">
      <c r="X7158"/>
      <c r="AO7158"/>
    </row>
    <row r="7159" spans="24:41" x14ac:dyDescent="0.4">
      <c r="X7159"/>
      <c r="AO7159"/>
    </row>
    <row r="7160" spans="24:41" x14ac:dyDescent="0.4">
      <c r="X7160"/>
      <c r="AO7160"/>
    </row>
    <row r="7161" spans="24:41" x14ac:dyDescent="0.4">
      <c r="X7161"/>
      <c r="AO7161"/>
    </row>
    <row r="7162" spans="24:41" x14ac:dyDescent="0.4">
      <c r="X7162"/>
      <c r="AO7162"/>
    </row>
    <row r="7163" spans="24:41" x14ac:dyDescent="0.4">
      <c r="X7163"/>
      <c r="AO7163"/>
    </row>
    <row r="7164" spans="24:41" x14ac:dyDescent="0.4">
      <c r="X7164"/>
      <c r="AO7164"/>
    </row>
    <row r="7165" spans="24:41" x14ac:dyDescent="0.4">
      <c r="X7165"/>
      <c r="AO7165"/>
    </row>
    <row r="7166" spans="24:41" x14ac:dyDescent="0.4">
      <c r="X7166"/>
      <c r="AO7166"/>
    </row>
    <row r="7167" spans="24:41" x14ac:dyDescent="0.4">
      <c r="X7167"/>
      <c r="AO7167"/>
    </row>
    <row r="7168" spans="24:41" x14ac:dyDescent="0.4">
      <c r="X7168"/>
      <c r="AO7168"/>
    </row>
    <row r="7169" spans="24:41" x14ac:dyDescent="0.4">
      <c r="X7169"/>
      <c r="AO7169"/>
    </row>
    <row r="7170" spans="24:41" x14ac:dyDescent="0.4">
      <c r="X7170"/>
      <c r="AO7170"/>
    </row>
    <row r="7171" spans="24:41" x14ac:dyDescent="0.4">
      <c r="X7171"/>
      <c r="AO7171"/>
    </row>
    <row r="7172" spans="24:41" x14ac:dyDescent="0.4">
      <c r="X7172"/>
      <c r="AO7172"/>
    </row>
    <row r="7173" spans="24:41" x14ac:dyDescent="0.4">
      <c r="X7173"/>
      <c r="AO7173"/>
    </row>
    <row r="7174" spans="24:41" x14ac:dyDescent="0.4">
      <c r="X7174"/>
      <c r="AO7174"/>
    </row>
    <row r="7175" spans="24:41" x14ac:dyDescent="0.4">
      <c r="X7175"/>
      <c r="AO7175"/>
    </row>
    <row r="7176" spans="24:41" x14ac:dyDescent="0.4">
      <c r="X7176"/>
      <c r="AO7176"/>
    </row>
    <row r="7177" spans="24:41" x14ac:dyDescent="0.4">
      <c r="X7177"/>
      <c r="AO7177"/>
    </row>
    <row r="7178" spans="24:41" x14ac:dyDescent="0.4">
      <c r="X7178"/>
      <c r="AO7178"/>
    </row>
    <row r="7179" spans="24:41" x14ac:dyDescent="0.4">
      <c r="X7179"/>
      <c r="AO7179"/>
    </row>
    <row r="7180" spans="24:41" x14ac:dyDescent="0.4">
      <c r="X7180"/>
      <c r="AO7180"/>
    </row>
    <row r="7181" spans="24:41" x14ac:dyDescent="0.4">
      <c r="X7181"/>
      <c r="AO7181"/>
    </row>
    <row r="7182" spans="24:41" x14ac:dyDescent="0.4">
      <c r="X7182"/>
      <c r="AO7182"/>
    </row>
    <row r="7183" spans="24:41" x14ac:dyDescent="0.4">
      <c r="X7183"/>
      <c r="AO7183"/>
    </row>
    <row r="7184" spans="24:41" x14ac:dyDescent="0.4">
      <c r="X7184"/>
      <c r="AO7184"/>
    </row>
    <row r="7185" spans="24:41" x14ac:dyDescent="0.4">
      <c r="X7185"/>
      <c r="AO7185"/>
    </row>
    <row r="7186" spans="24:41" x14ac:dyDescent="0.4">
      <c r="X7186"/>
      <c r="AO7186"/>
    </row>
    <row r="7187" spans="24:41" x14ac:dyDescent="0.4">
      <c r="X7187"/>
      <c r="AO7187"/>
    </row>
    <row r="7188" spans="24:41" x14ac:dyDescent="0.4">
      <c r="X7188"/>
      <c r="AO7188"/>
    </row>
    <row r="7189" spans="24:41" x14ac:dyDescent="0.4">
      <c r="X7189"/>
      <c r="AO7189"/>
    </row>
    <row r="7190" spans="24:41" x14ac:dyDescent="0.4">
      <c r="X7190"/>
      <c r="AO7190"/>
    </row>
    <row r="7191" spans="24:41" x14ac:dyDescent="0.4">
      <c r="X7191"/>
      <c r="AO7191"/>
    </row>
    <row r="7192" spans="24:41" x14ac:dyDescent="0.4">
      <c r="X7192"/>
      <c r="AO7192"/>
    </row>
    <row r="7193" spans="24:41" x14ac:dyDescent="0.4">
      <c r="X7193"/>
      <c r="AO7193"/>
    </row>
    <row r="7194" spans="24:41" x14ac:dyDescent="0.4">
      <c r="X7194"/>
      <c r="AO7194"/>
    </row>
    <row r="7195" spans="24:41" x14ac:dyDescent="0.4">
      <c r="X7195"/>
      <c r="AO7195"/>
    </row>
    <row r="7196" spans="24:41" x14ac:dyDescent="0.4">
      <c r="X7196"/>
      <c r="AO7196"/>
    </row>
    <row r="7197" spans="24:41" x14ac:dyDescent="0.4">
      <c r="X7197"/>
      <c r="AO7197"/>
    </row>
    <row r="7198" spans="24:41" x14ac:dyDescent="0.4">
      <c r="X7198"/>
      <c r="AO7198"/>
    </row>
    <row r="7199" spans="24:41" x14ac:dyDescent="0.4">
      <c r="X7199"/>
      <c r="AO7199"/>
    </row>
    <row r="7200" spans="24:41" x14ac:dyDescent="0.4">
      <c r="X7200"/>
      <c r="AO7200"/>
    </row>
    <row r="7201" spans="24:41" x14ac:dyDescent="0.4">
      <c r="X7201"/>
      <c r="AO7201"/>
    </row>
    <row r="7202" spans="24:41" x14ac:dyDescent="0.4">
      <c r="X7202"/>
      <c r="AO7202"/>
    </row>
    <row r="7203" spans="24:41" x14ac:dyDescent="0.4">
      <c r="X7203"/>
      <c r="AO7203"/>
    </row>
    <row r="7204" spans="24:41" x14ac:dyDescent="0.4">
      <c r="X7204"/>
      <c r="AO7204"/>
    </row>
    <row r="7205" spans="24:41" x14ac:dyDescent="0.4">
      <c r="X7205"/>
      <c r="AO7205"/>
    </row>
    <row r="7206" spans="24:41" x14ac:dyDescent="0.4">
      <c r="X7206"/>
      <c r="AO7206"/>
    </row>
    <row r="7207" spans="24:41" x14ac:dyDescent="0.4">
      <c r="X7207"/>
      <c r="AO7207"/>
    </row>
    <row r="7208" spans="24:41" x14ac:dyDescent="0.4">
      <c r="X7208"/>
      <c r="AO7208"/>
    </row>
    <row r="7209" spans="24:41" x14ac:dyDescent="0.4">
      <c r="X7209"/>
      <c r="AO7209"/>
    </row>
    <row r="7210" spans="24:41" x14ac:dyDescent="0.4">
      <c r="X7210"/>
      <c r="AO7210"/>
    </row>
    <row r="7211" spans="24:41" x14ac:dyDescent="0.4">
      <c r="X7211"/>
      <c r="AO7211"/>
    </row>
    <row r="7212" spans="24:41" x14ac:dyDescent="0.4">
      <c r="X7212"/>
      <c r="AO7212"/>
    </row>
    <row r="7213" spans="24:41" x14ac:dyDescent="0.4">
      <c r="X7213"/>
      <c r="AO7213"/>
    </row>
    <row r="7214" spans="24:41" x14ac:dyDescent="0.4">
      <c r="X7214"/>
      <c r="AO7214"/>
    </row>
    <row r="7215" spans="24:41" x14ac:dyDescent="0.4">
      <c r="X7215"/>
      <c r="AO7215"/>
    </row>
    <row r="7216" spans="24:41" x14ac:dyDescent="0.4">
      <c r="X7216"/>
      <c r="AO7216"/>
    </row>
    <row r="7217" spans="24:41" x14ac:dyDescent="0.4">
      <c r="X7217"/>
      <c r="AO7217"/>
    </row>
    <row r="7218" spans="24:41" x14ac:dyDescent="0.4">
      <c r="X7218"/>
      <c r="AO7218"/>
    </row>
    <row r="7219" spans="24:41" x14ac:dyDescent="0.4">
      <c r="X7219"/>
      <c r="AO7219"/>
    </row>
    <row r="7220" spans="24:41" x14ac:dyDescent="0.4">
      <c r="X7220"/>
      <c r="AO7220"/>
    </row>
    <row r="7221" spans="24:41" x14ac:dyDescent="0.4">
      <c r="X7221"/>
      <c r="AO7221"/>
    </row>
    <row r="7222" spans="24:41" x14ac:dyDescent="0.4">
      <c r="X7222"/>
      <c r="AO7222"/>
    </row>
    <row r="7223" spans="24:41" x14ac:dyDescent="0.4">
      <c r="X7223"/>
      <c r="AO7223"/>
    </row>
    <row r="7224" spans="24:41" x14ac:dyDescent="0.4">
      <c r="X7224"/>
      <c r="AO7224"/>
    </row>
    <row r="7225" spans="24:41" x14ac:dyDescent="0.4">
      <c r="X7225"/>
      <c r="AO7225"/>
    </row>
    <row r="7226" spans="24:41" x14ac:dyDescent="0.4">
      <c r="X7226"/>
      <c r="AO7226"/>
    </row>
    <row r="7227" spans="24:41" x14ac:dyDescent="0.4">
      <c r="X7227"/>
      <c r="AO7227"/>
    </row>
    <row r="7228" spans="24:41" x14ac:dyDescent="0.4">
      <c r="X7228"/>
      <c r="AO7228"/>
    </row>
    <row r="7229" spans="24:41" x14ac:dyDescent="0.4">
      <c r="X7229"/>
      <c r="AO7229"/>
    </row>
    <row r="7230" spans="24:41" x14ac:dyDescent="0.4">
      <c r="X7230"/>
      <c r="AO7230"/>
    </row>
    <row r="7231" spans="24:41" x14ac:dyDescent="0.4">
      <c r="X7231"/>
      <c r="AO7231"/>
    </row>
    <row r="7232" spans="24:41" x14ac:dyDescent="0.4">
      <c r="X7232"/>
      <c r="AO7232"/>
    </row>
    <row r="7233" spans="24:41" x14ac:dyDescent="0.4">
      <c r="X7233"/>
      <c r="AO7233"/>
    </row>
    <row r="7234" spans="24:41" x14ac:dyDescent="0.4">
      <c r="X7234"/>
      <c r="AO7234"/>
    </row>
    <row r="7235" spans="24:41" x14ac:dyDescent="0.4">
      <c r="X7235"/>
      <c r="AO7235"/>
    </row>
    <row r="7236" spans="24:41" x14ac:dyDescent="0.4">
      <c r="X7236"/>
      <c r="AO7236"/>
    </row>
    <row r="7237" spans="24:41" x14ac:dyDescent="0.4">
      <c r="X7237"/>
      <c r="AO7237"/>
    </row>
    <row r="7238" spans="24:41" x14ac:dyDescent="0.4">
      <c r="X7238"/>
      <c r="AO7238"/>
    </row>
    <row r="7239" spans="24:41" x14ac:dyDescent="0.4">
      <c r="X7239"/>
      <c r="AO7239"/>
    </row>
    <row r="7240" spans="24:41" x14ac:dyDescent="0.4">
      <c r="X7240"/>
      <c r="AO7240"/>
    </row>
    <row r="7241" spans="24:41" x14ac:dyDescent="0.4">
      <c r="X7241"/>
      <c r="AO7241"/>
    </row>
    <row r="7242" spans="24:41" x14ac:dyDescent="0.4">
      <c r="X7242"/>
      <c r="AO7242"/>
    </row>
    <row r="7243" spans="24:41" x14ac:dyDescent="0.4">
      <c r="X7243"/>
      <c r="AO7243"/>
    </row>
    <row r="7244" spans="24:41" x14ac:dyDescent="0.4">
      <c r="X7244"/>
      <c r="AO7244"/>
    </row>
    <row r="7245" spans="24:41" x14ac:dyDescent="0.4">
      <c r="X7245"/>
      <c r="AO7245"/>
    </row>
    <row r="7246" spans="24:41" x14ac:dyDescent="0.4">
      <c r="X7246"/>
      <c r="AO7246"/>
    </row>
    <row r="7247" spans="24:41" x14ac:dyDescent="0.4">
      <c r="X7247"/>
      <c r="AO7247"/>
    </row>
    <row r="7248" spans="24:41" x14ac:dyDescent="0.4">
      <c r="X7248"/>
      <c r="AO7248"/>
    </row>
    <row r="7249" spans="24:41" x14ac:dyDescent="0.4">
      <c r="X7249"/>
      <c r="AO7249"/>
    </row>
    <row r="7250" spans="24:41" x14ac:dyDescent="0.4">
      <c r="X7250"/>
      <c r="AO7250"/>
    </row>
    <row r="7251" spans="24:41" x14ac:dyDescent="0.4">
      <c r="X7251"/>
      <c r="AO7251"/>
    </row>
    <row r="7252" spans="24:41" x14ac:dyDescent="0.4">
      <c r="X7252"/>
      <c r="AO7252"/>
    </row>
    <row r="7253" spans="24:41" x14ac:dyDescent="0.4">
      <c r="X7253"/>
      <c r="AO7253"/>
    </row>
    <row r="7254" spans="24:41" x14ac:dyDescent="0.4">
      <c r="X7254"/>
      <c r="AO7254"/>
    </row>
    <row r="7255" spans="24:41" x14ac:dyDescent="0.4">
      <c r="X7255"/>
      <c r="AO7255"/>
    </row>
    <row r="7256" spans="24:41" x14ac:dyDescent="0.4">
      <c r="X7256"/>
      <c r="AO7256"/>
    </row>
    <row r="7257" spans="24:41" x14ac:dyDescent="0.4">
      <c r="X7257"/>
      <c r="AO7257"/>
    </row>
    <row r="7258" spans="24:41" x14ac:dyDescent="0.4">
      <c r="X7258"/>
      <c r="AO7258"/>
    </row>
    <row r="7259" spans="24:41" x14ac:dyDescent="0.4">
      <c r="X7259"/>
      <c r="AO7259"/>
    </row>
    <row r="7260" spans="24:41" x14ac:dyDescent="0.4">
      <c r="X7260"/>
      <c r="AO7260"/>
    </row>
    <row r="7261" spans="24:41" x14ac:dyDescent="0.4">
      <c r="X7261"/>
      <c r="AO7261"/>
    </row>
    <row r="7262" spans="24:41" x14ac:dyDescent="0.4">
      <c r="X7262"/>
      <c r="AO7262"/>
    </row>
    <row r="7263" spans="24:41" x14ac:dyDescent="0.4">
      <c r="X7263"/>
      <c r="AO7263"/>
    </row>
    <row r="7264" spans="24:41" x14ac:dyDescent="0.4">
      <c r="X7264"/>
      <c r="AO7264"/>
    </row>
    <row r="7265" spans="24:41" x14ac:dyDescent="0.4">
      <c r="X7265"/>
      <c r="AO7265"/>
    </row>
    <row r="7266" spans="24:41" x14ac:dyDescent="0.4">
      <c r="X7266"/>
      <c r="AO7266"/>
    </row>
    <row r="7267" spans="24:41" x14ac:dyDescent="0.4">
      <c r="X7267"/>
      <c r="AO7267"/>
    </row>
    <row r="7268" spans="24:41" x14ac:dyDescent="0.4">
      <c r="X7268"/>
      <c r="AO7268"/>
    </row>
    <row r="7269" spans="24:41" x14ac:dyDescent="0.4">
      <c r="X7269"/>
      <c r="AO7269"/>
    </row>
    <row r="7270" spans="24:41" x14ac:dyDescent="0.4">
      <c r="X7270"/>
      <c r="AO7270"/>
    </row>
    <row r="7271" spans="24:41" x14ac:dyDescent="0.4">
      <c r="X7271"/>
      <c r="AO7271"/>
    </row>
    <row r="7272" spans="24:41" x14ac:dyDescent="0.4">
      <c r="X7272"/>
      <c r="AO7272"/>
    </row>
    <row r="7273" spans="24:41" x14ac:dyDescent="0.4">
      <c r="X7273"/>
      <c r="AO7273"/>
    </row>
    <row r="7274" spans="24:41" x14ac:dyDescent="0.4">
      <c r="X7274"/>
      <c r="AO7274"/>
    </row>
    <row r="7275" spans="24:41" x14ac:dyDescent="0.4">
      <c r="X7275"/>
      <c r="AO7275"/>
    </row>
    <row r="7276" spans="24:41" x14ac:dyDescent="0.4">
      <c r="X7276"/>
      <c r="AO7276"/>
    </row>
    <row r="7277" spans="24:41" x14ac:dyDescent="0.4">
      <c r="X7277"/>
      <c r="AO7277"/>
    </row>
    <row r="7278" spans="24:41" x14ac:dyDescent="0.4">
      <c r="X7278"/>
      <c r="AO7278"/>
    </row>
    <row r="7279" spans="24:41" x14ac:dyDescent="0.4">
      <c r="X7279"/>
      <c r="AO7279"/>
    </row>
    <row r="7280" spans="24:41" x14ac:dyDescent="0.4">
      <c r="X7280"/>
      <c r="AO7280"/>
    </row>
    <row r="7281" spans="24:41" x14ac:dyDescent="0.4">
      <c r="X7281"/>
      <c r="AO7281"/>
    </row>
    <row r="7282" spans="24:41" x14ac:dyDescent="0.4">
      <c r="X7282"/>
      <c r="AO7282"/>
    </row>
    <row r="7283" spans="24:41" x14ac:dyDescent="0.4">
      <c r="X7283"/>
      <c r="AO7283"/>
    </row>
    <row r="7284" spans="24:41" x14ac:dyDescent="0.4">
      <c r="X7284"/>
      <c r="AO7284"/>
    </row>
    <row r="7285" spans="24:41" x14ac:dyDescent="0.4">
      <c r="X7285"/>
      <c r="AO7285"/>
    </row>
    <row r="7286" spans="24:41" x14ac:dyDescent="0.4">
      <c r="X7286"/>
      <c r="AO7286"/>
    </row>
    <row r="7287" spans="24:41" x14ac:dyDescent="0.4">
      <c r="X7287"/>
      <c r="AO7287"/>
    </row>
    <row r="7288" spans="24:41" x14ac:dyDescent="0.4">
      <c r="X7288"/>
      <c r="AO7288"/>
    </row>
    <row r="7289" spans="24:41" x14ac:dyDescent="0.4">
      <c r="X7289"/>
      <c r="AO7289"/>
    </row>
    <row r="7290" spans="24:41" x14ac:dyDescent="0.4">
      <c r="X7290"/>
      <c r="AO7290"/>
    </row>
    <row r="7291" spans="24:41" x14ac:dyDescent="0.4">
      <c r="X7291"/>
      <c r="AO7291"/>
    </row>
    <row r="7292" spans="24:41" x14ac:dyDescent="0.4">
      <c r="X7292"/>
      <c r="AO7292"/>
    </row>
    <row r="7293" spans="24:41" x14ac:dyDescent="0.4">
      <c r="X7293"/>
      <c r="AO7293"/>
    </row>
    <row r="7294" spans="24:41" x14ac:dyDescent="0.4">
      <c r="X7294"/>
      <c r="AO7294"/>
    </row>
    <row r="7295" spans="24:41" x14ac:dyDescent="0.4">
      <c r="X7295"/>
      <c r="AO7295"/>
    </row>
    <row r="7296" spans="24:41" x14ac:dyDescent="0.4">
      <c r="X7296"/>
      <c r="AO7296"/>
    </row>
    <row r="7297" spans="24:41" x14ac:dyDescent="0.4">
      <c r="X7297"/>
      <c r="AO7297"/>
    </row>
    <row r="7298" spans="24:41" x14ac:dyDescent="0.4">
      <c r="X7298"/>
      <c r="AO7298"/>
    </row>
    <row r="7299" spans="24:41" x14ac:dyDescent="0.4">
      <c r="X7299"/>
      <c r="AO7299"/>
    </row>
    <row r="7300" spans="24:41" x14ac:dyDescent="0.4">
      <c r="X7300"/>
      <c r="AO7300"/>
    </row>
    <row r="7301" spans="24:41" x14ac:dyDescent="0.4">
      <c r="X7301"/>
      <c r="AO7301"/>
    </row>
    <row r="7302" spans="24:41" x14ac:dyDescent="0.4">
      <c r="X7302"/>
      <c r="AO7302"/>
    </row>
    <row r="7303" spans="24:41" x14ac:dyDescent="0.4">
      <c r="X7303"/>
      <c r="AO7303"/>
    </row>
    <row r="7304" spans="24:41" x14ac:dyDescent="0.4">
      <c r="X7304"/>
      <c r="AO7304"/>
    </row>
    <row r="7305" spans="24:41" x14ac:dyDescent="0.4">
      <c r="X7305"/>
      <c r="AO7305"/>
    </row>
    <row r="7306" spans="24:41" x14ac:dyDescent="0.4">
      <c r="X7306"/>
      <c r="AO7306"/>
    </row>
    <row r="7307" spans="24:41" x14ac:dyDescent="0.4">
      <c r="X7307"/>
      <c r="AO7307"/>
    </row>
    <row r="7308" spans="24:41" x14ac:dyDescent="0.4">
      <c r="X7308"/>
      <c r="AO7308"/>
    </row>
    <row r="7309" spans="24:41" x14ac:dyDescent="0.4">
      <c r="X7309"/>
      <c r="AO7309"/>
    </row>
    <row r="7310" spans="24:41" x14ac:dyDescent="0.4">
      <c r="X7310"/>
      <c r="AO7310"/>
    </row>
    <row r="7311" spans="24:41" x14ac:dyDescent="0.4">
      <c r="X7311"/>
      <c r="AO7311"/>
    </row>
    <row r="7312" spans="24:41" x14ac:dyDescent="0.4">
      <c r="X7312"/>
      <c r="AO7312"/>
    </row>
    <row r="7313" spans="24:41" x14ac:dyDescent="0.4">
      <c r="X7313"/>
      <c r="AO7313"/>
    </row>
    <row r="7314" spans="24:41" x14ac:dyDescent="0.4">
      <c r="X7314"/>
      <c r="AO7314"/>
    </row>
    <row r="7315" spans="24:41" x14ac:dyDescent="0.4">
      <c r="X7315"/>
      <c r="AO7315"/>
    </row>
    <row r="7316" spans="24:41" x14ac:dyDescent="0.4">
      <c r="X7316"/>
      <c r="AO7316"/>
    </row>
    <row r="7317" spans="24:41" x14ac:dyDescent="0.4">
      <c r="X7317"/>
      <c r="AO7317"/>
    </row>
    <row r="7318" spans="24:41" x14ac:dyDescent="0.4">
      <c r="X7318"/>
      <c r="AO7318"/>
    </row>
    <row r="7319" spans="24:41" x14ac:dyDescent="0.4">
      <c r="X7319"/>
      <c r="AO7319"/>
    </row>
    <row r="7320" spans="24:41" x14ac:dyDescent="0.4">
      <c r="X7320"/>
      <c r="AO7320"/>
    </row>
    <row r="7321" spans="24:41" x14ac:dyDescent="0.4">
      <c r="X7321"/>
      <c r="AO7321"/>
    </row>
    <row r="7322" spans="24:41" x14ac:dyDescent="0.4">
      <c r="X7322"/>
      <c r="AO7322"/>
    </row>
    <row r="7323" spans="24:41" x14ac:dyDescent="0.4">
      <c r="X7323"/>
      <c r="AO7323"/>
    </row>
    <row r="7324" spans="24:41" x14ac:dyDescent="0.4">
      <c r="X7324"/>
      <c r="AO7324"/>
    </row>
    <row r="7325" spans="24:41" x14ac:dyDescent="0.4">
      <c r="X7325"/>
      <c r="AO7325"/>
    </row>
    <row r="7326" spans="24:41" x14ac:dyDescent="0.4">
      <c r="X7326"/>
      <c r="AO7326"/>
    </row>
    <row r="7327" spans="24:41" x14ac:dyDescent="0.4">
      <c r="X7327"/>
      <c r="AO7327"/>
    </row>
    <row r="7328" spans="24:41" x14ac:dyDescent="0.4">
      <c r="X7328"/>
      <c r="AO7328"/>
    </row>
    <row r="7329" spans="24:41" x14ac:dyDescent="0.4">
      <c r="X7329"/>
      <c r="AO7329"/>
    </row>
    <row r="7330" spans="24:41" x14ac:dyDescent="0.4">
      <c r="X7330"/>
      <c r="AO7330"/>
    </row>
    <row r="7331" spans="24:41" x14ac:dyDescent="0.4">
      <c r="X7331"/>
      <c r="AO7331"/>
    </row>
    <row r="7332" spans="24:41" x14ac:dyDescent="0.4">
      <c r="X7332"/>
      <c r="AO7332"/>
    </row>
    <row r="7333" spans="24:41" x14ac:dyDescent="0.4">
      <c r="X7333"/>
      <c r="AO7333"/>
    </row>
    <row r="7334" spans="24:41" x14ac:dyDescent="0.4">
      <c r="X7334"/>
      <c r="AO7334"/>
    </row>
    <row r="7335" spans="24:41" x14ac:dyDescent="0.4">
      <c r="X7335"/>
      <c r="AO7335"/>
    </row>
    <row r="7336" spans="24:41" x14ac:dyDescent="0.4">
      <c r="X7336"/>
      <c r="AO7336"/>
    </row>
    <row r="7337" spans="24:41" x14ac:dyDescent="0.4">
      <c r="X7337"/>
      <c r="AO7337"/>
    </row>
    <row r="7338" spans="24:41" x14ac:dyDescent="0.4">
      <c r="X7338"/>
      <c r="AO7338"/>
    </row>
    <row r="7339" spans="24:41" x14ac:dyDescent="0.4">
      <c r="X7339"/>
      <c r="AO7339"/>
    </row>
    <row r="7340" spans="24:41" x14ac:dyDescent="0.4">
      <c r="X7340"/>
      <c r="AO7340"/>
    </row>
    <row r="7341" spans="24:41" x14ac:dyDescent="0.4">
      <c r="X7341"/>
      <c r="AO7341"/>
    </row>
    <row r="7342" spans="24:41" x14ac:dyDescent="0.4">
      <c r="X7342"/>
      <c r="AO7342"/>
    </row>
    <row r="7343" spans="24:41" x14ac:dyDescent="0.4">
      <c r="X7343"/>
      <c r="AO7343"/>
    </row>
    <row r="7344" spans="24:41" x14ac:dyDescent="0.4">
      <c r="X7344"/>
      <c r="AO7344"/>
    </row>
    <row r="7345" spans="24:41" x14ac:dyDescent="0.4">
      <c r="X7345"/>
      <c r="AO7345"/>
    </row>
    <row r="7346" spans="24:41" x14ac:dyDescent="0.4">
      <c r="X7346"/>
      <c r="AO7346"/>
    </row>
    <row r="7347" spans="24:41" x14ac:dyDescent="0.4">
      <c r="X7347"/>
      <c r="AO7347"/>
    </row>
    <row r="7348" spans="24:41" x14ac:dyDescent="0.4">
      <c r="X7348"/>
      <c r="AO7348"/>
    </row>
    <row r="7349" spans="24:41" x14ac:dyDescent="0.4">
      <c r="X7349"/>
      <c r="AO7349"/>
    </row>
    <row r="7350" spans="24:41" x14ac:dyDescent="0.4">
      <c r="X7350"/>
      <c r="AO7350"/>
    </row>
    <row r="7351" spans="24:41" x14ac:dyDescent="0.4">
      <c r="X7351"/>
      <c r="AO7351"/>
    </row>
    <row r="7352" spans="24:41" x14ac:dyDescent="0.4">
      <c r="X7352"/>
      <c r="AO7352"/>
    </row>
    <row r="7353" spans="24:41" x14ac:dyDescent="0.4">
      <c r="X7353"/>
      <c r="AO7353"/>
    </row>
    <row r="7354" spans="24:41" x14ac:dyDescent="0.4">
      <c r="X7354"/>
      <c r="AO7354"/>
    </row>
    <row r="7355" spans="24:41" x14ac:dyDescent="0.4">
      <c r="X7355"/>
      <c r="AO7355"/>
    </row>
    <row r="7356" spans="24:41" x14ac:dyDescent="0.4">
      <c r="X7356"/>
      <c r="AO7356"/>
    </row>
    <row r="7357" spans="24:41" x14ac:dyDescent="0.4">
      <c r="X7357"/>
      <c r="AO7357"/>
    </row>
    <row r="7358" spans="24:41" x14ac:dyDescent="0.4">
      <c r="X7358"/>
      <c r="AO7358"/>
    </row>
    <row r="7359" spans="24:41" x14ac:dyDescent="0.4">
      <c r="X7359"/>
      <c r="AO7359"/>
    </row>
    <row r="7360" spans="24:41" x14ac:dyDescent="0.4">
      <c r="X7360"/>
      <c r="AO7360"/>
    </row>
    <row r="7361" spans="24:41" x14ac:dyDescent="0.4">
      <c r="X7361"/>
      <c r="AO7361"/>
    </row>
    <row r="7362" spans="24:41" x14ac:dyDescent="0.4">
      <c r="X7362"/>
      <c r="AO7362"/>
    </row>
    <row r="7363" spans="24:41" x14ac:dyDescent="0.4">
      <c r="X7363"/>
      <c r="AO7363"/>
    </row>
    <row r="7364" spans="24:41" x14ac:dyDescent="0.4">
      <c r="X7364"/>
      <c r="AO7364"/>
    </row>
    <row r="7365" spans="24:41" x14ac:dyDescent="0.4">
      <c r="X7365"/>
      <c r="AO7365"/>
    </row>
    <row r="7366" spans="24:41" x14ac:dyDescent="0.4">
      <c r="X7366"/>
      <c r="AO7366"/>
    </row>
    <row r="7367" spans="24:41" x14ac:dyDescent="0.4">
      <c r="X7367"/>
      <c r="AO7367"/>
    </row>
    <row r="7368" spans="24:41" x14ac:dyDescent="0.4">
      <c r="X7368"/>
      <c r="AO7368"/>
    </row>
    <row r="7369" spans="24:41" x14ac:dyDescent="0.4">
      <c r="X7369"/>
      <c r="AO7369"/>
    </row>
    <row r="7370" spans="24:41" x14ac:dyDescent="0.4">
      <c r="X7370"/>
      <c r="AO7370"/>
    </row>
    <row r="7371" spans="24:41" x14ac:dyDescent="0.4">
      <c r="X7371"/>
      <c r="AO7371"/>
    </row>
    <row r="7372" spans="24:41" x14ac:dyDescent="0.4">
      <c r="X7372"/>
      <c r="AO7372"/>
    </row>
    <row r="7373" spans="24:41" x14ac:dyDescent="0.4">
      <c r="X7373"/>
      <c r="AO7373"/>
    </row>
    <row r="7374" spans="24:41" x14ac:dyDescent="0.4">
      <c r="X7374"/>
      <c r="AO7374"/>
    </row>
    <row r="7375" spans="24:41" x14ac:dyDescent="0.4">
      <c r="X7375"/>
      <c r="AO7375"/>
    </row>
    <row r="7376" spans="24:41" x14ac:dyDescent="0.4">
      <c r="X7376"/>
      <c r="AO7376"/>
    </row>
    <row r="7377" spans="24:41" x14ac:dyDescent="0.4">
      <c r="X7377"/>
      <c r="AO7377"/>
    </row>
    <row r="7378" spans="24:41" x14ac:dyDescent="0.4">
      <c r="X7378"/>
      <c r="AO7378"/>
    </row>
    <row r="7379" spans="24:41" x14ac:dyDescent="0.4">
      <c r="X7379"/>
      <c r="AO7379"/>
    </row>
    <row r="7380" spans="24:41" x14ac:dyDescent="0.4">
      <c r="X7380"/>
      <c r="AO7380"/>
    </row>
    <row r="7381" spans="24:41" x14ac:dyDescent="0.4">
      <c r="X7381"/>
      <c r="AO7381"/>
    </row>
    <row r="7382" spans="24:41" x14ac:dyDescent="0.4">
      <c r="X7382"/>
      <c r="AO7382"/>
    </row>
    <row r="7383" spans="24:41" x14ac:dyDescent="0.4">
      <c r="X7383"/>
      <c r="AO7383"/>
    </row>
    <row r="7384" spans="24:41" x14ac:dyDescent="0.4">
      <c r="X7384"/>
      <c r="AO7384"/>
    </row>
    <row r="7385" spans="24:41" x14ac:dyDescent="0.4">
      <c r="X7385"/>
      <c r="AO7385"/>
    </row>
    <row r="7386" spans="24:41" x14ac:dyDescent="0.4">
      <c r="X7386"/>
      <c r="AO7386"/>
    </row>
    <row r="7387" spans="24:41" x14ac:dyDescent="0.4">
      <c r="X7387"/>
      <c r="AO7387"/>
    </row>
    <row r="7388" spans="24:41" x14ac:dyDescent="0.4">
      <c r="X7388"/>
      <c r="AO7388"/>
    </row>
    <row r="7389" spans="24:41" x14ac:dyDescent="0.4">
      <c r="X7389"/>
      <c r="AO7389"/>
    </row>
    <row r="7390" spans="24:41" x14ac:dyDescent="0.4">
      <c r="X7390"/>
      <c r="AO7390"/>
    </row>
    <row r="7391" spans="24:41" x14ac:dyDescent="0.4">
      <c r="X7391"/>
      <c r="AO7391"/>
    </row>
    <row r="7392" spans="24:41" x14ac:dyDescent="0.4">
      <c r="X7392"/>
      <c r="AO7392"/>
    </row>
    <row r="7393" spans="24:41" x14ac:dyDescent="0.4">
      <c r="X7393"/>
      <c r="AO7393"/>
    </row>
    <row r="7394" spans="24:41" x14ac:dyDescent="0.4">
      <c r="X7394"/>
      <c r="AO7394"/>
    </row>
    <row r="7395" spans="24:41" x14ac:dyDescent="0.4">
      <c r="X7395"/>
      <c r="AO7395"/>
    </row>
    <row r="7396" spans="24:41" x14ac:dyDescent="0.4">
      <c r="X7396"/>
      <c r="AO7396"/>
    </row>
    <row r="7397" spans="24:41" x14ac:dyDescent="0.4">
      <c r="X7397"/>
      <c r="AO7397"/>
    </row>
    <row r="7398" spans="24:41" x14ac:dyDescent="0.4">
      <c r="X7398"/>
      <c r="AO7398"/>
    </row>
    <row r="7399" spans="24:41" x14ac:dyDescent="0.4">
      <c r="X7399"/>
      <c r="AO7399"/>
    </row>
    <row r="7400" spans="24:41" x14ac:dyDescent="0.4">
      <c r="X7400"/>
      <c r="AO7400"/>
    </row>
    <row r="7401" spans="24:41" x14ac:dyDescent="0.4">
      <c r="X7401"/>
      <c r="AO7401"/>
    </row>
    <row r="7402" spans="24:41" x14ac:dyDescent="0.4">
      <c r="X7402"/>
      <c r="AO7402"/>
    </row>
    <row r="7403" spans="24:41" x14ac:dyDescent="0.4">
      <c r="X7403"/>
      <c r="AO7403"/>
    </row>
    <row r="7404" spans="24:41" x14ac:dyDescent="0.4">
      <c r="X7404"/>
      <c r="AO7404"/>
    </row>
    <row r="7405" spans="24:41" x14ac:dyDescent="0.4">
      <c r="X7405"/>
      <c r="AO7405"/>
    </row>
    <row r="7406" spans="24:41" x14ac:dyDescent="0.4">
      <c r="X7406"/>
      <c r="AO7406"/>
    </row>
    <row r="7407" spans="24:41" x14ac:dyDescent="0.4">
      <c r="X7407"/>
      <c r="AO7407"/>
    </row>
    <row r="7408" spans="24:41" x14ac:dyDescent="0.4">
      <c r="X7408"/>
      <c r="AO7408"/>
    </row>
    <row r="7409" spans="24:41" x14ac:dyDescent="0.4">
      <c r="X7409"/>
      <c r="AO7409"/>
    </row>
    <row r="7410" spans="24:41" x14ac:dyDescent="0.4">
      <c r="X7410"/>
      <c r="AO7410"/>
    </row>
    <row r="7411" spans="24:41" x14ac:dyDescent="0.4">
      <c r="X7411"/>
      <c r="AO7411"/>
    </row>
    <row r="7412" spans="24:41" x14ac:dyDescent="0.4">
      <c r="X7412"/>
      <c r="AO7412"/>
    </row>
    <row r="7413" spans="24:41" x14ac:dyDescent="0.4">
      <c r="X7413"/>
      <c r="AO7413"/>
    </row>
    <row r="7414" spans="24:41" x14ac:dyDescent="0.4">
      <c r="X7414"/>
      <c r="AO7414"/>
    </row>
    <row r="7415" spans="24:41" x14ac:dyDescent="0.4">
      <c r="X7415"/>
      <c r="AO7415"/>
    </row>
    <row r="7416" spans="24:41" x14ac:dyDescent="0.4">
      <c r="X7416"/>
      <c r="AO7416"/>
    </row>
    <row r="7417" spans="24:41" x14ac:dyDescent="0.4">
      <c r="X7417"/>
      <c r="AO7417"/>
    </row>
    <row r="7418" spans="24:41" x14ac:dyDescent="0.4">
      <c r="X7418"/>
      <c r="AO7418"/>
    </row>
    <row r="7419" spans="24:41" x14ac:dyDescent="0.4">
      <c r="X7419"/>
      <c r="AO7419"/>
    </row>
    <row r="7420" spans="24:41" x14ac:dyDescent="0.4">
      <c r="X7420"/>
      <c r="AO7420"/>
    </row>
    <row r="7421" spans="24:41" x14ac:dyDescent="0.4">
      <c r="X7421"/>
      <c r="AO7421"/>
    </row>
    <row r="7422" spans="24:41" x14ac:dyDescent="0.4">
      <c r="X7422"/>
      <c r="AO7422"/>
    </row>
    <row r="7423" spans="24:41" x14ac:dyDescent="0.4">
      <c r="X7423"/>
      <c r="AO7423"/>
    </row>
    <row r="7424" spans="24:41" x14ac:dyDescent="0.4">
      <c r="X7424"/>
      <c r="AO7424"/>
    </row>
    <row r="7425" spans="24:41" x14ac:dyDescent="0.4">
      <c r="X7425"/>
      <c r="AO7425"/>
    </row>
    <row r="7426" spans="24:41" x14ac:dyDescent="0.4">
      <c r="X7426"/>
      <c r="AO7426"/>
    </row>
    <row r="7427" spans="24:41" x14ac:dyDescent="0.4">
      <c r="X7427"/>
      <c r="AO7427"/>
    </row>
    <row r="7428" spans="24:41" x14ac:dyDescent="0.4">
      <c r="X7428"/>
      <c r="AO7428"/>
    </row>
    <row r="7429" spans="24:41" x14ac:dyDescent="0.4">
      <c r="X7429"/>
      <c r="AO7429"/>
    </row>
    <row r="7430" spans="24:41" x14ac:dyDescent="0.4">
      <c r="X7430"/>
      <c r="AO7430"/>
    </row>
    <row r="7431" spans="24:41" x14ac:dyDescent="0.4">
      <c r="X7431"/>
      <c r="AO7431"/>
    </row>
    <row r="7432" spans="24:41" x14ac:dyDescent="0.4">
      <c r="X7432"/>
      <c r="AO7432"/>
    </row>
    <row r="7433" spans="24:41" x14ac:dyDescent="0.4">
      <c r="X7433"/>
      <c r="AO7433"/>
    </row>
    <row r="7434" spans="24:41" x14ac:dyDescent="0.4">
      <c r="X7434"/>
      <c r="AO7434"/>
    </row>
    <row r="7435" spans="24:41" x14ac:dyDescent="0.4">
      <c r="X7435"/>
      <c r="AO7435"/>
    </row>
    <row r="7436" spans="24:41" x14ac:dyDescent="0.4">
      <c r="X7436"/>
      <c r="AO7436"/>
    </row>
    <row r="7437" spans="24:41" x14ac:dyDescent="0.4">
      <c r="X7437"/>
      <c r="AO7437"/>
    </row>
    <row r="7438" spans="24:41" x14ac:dyDescent="0.4">
      <c r="X7438"/>
      <c r="AO7438"/>
    </row>
    <row r="7439" spans="24:41" x14ac:dyDescent="0.4">
      <c r="X7439"/>
      <c r="AO7439"/>
    </row>
    <row r="7440" spans="24:41" x14ac:dyDescent="0.4">
      <c r="X7440"/>
      <c r="AO7440"/>
    </row>
    <row r="7441" spans="24:41" x14ac:dyDescent="0.4">
      <c r="X7441"/>
      <c r="AO7441"/>
    </row>
    <row r="7442" spans="24:41" x14ac:dyDescent="0.4">
      <c r="X7442"/>
      <c r="AO7442"/>
    </row>
    <row r="7443" spans="24:41" x14ac:dyDescent="0.4">
      <c r="X7443"/>
      <c r="AO7443"/>
    </row>
    <row r="7444" spans="24:41" x14ac:dyDescent="0.4">
      <c r="X7444"/>
      <c r="AO7444"/>
    </row>
    <row r="7445" spans="24:41" x14ac:dyDescent="0.4">
      <c r="X7445"/>
      <c r="AO7445"/>
    </row>
    <row r="7446" spans="24:41" x14ac:dyDescent="0.4">
      <c r="X7446"/>
      <c r="AO7446"/>
    </row>
    <row r="7447" spans="24:41" x14ac:dyDescent="0.4">
      <c r="X7447"/>
      <c r="AO7447"/>
    </row>
    <row r="7448" spans="24:41" x14ac:dyDescent="0.4">
      <c r="X7448"/>
      <c r="AO7448"/>
    </row>
    <row r="7449" spans="24:41" x14ac:dyDescent="0.4">
      <c r="X7449"/>
      <c r="AO7449"/>
    </row>
    <row r="7450" spans="24:41" x14ac:dyDescent="0.4">
      <c r="X7450"/>
      <c r="AO7450"/>
    </row>
    <row r="7451" spans="24:41" x14ac:dyDescent="0.4">
      <c r="X7451"/>
      <c r="AO7451"/>
    </row>
    <row r="7452" spans="24:41" x14ac:dyDescent="0.4">
      <c r="X7452"/>
      <c r="AO7452"/>
    </row>
    <row r="7453" spans="24:41" x14ac:dyDescent="0.4">
      <c r="X7453"/>
      <c r="AO7453"/>
    </row>
    <row r="7454" spans="24:41" x14ac:dyDescent="0.4">
      <c r="X7454"/>
      <c r="AO7454"/>
    </row>
    <row r="7455" spans="24:41" x14ac:dyDescent="0.4">
      <c r="X7455"/>
      <c r="AO7455"/>
    </row>
    <row r="7456" spans="24:41" x14ac:dyDescent="0.4">
      <c r="X7456"/>
      <c r="AO7456"/>
    </row>
    <row r="7457" spans="24:41" x14ac:dyDescent="0.4">
      <c r="X7457"/>
      <c r="AO7457"/>
    </row>
    <row r="7458" spans="24:41" x14ac:dyDescent="0.4">
      <c r="X7458"/>
      <c r="AO7458"/>
    </row>
    <row r="7459" spans="24:41" x14ac:dyDescent="0.4">
      <c r="X7459"/>
      <c r="AO7459"/>
    </row>
    <row r="7460" spans="24:41" x14ac:dyDescent="0.4">
      <c r="X7460"/>
      <c r="AO7460"/>
    </row>
    <row r="7461" spans="24:41" x14ac:dyDescent="0.4">
      <c r="X7461"/>
      <c r="AO7461"/>
    </row>
    <row r="7462" spans="24:41" x14ac:dyDescent="0.4">
      <c r="X7462"/>
      <c r="AO7462"/>
    </row>
    <row r="7463" spans="24:41" x14ac:dyDescent="0.4">
      <c r="X7463"/>
      <c r="AO7463"/>
    </row>
    <row r="7464" spans="24:41" x14ac:dyDescent="0.4">
      <c r="X7464"/>
      <c r="AO7464"/>
    </row>
    <row r="7465" spans="24:41" x14ac:dyDescent="0.4">
      <c r="X7465"/>
      <c r="AO7465"/>
    </row>
    <row r="7466" spans="24:41" x14ac:dyDescent="0.4">
      <c r="X7466"/>
      <c r="AO7466"/>
    </row>
    <row r="7467" spans="24:41" x14ac:dyDescent="0.4">
      <c r="X7467"/>
      <c r="AO7467"/>
    </row>
    <row r="7468" spans="24:41" x14ac:dyDescent="0.4">
      <c r="X7468"/>
      <c r="AO7468"/>
    </row>
    <row r="7469" spans="24:41" x14ac:dyDescent="0.4">
      <c r="X7469"/>
      <c r="AO7469"/>
    </row>
    <row r="7470" spans="24:41" x14ac:dyDescent="0.4">
      <c r="X7470"/>
      <c r="AO7470"/>
    </row>
    <row r="7471" spans="24:41" x14ac:dyDescent="0.4">
      <c r="X7471"/>
      <c r="AO7471"/>
    </row>
    <row r="7472" spans="24:41" x14ac:dyDescent="0.4">
      <c r="X7472"/>
      <c r="AO7472"/>
    </row>
    <row r="7473" spans="24:41" x14ac:dyDescent="0.4">
      <c r="X7473"/>
      <c r="AO7473"/>
    </row>
    <row r="7474" spans="24:41" x14ac:dyDescent="0.4">
      <c r="X7474"/>
      <c r="AO7474"/>
    </row>
    <row r="7475" spans="24:41" x14ac:dyDescent="0.4">
      <c r="X7475"/>
      <c r="AO7475"/>
    </row>
    <row r="7476" spans="24:41" x14ac:dyDescent="0.4">
      <c r="X7476"/>
      <c r="AO7476"/>
    </row>
    <row r="7477" spans="24:41" x14ac:dyDescent="0.4">
      <c r="X7477"/>
      <c r="AO7477"/>
    </row>
    <row r="7478" spans="24:41" x14ac:dyDescent="0.4">
      <c r="X7478"/>
      <c r="AO7478"/>
    </row>
    <row r="7479" spans="24:41" x14ac:dyDescent="0.4">
      <c r="X7479"/>
      <c r="AO7479"/>
    </row>
    <row r="7480" spans="24:41" x14ac:dyDescent="0.4">
      <c r="X7480"/>
      <c r="AO7480"/>
    </row>
    <row r="7481" spans="24:41" x14ac:dyDescent="0.4">
      <c r="X7481"/>
      <c r="AO7481"/>
    </row>
    <row r="7482" spans="24:41" x14ac:dyDescent="0.4">
      <c r="X7482"/>
      <c r="AO7482"/>
    </row>
    <row r="7483" spans="24:41" x14ac:dyDescent="0.4">
      <c r="X7483"/>
      <c r="AO7483"/>
    </row>
    <row r="7484" spans="24:41" x14ac:dyDescent="0.4">
      <c r="X7484"/>
      <c r="AO7484"/>
    </row>
    <row r="7485" spans="24:41" x14ac:dyDescent="0.4">
      <c r="X7485"/>
      <c r="AO7485"/>
    </row>
    <row r="7486" spans="24:41" x14ac:dyDescent="0.4">
      <c r="X7486"/>
      <c r="AO7486"/>
    </row>
    <row r="7487" spans="24:41" x14ac:dyDescent="0.4">
      <c r="X7487"/>
      <c r="AO7487"/>
    </row>
    <row r="7488" spans="24:41" x14ac:dyDescent="0.4">
      <c r="X7488"/>
      <c r="AO7488"/>
    </row>
    <row r="7489" spans="24:41" x14ac:dyDescent="0.4">
      <c r="X7489"/>
      <c r="AO7489"/>
    </row>
    <row r="7490" spans="24:41" x14ac:dyDescent="0.4">
      <c r="X7490"/>
      <c r="AO7490"/>
    </row>
    <row r="7491" spans="24:41" x14ac:dyDescent="0.4">
      <c r="X7491"/>
      <c r="AO7491"/>
    </row>
    <row r="7492" spans="24:41" x14ac:dyDescent="0.4">
      <c r="X7492"/>
      <c r="AO7492"/>
    </row>
    <row r="7493" spans="24:41" x14ac:dyDescent="0.4">
      <c r="X7493"/>
      <c r="AO7493"/>
    </row>
    <row r="7494" spans="24:41" x14ac:dyDescent="0.4">
      <c r="X7494"/>
      <c r="AO7494"/>
    </row>
    <row r="7495" spans="24:41" x14ac:dyDescent="0.4">
      <c r="X7495"/>
      <c r="AO7495"/>
    </row>
    <row r="7496" spans="24:41" x14ac:dyDescent="0.4">
      <c r="X7496"/>
      <c r="AO7496"/>
    </row>
    <row r="7497" spans="24:41" x14ac:dyDescent="0.4">
      <c r="X7497"/>
      <c r="AO7497"/>
    </row>
    <row r="7498" spans="24:41" x14ac:dyDescent="0.4">
      <c r="X7498"/>
      <c r="AO7498"/>
    </row>
    <row r="7499" spans="24:41" x14ac:dyDescent="0.4">
      <c r="X7499"/>
      <c r="AO7499"/>
    </row>
    <row r="7500" spans="24:41" x14ac:dyDescent="0.4">
      <c r="X7500"/>
      <c r="AO7500"/>
    </row>
    <row r="7501" spans="24:41" x14ac:dyDescent="0.4">
      <c r="X7501"/>
      <c r="AO7501"/>
    </row>
    <row r="7502" spans="24:41" x14ac:dyDescent="0.4">
      <c r="X7502"/>
      <c r="AO7502"/>
    </row>
    <row r="7503" spans="24:41" x14ac:dyDescent="0.4">
      <c r="X7503"/>
      <c r="AO7503"/>
    </row>
    <row r="7504" spans="24:41" x14ac:dyDescent="0.4">
      <c r="X7504"/>
      <c r="AO7504"/>
    </row>
    <row r="7505" spans="24:41" x14ac:dyDescent="0.4">
      <c r="X7505"/>
      <c r="AO7505"/>
    </row>
    <row r="7506" spans="24:41" x14ac:dyDescent="0.4">
      <c r="X7506"/>
      <c r="AO7506"/>
    </row>
    <row r="7507" spans="24:41" x14ac:dyDescent="0.4">
      <c r="X7507"/>
      <c r="AO7507"/>
    </row>
    <row r="7508" spans="24:41" x14ac:dyDescent="0.4">
      <c r="X7508"/>
      <c r="AO7508"/>
    </row>
    <row r="7509" spans="24:41" x14ac:dyDescent="0.4">
      <c r="X7509"/>
      <c r="AO7509"/>
    </row>
    <row r="7510" spans="24:41" x14ac:dyDescent="0.4">
      <c r="X7510"/>
      <c r="AO7510"/>
    </row>
    <row r="7511" spans="24:41" x14ac:dyDescent="0.4">
      <c r="X7511"/>
      <c r="AO7511"/>
    </row>
    <row r="7512" spans="24:41" x14ac:dyDescent="0.4">
      <c r="X7512"/>
      <c r="AO7512"/>
    </row>
    <row r="7513" spans="24:41" x14ac:dyDescent="0.4">
      <c r="X7513"/>
      <c r="AO7513"/>
    </row>
    <row r="7514" spans="24:41" x14ac:dyDescent="0.4">
      <c r="X7514"/>
      <c r="AO7514"/>
    </row>
    <row r="7515" spans="24:41" x14ac:dyDescent="0.4">
      <c r="X7515"/>
      <c r="AO7515"/>
    </row>
    <row r="7516" spans="24:41" x14ac:dyDescent="0.4">
      <c r="X7516"/>
      <c r="AO7516"/>
    </row>
    <row r="7517" spans="24:41" x14ac:dyDescent="0.4">
      <c r="X7517"/>
      <c r="AO7517"/>
    </row>
    <row r="7518" spans="24:41" x14ac:dyDescent="0.4">
      <c r="X7518"/>
      <c r="AO7518"/>
    </row>
    <row r="7519" spans="24:41" x14ac:dyDescent="0.4">
      <c r="X7519"/>
      <c r="AO7519"/>
    </row>
    <row r="7520" spans="24:41" x14ac:dyDescent="0.4">
      <c r="X7520"/>
      <c r="AO7520"/>
    </row>
    <row r="7521" spans="24:41" x14ac:dyDescent="0.4">
      <c r="X7521"/>
      <c r="AO7521"/>
    </row>
    <row r="7522" spans="24:41" x14ac:dyDescent="0.4">
      <c r="X7522"/>
      <c r="AO7522"/>
    </row>
    <row r="7523" spans="24:41" x14ac:dyDescent="0.4">
      <c r="X7523"/>
      <c r="AO7523"/>
    </row>
    <row r="7524" spans="24:41" x14ac:dyDescent="0.4">
      <c r="X7524"/>
      <c r="AO7524"/>
    </row>
    <row r="7525" spans="24:41" x14ac:dyDescent="0.4">
      <c r="X7525"/>
      <c r="AO7525"/>
    </row>
    <row r="7526" spans="24:41" x14ac:dyDescent="0.4">
      <c r="X7526"/>
      <c r="AO7526"/>
    </row>
    <row r="7527" spans="24:41" x14ac:dyDescent="0.4">
      <c r="X7527"/>
      <c r="AO7527"/>
    </row>
    <row r="7528" spans="24:41" x14ac:dyDescent="0.4">
      <c r="X7528"/>
      <c r="AO7528"/>
    </row>
    <row r="7529" spans="24:41" x14ac:dyDescent="0.4">
      <c r="X7529"/>
      <c r="AO7529"/>
    </row>
    <row r="7530" spans="24:41" x14ac:dyDescent="0.4">
      <c r="X7530"/>
      <c r="AO7530"/>
    </row>
    <row r="7531" spans="24:41" x14ac:dyDescent="0.4">
      <c r="X7531"/>
      <c r="AO7531"/>
    </row>
    <row r="7532" spans="24:41" x14ac:dyDescent="0.4">
      <c r="X7532"/>
      <c r="AO7532"/>
    </row>
    <row r="7533" spans="24:41" x14ac:dyDescent="0.4">
      <c r="X7533"/>
      <c r="AO7533"/>
    </row>
    <row r="7534" spans="24:41" x14ac:dyDescent="0.4">
      <c r="X7534"/>
      <c r="AO7534"/>
    </row>
    <row r="7535" spans="24:41" x14ac:dyDescent="0.4">
      <c r="X7535"/>
      <c r="AO7535"/>
    </row>
    <row r="7536" spans="24:41" x14ac:dyDescent="0.4">
      <c r="X7536"/>
      <c r="AO7536"/>
    </row>
    <row r="7537" spans="24:41" x14ac:dyDescent="0.4">
      <c r="X7537"/>
      <c r="AO7537"/>
    </row>
    <row r="7538" spans="24:41" x14ac:dyDescent="0.4">
      <c r="X7538"/>
      <c r="AO7538"/>
    </row>
    <row r="7539" spans="24:41" x14ac:dyDescent="0.4">
      <c r="X7539"/>
      <c r="AO7539"/>
    </row>
    <row r="7540" spans="24:41" x14ac:dyDescent="0.4">
      <c r="X7540"/>
      <c r="AO7540"/>
    </row>
    <row r="7541" spans="24:41" x14ac:dyDescent="0.4">
      <c r="X7541"/>
      <c r="AO7541"/>
    </row>
    <row r="7542" spans="24:41" x14ac:dyDescent="0.4">
      <c r="X7542"/>
      <c r="AO7542"/>
    </row>
    <row r="7543" spans="24:41" x14ac:dyDescent="0.4">
      <c r="X7543"/>
      <c r="AO7543"/>
    </row>
    <row r="7544" spans="24:41" x14ac:dyDescent="0.4">
      <c r="X7544"/>
      <c r="AO7544"/>
    </row>
    <row r="7545" spans="24:41" x14ac:dyDescent="0.4">
      <c r="X7545"/>
      <c r="AO7545"/>
    </row>
    <row r="7546" spans="24:41" x14ac:dyDescent="0.4">
      <c r="X7546"/>
      <c r="AO7546"/>
    </row>
    <row r="7547" spans="24:41" x14ac:dyDescent="0.4">
      <c r="X7547"/>
      <c r="AO7547"/>
    </row>
    <row r="7548" spans="24:41" x14ac:dyDescent="0.4">
      <c r="X7548"/>
      <c r="AO7548"/>
    </row>
    <row r="7549" spans="24:41" x14ac:dyDescent="0.4">
      <c r="X7549"/>
      <c r="AO7549"/>
    </row>
    <row r="7550" spans="24:41" x14ac:dyDescent="0.4">
      <c r="X7550"/>
      <c r="AO7550"/>
    </row>
    <row r="7551" spans="24:41" x14ac:dyDescent="0.4">
      <c r="X7551"/>
      <c r="AO7551"/>
    </row>
    <row r="7552" spans="24:41" x14ac:dyDescent="0.4">
      <c r="X7552"/>
      <c r="AO7552"/>
    </row>
    <row r="7553" spans="24:41" x14ac:dyDescent="0.4">
      <c r="X7553"/>
      <c r="AO7553"/>
    </row>
    <row r="7554" spans="24:41" x14ac:dyDescent="0.4">
      <c r="X7554"/>
      <c r="AO7554"/>
    </row>
    <row r="7555" spans="24:41" x14ac:dyDescent="0.4">
      <c r="X7555"/>
      <c r="AO7555"/>
    </row>
    <row r="7556" spans="24:41" x14ac:dyDescent="0.4">
      <c r="X7556"/>
      <c r="AO7556"/>
    </row>
    <row r="7557" spans="24:41" x14ac:dyDescent="0.4">
      <c r="X7557"/>
      <c r="AO7557"/>
    </row>
    <row r="7558" spans="24:41" x14ac:dyDescent="0.4">
      <c r="X7558"/>
      <c r="AO7558"/>
    </row>
    <row r="7559" spans="24:41" x14ac:dyDescent="0.4">
      <c r="X7559"/>
      <c r="AO7559"/>
    </row>
    <row r="7560" spans="24:41" x14ac:dyDescent="0.4">
      <c r="X7560"/>
      <c r="AO7560"/>
    </row>
    <row r="7561" spans="24:41" x14ac:dyDescent="0.4">
      <c r="X7561"/>
      <c r="AO7561"/>
    </row>
    <row r="7562" spans="24:41" x14ac:dyDescent="0.4">
      <c r="X7562"/>
      <c r="AO7562"/>
    </row>
    <row r="7563" spans="24:41" x14ac:dyDescent="0.4">
      <c r="X7563"/>
      <c r="AO7563"/>
    </row>
    <row r="7564" spans="24:41" x14ac:dyDescent="0.4">
      <c r="X7564"/>
      <c r="AO7564"/>
    </row>
    <row r="7565" spans="24:41" x14ac:dyDescent="0.4">
      <c r="X7565"/>
      <c r="AO7565"/>
    </row>
    <row r="7566" spans="24:41" x14ac:dyDescent="0.4">
      <c r="X7566"/>
      <c r="AO7566"/>
    </row>
    <row r="7567" spans="24:41" x14ac:dyDescent="0.4">
      <c r="X7567"/>
      <c r="AO7567"/>
    </row>
    <row r="7568" spans="24:41" x14ac:dyDescent="0.4">
      <c r="X7568"/>
      <c r="AO7568"/>
    </row>
    <row r="7569" spans="24:41" x14ac:dyDescent="0.4">
      <c r="X7569"/>
      <c r="AO7569"/>
    </row>
    <row r="7570" spans="24:41" x14ac:dyDescent="0.4">
      <c r="X7570"/>
      <c r="AO7570"/>
    </row>
    <row r="7571" spans="24:41" x14ac:dyDescent="0.4">
      <c r="X7571"/>
      <c r="AO7571"/>
    </row>
    <row r="7572" spans="24:41" x14ac:dyDescent="0.4">
      <c r="X7572"/>
      <c r="AO7572"/>
    </row>
    <row r="7573" spans="24:41" x14ac:dyDescent="0.4">
      <c r="X7573"/>
      <c r="AO7573"/>
    </row>
    <row r="7574" spans="24:41" x14ac:dyDescent="0.4">
      <c r="X7574"/>
      <c r="AO7574"/>
    </row>
    <row r="7575" spans="24:41" x14ac:dyDescent="0.4">
      <c r="X7575"/>
      <c r="AO7575"/>
    </row>
    <row r="7576" spans="24:41" x14ac:dyDescent="0.4">
      <c r="X7576"/>
      <c r="AO7576"/>
    </row>
    <row r="7577" spans="24:41" x14ac:dyDescent="0.4">
      <c r="X7577"/>
      <c r="AO7577"/>
    </row>
    <row r="7578" spans="24:41" x14ac:dyDescent="0.4">
      <c r="X7578"/>
      <c r="AO7578"/>
    </row>
    <row r="7579" spans="24:41" x14ac:dyDescent="0.4">
      <c r="X7579"/>
      <c r="AO7579"/>
    </row>
    <row r="7580" spans="24:41" x14ac:dyDescent="0.4">
      <c r="X7580"/>
      <c r="AO7580"/>
    </row>
    <row r="7581" spans="24:41" x14ac:dyDescent="0.4">
      <c r="X7581"/>
      <c r="AO7581"/>
    </row>
    <row r="7582" spans="24:41" x14ac:dyDescent="0.4">
      <c r="X7582"/>
      <c r="AO7582"/>
    </row>
    <row r="7583" spans="24:41" x14ac:dyDescent="0.4">
      <c r="X7583"/>
      <c r="AO7583"/>
    </row>
    <row r="7584" spans="24:41" x14ac:dyDescent="0.4">
      <c r="X7584"/>
      <c r="AO7584"/>
    </row>
    <row r="7585" spans="24:41" x14ac:dyDescent="0.4">
      <c r="X7585"/>
      <c r="AO7585"/>
    </row>
    <row r="7586" spans="24:41" x14ac:dyDescent="0.4">
      <c r="X7586"/>
      <c r="AO7586"/>
    </row>
    <row r="7587" spans="24:41" x14ac:dyDescent="0.4">
      <c r="X7587"/>
      <c r="AO7587"/>
    </row>
    <row r="7588" spans="24:41" x14ac:dyDescent="0.4">
      <c r="X7588"/>
      <c r="AO7588"/>
    </row>
    <row r="7589" spans="24:41" x14ac:dyDescent="0.4">
      <c r="X7589"/>
      <c r="AO7589"/>
    </row>
    <row r="7590" spans="24:41" x14ac:dyDescent="0.4">
      <c r="X7590"/>
      <c r="AO7590"/>
    </row>
    <row r="7591" spans="24:41" x14ac:dyDescent="0.4">
      <c r="X7591"/>
      <c r="AO7591"/>
    </row>
    <row r="7592" spans="24:41" x14ac:dyDescent="0.4">
      <c r="X7592"/>
      <c r="AO7592"/>
    </row>
    <row r="7593" spans="24:41" x14ac:dyDescent="0.4">
      <c r="X7593"/>
      <c r="AO7593"/>
    </row>
    <row r="7594" spans="24:41" x14ac:dyDescent="0.4">
      <c r="X7594"/>
      <c r="AO7594"/>
    </row>
    <row r="7595" spans="24:41" x14ac:dyDescent="0.4">
      <c r="X7595"/>
      <c r="AO7595"/>
    </row>
    <row r="7596" spans="24:41" x14ac:dyDescent="0.4">
      <c r="X7596"/>
      <c r="AO7596"/>
    </row>
    <row r="7597" spans="24:41" x14ac:dyDescent="0.4">
      <c r="X7597"/>
      <c r="AO7597"/>
    </row>
    <row r="7598" spans="24:41" x14ac:dyDescent="0.4">
      <c r="X7598"/>
      <c r="AO7598"/>
    </row>
    <row r="7599" spans="24:41" x14ac:dyDescent="0.4">
      <c r="X7599"/>
      <c r="AO7599"/>
    </row>
    <row r="7600" spans="24:41" x14ac:dyDescent="0.4">
      <c r="X7600"/>
      <c r="AO7600"/>
    </row>
    <row r="7601" spans="24:41" x14ac:dyDescent="0.4">
      <c r="X7601"/>
      <c r="AO7601"/>
    </row>
    <row r="7602" spans="24:41" x14ac:dyDescent="0.4">
      <c r="X7602"/>
      <c r="AO7602"/>
    </row>
    <row r="7603" spans="24:41" x14ac:dyDescent="0.4">
      <c r="X7603"/>
      <c r="AO7603"/>
    </row>
    <row r="7604" spans="24:41" x14ac:dyDescent="0.4">
      <c r="X7604"/>
      <c r="AO7604"/>
    </row>
    <row r="7605" spans="24:41" x14ac:dyDescent="0.4">
      <c r="X7605"/>
      <c r="AO7605"/>
    </row>
    <row r="7606" spans="24:41" x14ac:dyDescent="0.4">
      <c r="X7606"/>
      <c r="AO7606"/>
    </row>
    <row r="7607" spans="24:41" x14ac:dyDescent="0.4">
      <c r="X7607"/>
      <c r="AO7607"/>
    </row>
    <row r="7608" spans="24:41" x14ac:dyDescent="0.4">
      <c r="X7608"/>
      <c r="AO7608"/>
    </row>
    <row r="7609" spans="24:41" x14ac:dyDescent="0.4">
      <c r="X7609"/>
      <c r="AO7609"/>
    </row>
    <row r="7610" spans="24:41" x14ac:dyDescent="0.4">
      <c r="X7610"/>
      <c r="AO7610"/>
    </row>
    <row r="7611" spans="24:41" x14ac:dyDescent="0.4">
      <c r="X7611"/>
      <c r="AO7611"/>
    </row>
    <row r="7612" spans="24:41" x14ac:dyDescent="0.4">
      <c r="X7612"/>
      <c r="AO7612"/>
    </row>
    <row r="7613" spans="24:41" x14ac:dyDescent="0.4">
      <c r="X7613"/>
      <c r="AO7613"/>
    </row>
    <row r="7614" spans="24:41" x14ac:dyDescent="0.4">
      <c r="X7614"/>
      <c r="AO7614"/>
    </row>
    <row r="7615" spans="24:41" x14ac:dyDescent="0.4">
      <c r="X7615"/>
      <c r="AO7615"/>
    </row>
    <row r="7616" spans="24:41" x14ac:dyDescent="0.4">
      <c r="X7616"/>
      <c r="AO7616"/>
    </row>
    <row r="7617" spans="24:41" x14ac:dyDescent="0.4">
      <c r="X7617"/>
      <c r="AO7617"/>
    </row>
    <row r="7618" spans="24:41" x14ac:dyDescent="0.4">
      <c r="X7618"/>
      <c r="AO7618"/>
    </row>
    <row r="7619" spans="24:41" x14ac:dyDescent="0.4">
      <c r="X7619"/>
      <c r="AO7619"/>
    </row>
    <row r="7620" spans="24:41" x14ac:dyDescent="0.4">
      <c r="X7620"/>
      <c r="AO7620"/>
    </row>
    <row r="7621" spans="24:41" x14ac:dyDescent="0.4">
      <c r="X7621"/>
      <c r="AO7621"/>
    </row>
    <row r="7622" spans="24:41" x14ac:dyDescent="0.4">
      <c r="X7622"/>
      <c r="AO7622"/>
    </row>
    <row r="7623" spans="24:41" x14ac:dyDescent="0.4">
      <c r="X7623"/>
      <c r="AO7623"/>
    </row>
    <row r="7624" spans="24:41" x14ac:dyDescent="0.4">
      <c r="X7624"/>
      <c r="AO7624"/>
    </row>
    <row r="7625" spans="24:41" x14ac:dyDescent="0.4">
      <c r="X7625"/>
      <c r="AO7625"/>
    </row>
    <row r="7626" spans="24:41" x14ac:dyDescent="0.4">
      <c r="X7626"/>
      <c r="AO7626"/>
    </row>
    <row r="7627" spans="24:41" x14ac:dyDescent="0.4">
      <c r="X7627"/>
      <c r="AO7627"/>
    </row>
    <row r="7628" spans="24:41" x14ac:dyDescent="0.4">
      <c r="X7628"/>
      <c r="AO7628"/>
    </row>
    <row r="7629" spans="24:41" x14ac:dyDescent="0.4">
      <c r="X7629"/>
      <c r="AO7629"/>
    </row>
    <row r="7630" spans="24:41" x14ac:dyDescent="0.4">
      <c r="X7630"/>
      <c r="AO7630"/>
    </row>
    <row r="7631" spans="24:41" x14ac:dyDescent="0.4">
      <c r="X7631"/>
      <c r="AO7631"/>
    </row>
    <row r="7632" spans="24:41" x14ac:dyDescent="0.4">
      <c r="X7632"/>
      <c r="AO7632"/>
    </row>
    <row r="7633" spans="24:41" x14ac:dyDescent="0.4">
      <c r="X7633"/>
      <c r="AO7633"/>
    </row>
    <row r="7634" spans="24:41" x14ac:dyDescent="0.4">
      <c r="X7634"/>
      <c r="AO7634"/>
    </row>
    <row r="7635" spans="24:41" x14ac:dyDescent="0.4">
      <c r="X7635"/>
      <c r="AO7635"/>
    </row>
    <row r="7636" spans="24:41" x14ac:dyDescent="0.4">
      <c r="X7636"/>
      <c r="AO7636"/>
    </row>
    <row r="7637" spans="24:41" x14ac:dyDescent="0.4">
      <c r="X7637"/>
      <c r="AO7637"/>
    </row>
    <row r="7638" spans="24:41" x14ac:dyDescent="0.4">
      <c r="X7638"/>
      <c r="AO7638"/>
    </row>
    <row r="7639" spans="24:41" x14ac:dyDescent="0.4">
      <c r="X7639"/>
      <c r="AO7639"/>
    </row>
    <row r="7640" spans="24:41" x14ac:dyDescent="0.4">
      <c r="X7640"/>
      <c r="AO7640"/>
    </row>
    <row r="7641" spans="24:41" x14ac:dyDescent="0.4">
      <c r="X7641"/>
      <c r="AO7641"/>
    </row>
    <row r="7642" spans="24:41" x14ac:dyDescent="0.4">
      <c r="X7642"/>
      <c r="AO7642"/>
    </row>
    <row r="7643" spans="24:41" x14ac:dyDescent="0.4">
      <c r="X7643"/>
      <c r="AO7643"/>
    </row>
    <row r="7644" spans="24:41" x14ac:dyDescent="0.4">
      <c r="X7644"/>
      <c r="AO7644"/>
    </row>
    <row r="7645" spans="24:41" x14ac:dyDescent="0.4">
      <c r="X7645"/>
      <c r="AO7645"/>
    </row>
    <row r="7646" spans="24:41" x14ac:dyDescent="0.4">
      <c r="X7646"/>
      <c r="AO7646"/>
    </row>
    <row r="7647" spans="24:41" x14ac:dyDescent="0.4">
      <c r="X7647"/>
      <c r="AO7647"/>
    </row>
    <row r="7648" spans="24:41" x14ac:dyDescent="0.4">
      <c r="X7648"/>
      <c r="AO7648"/>
    </row>
    <row r="7649" spans="24:41" x14ac:dyDescent="0.4">
      <c r="X7649"/>
      <c r="AO7649"/>
    </row>
    <row r="7650" spans="24:41" x14ac:dyDescent="0.4">
      <c r="X7650"/>
      <c r="AO7650"/>
    </row>
    <row r="7651" spans="24:41" x14ac:dyDescent="0.4">
      <c r="X7651"/>
      <c r="AO7651"/>
    </row>
    <row r="7652" spans="24:41" x14ac:dyDescent="0.4">
      <c r="X7652"/>
      <c r="AO7652"/>
    </row>
    <row r="7653" spans="24:41" x14ac:dyDescent="0.4">
      <c r="X7653"/>
      <c r="AO7653"/>
    </row>
    <row r="7654" spans="24:41" x14ac:dyDescent="0.4">
      <c r="X7654"/>
      <c r="AO7654"/>
    </row>
    <row r="7655" spans="24:41" x14ac:dyDescent="0.4">
      <c r="X7655"/>
      <c r="AO7655"/>
    </row>
    <row r="7656" spans="24:41" x14ac:dyDescent="0.4">
      <c r="X7656"/>
      <c r="AO7656"/>
    </row>
    <row r="7657" spans="24:41" x14ac:dyDescent="0.4">
      <c r="X7657"/>
      <c r="AO7657"/>
    </row>
    <row r="7658" spans="24:41" x14ac:dyDescent="0.4">
      <c r="X7658"/>
      <c r="AO7658"/>
    </row>
    <row r="7659" spans="24:41" x14ac:dyDescent="0.4">
      <c r="X7659"/>
      <c r="AO7659"/>
    </row>
    <row r="7660" spans="24:41" x14ac:dyDescent="0.4">
      <c r="X7660"/>
      <c r="AO7660"/>
    </row>
    <row r="7661" spans="24:41" x14ac:dyDescent="0.4">
      <c r="X7661"/>
      <c r="AO7661"/>
    </row>
    <row r="7662" spans="24:41" x14ac:dyDescent="0.4">
      <c r="X7662"/>
      <c r="AO7662"/>
    </row>
    <row r="7663" spans="24:41" x14ac:dyDescent="0.4">
      <c r="X7663"/>
      <c r="AO7663"/>
    </row>
    <row r="7664" spans="24:41" x14ac:dyDescent="0.4">
      <c r="X7664"/>
      <c r="AO7664"/>
    </row>
    <row r="7665" spans="24:41" x14ac:dyDescent="0.4">
      <c r="X7665"/>
      <c r="AO7665"/>
    </row>
    <row r="7666" spans="24:41" x14ac:dyDescent="0.4">
      <c r="X7666"/>
      <c r="AO7666"/>
    </row>
    <row r="7667" spans="24:41" x14ac:dyDescent="0.4">
      <c r="X7667"/>
      <c r="AO7667"/>
    </row>
    <row r="7668" spans="24:41" x14ac:dyDescent="0.4">
      <c r="X7668"/>
      <c r="AO7668"/>
    </row>
    <row r="7669" spans="24:41" x14ac:dyDescent="0.4">
      <c r="X7669"/>
      <c r="AO7669"/>
    </row>
    <row r="7670" spans="24:41" x14ac:dyDescent="0.4">
      <c r="X7670"/>
      <c r="AO7670"/>
    </row>
    <row r="7671" spans="24:41" x14ac:dyDescent="0.4">
      <c r="X7671"/>
      <c r="AO7671"/>
    </row>
    <row r="7672" spans="24:41" x14ac:dyDescent="0.4">
      <c r="X7672"/>
      <c r="AO7672"/>
    </row>
    <row r="7673" spans="24:41" x14ac:dyDescent="0.4">
      <c r="X7673"/>
      <c r="AO7673"/>
    </row>
    <row r="7674" spans="24:41" x14ac:dyDescent="0.4">
      <c r="X7674"/>
      <c r="AO7674"/>
    </row>
    <row r="7675" spans="24:41" x14ac:dyDescent="0.4">
      <c r="X7675"/>
      <c r="AO7675"/>
    </row>
    <row r="7676" spans="24:41" x14ac:dyDescent="0.4">
      <c r="X7676"/>
      <c r="AO7676"/>
    </row>
    <row r="7677" spans="24:41" x14ac:dyDescent="0.4">
      <c r="X7677"/>
      <c r="AO7677"/>
    </row>
    <row r="7678" spans="24:41" x14ac:dyDescent="0.4">
      <c r="X7678"/>
      <c r="AO7678"/>
    </row>
    <row r="7679" spans="24:41" x14ac:dyDescent="0.4">
      <c r="X7679"/>
      <c r="AO7679"/>
    </row>
    <row r="7680" spans="24:41" x14ac:dyDescent="0.4">
      <c r="X7680"/>
      <c r="AO7680"/>
    </row>
    <row r="7681" spans="24:41" x14ac:dyDescent="0.4">
      <c r="X7681"/>
      <c r="AO7681"/>
    </row>
    <row r="7682" spans="24:41" x14ac:dyDescent="0.4">
      <c r="X7682"/>
      <c r="AO7682"/>
    </row>
    <row r="7683" spans="24:41" x14ac:dyDescent="0.4">
      <c r="X7683"/>
      <c r="AO7683"/>
    </row>
    <row r="7684" spans="24:41" x14ac:dyDescent="0.4">
      <c r="X7684"/>
      <c r="AO7684"/>
    </row>
    <row r="7685" spans="24:41" x14ac:dyDescent="0.4">
      <c r="X7685"/>
      <c r="AO7685"/>
    </row>
    <row r="7686" spans="24:41" x14ac:dyDescent="0.4">
      <c r="X7686"/>
      <c r="AO7686"/>
    </row>
    <row r="7687" spans="24:41" x14ac:dyDescent="0.4">
      <c r="X7687"/>
      <c r="AO7687"/>
    </row>
    <row r="7688" spans="24:41" x14ac:dyDescent="0.4">
      <c r="X7688"/>
      <c r="AO7688"/>
    </row>
    <row r="7689" spans="24:41" x14ac:dyDescent="0.4">
      <c r="X7689"/>
      <c r="AO7689"/>
    </row>
    <row r="7690" spans="24:41" x14ac:dyDescent="0.4">
      <c r="X7690"/>
      <c r="AO7690"/>
    </row>
    <row r="7691" spans="24:41" x14ac:dyDescent="0.4">
      <c r="X7691"/>
      <c r="AO7691"/>
    </row>
    <row r="7692" spans="24:41" x14ac:dyDescent="0.4">
      <c r="X7692"/>
      <c r="AO7692"/>
    </row>
    <row r="7693" spans="24:41" x14ac:dyDescent="0.4">
      <c r="X7693"/>
      <c r="AO7693"/>
    </row>
    <row r="7694" spans="24:41" x14ac:dyDescent="0.4">
      <c r="X7694"/>
      <c r="AO7694"/>
    </row>
    <row r="7695" spans="24:41" x14ac:dyDescent="0.4">
      <c r="X7695"/>
      <c r="AO7695"/>
    </row>
    <row r="7696" spans="24:41" x14ac:dyDescent="0.4">
      <c r="X7696"/>
      <c r="AO7696"/>
    </row>
    <row r="7697" spans="24:41" x14ac:dyDescent="0.4">
      <c r="X7697"/>
      <c r="AO7697"/>
    </row>
    <row r="7698" spans="24:41" x14ac:dyDescent="0.4">
      <c r="X7698"/>
      <c r="AO7698"/>
    </row>
    <row r="7699" spans="24:41" x14ac:dyDescent="0.4">
      <c r="X7699"/>
      <c r="AO7699"/>
    </row>
    <row r="7700" spans="24:41" x14ac:dyDescent="0.4">
      <c r="X7700"/>
      <c r="AO7700"/>
    </row>
    <row r="7701" spans="24:41" x14ac:dyDescent="0.4">
      <c r="X7701"/>
      <c r="AO7701"/>
    </row>
    <row r="7702" spans="24:41" x14ac:dyDescent="0.4">
      <c r="X7702"/>
      <c r="AO7702"/>
    </row>
    <row r="7703" spans="24:41" x14ac:dyDescent="0.4">
      <c r="X7703"/>
      <c r="AO7703"/>
    </row>
    <row r="7704" spans="24:41" x14ac:dyDescent="0.4">
      <c r="X7704"/>
      <c r="AO7704"/>
    </row>
    <row r="7705" spans="24:41" x14ac:dyDescent="0.4">
      <c r="X7705"/>
      <c r="AO7705"/>
    </row>
    <row r="7706" spans="24:41" x14ac:dyDescent="0.4">
      <c r="X7706"/>
      <c r="AO7706"/>
    </row>
    <row r="7707" spans="24:41" x14ac:dyDescent="0.4">
      <c r="X7707"/>
      <c r="AO7707"/>
    </row>
    <row r="7708" spans="24:41" x14ac:dyDescent="0.4">
      <c r="X7708"/>
      <c r="AO7708"/>
    </row>
    <row r="7709" spans="24:41" x14ac:dyDescent="0.4">
      <c r="X7709"/>
      <c r="AO7709"/>
    </row>
    <row r="7710" spans="24:41" x14ac:dyDescent="0.4">
      <c r="X7710"/>
      <c r="AO7710"/>
    </row>
    <row r="7711" spans="24:41" x14ac:dyDescent="0.4">
      <c r="X7711"/>
      <c r="AO7711"/>
    </row>
    <row r="7712" spans="24:41" x14ac:dyDescent="0.4">
      <c r="X7712"/>
      <c r="AO7712"/>
    </row>
    <row r="7713" spans="24:41" x14ac:dyDescent="0.4">
      <c r="X7713"/>
      <c r="AO7713"/>
    </row>
    <row r="7714" spans="24:41" x14ac:dyDescent="0.4">
      <c r="X7714"/>
      <c r="AO7714"/>
    </row>
    <row r="7715" spans="24:41" x14ac:dyDescent="0.4">
      <c r="X7715"/>
      <c r="AO7715"/>
    </row>
    <row r="7716" spans="24:41" x14ac:dyDescent="0.4">
      <c r="X7716"/>
      <c r="AO7716"/>
    </row>
    <row r="7717" spans="24:41" x14ac:dyDescent="0.4">
      <c r="X7717"/>
      <c r="AO7717"/>
    </row>
    <row r="7718" spans="24:41" x14ac:dyDescent="0.4">
      <c r="X7718"/>
      <c r="AO7718"/>
    </row>
    <row r="7719" spans="24:41" x14ac:dyDescent="0.4">
      <c r="X7719"/>
      <c r="AO7719"/>
    </row>
    <row r="7720" spans="24:41" x14ac:dyDescent="0.4">
      <c r="X7720"/>
      <c r="AO7720"/>
    </row>
    <row r="7721" spans="24:41" x14ac:dyDescent="0.4">
      <c r="X7721"/>
      <c r="AO7721"/>
    </row>
    <row r="7722" spans="24:41" x14ac:dyDescent="0.4">
      <c r="X7722"/>
      <c r="AO7722"/>
    </row>
    <row r="7723" spans="24:41" x14ac:dyDescent="0.4">
      <c r="X7723"/>
      <c r="AO7723"/>
    </row>
    <row r="7724" spans="24:41" x14ac:dyDescent="0.4">
      <c r="X7724"/>
      <c r="AO7724"/>
    </row>
    <row r="7725" spans="24:41" x14ac:dyDescent="0.4">
      <c r="X7725"/>
      <c r="AO7725"/>
    </row>
    <row r="7726" spans="24:41" x14ac:dyDescent="0.4">
      <c r="X7726"/>
      <c r="AO7726"/>
    </row>
    <row r="7727" spans="24:41" x14ac:dyDescent="0.4">
      <c r="X7727"/>
      <c r="AO7727"/>
    </row>
    <row r="7728" spans="24:41" x14ac:dyDescent="0.4">
      <c r="X7728"/>
      <c r="AO7728"/>
    </row>
    <row r="7729" spans="24:41" x14ac:dyDescent="0.4">
      <c r="X7729"/>
      <c r="AO7729"/>
    </row>
    <row r="7730" spans="24:41" x14ac:dyDescent="0.4">
      <c r="X7730"/>
      <c r="AO7730"/>
    </row>
    <row r="7731" spans="24:41" x14ac:dyDescent="0.4">
      <c r="X7731"/>
      <c r="AO7731"/>
    </row>
    <row r="7732" spans="24:41" x14ac:dyDescent="0.4">
      <c r="X7732"/>
      <c r="AO7732"/>
    </row>
    <row r="7733" spans="24:41" x14ac:dyDescent="0.4">
      <c r="X7733"/>
      <c r="AO7733"/>
    </row>
    <row r="7734" spans="24:41" x14ac:dyDescent="0.4">
      <c r="X7734"/>
      <c r="AO7734"/>
    </row>
    <row r="7735" spans="24:41" x14ac:dyDescent="0.4">
      <c r="X7735"/>
      <c r="AO7735"/>
    </row>
    <row r="7736" spans="24:41" x14ac:dyDescent="0.4">
      <c r="X7736"/>
      <c r="AO7736"/>
    </row>
    <row r="7737" spans="24:41" x14ac:dyDescent="0.4">
      <c r="X7737"/>
      <c r="AO7737"/>
    </row>
    <row r="7738" spans="24:41" x14ac:dyDescent="0.4">
      <c r="X7738"/>
      <c r="AO7738"/>
    </row>
    <row r="7739" spans="24:41" x14ac:dyDescent="0.4">
      <c r="X7739"/>
      <c r="AO7739"/>
    </row>
    <row r="7740" spans="24:41" x14ac:dyDescent="0.4">
      <c r="X7740"/>
      <c r="AO7740"/>
    </row>
    <row r="7741" spans="24:41" x14ac:dyDescent="0.4">
      <c r="X7741"/>
      <c r="AO7741"/>
    </row>
    <row r="7742" spans="24:41" x14ac:dyDescent="0.4">
      <c r="X7742"/>
      <c r="AO7742"/>
    </row>
    <row r="7743" spans="24:41" x14ac:dyDescent="0.4">
      <c r="X7743"/>
      <c r="AO7743"/>
    </row>
    <row r="7744" spans="24:41" x14ac:dyDescent="0.4">
      <c r="X7744"/>
      <c r="AO7744"/>
    </row>
    <row r="7745" spans="24:41" x14ac:dyDescent="0.4">
      <c r="X7745"/>
      <c r="AO7745"/>
    </row>
    <row r="7746" spans="24:41" x14ac:dyDescent="0.4">
      <c r="X7746"/>
      <c r="AO7746"/>
    </row>
    <row r="7747" spans="24:41" x14ac:dyDescent="0.4">
      <c r="X7747"/>
      <c r="AO7747"/>
    </row>
    <row r="7748" spans="24:41" x14ac:dyDescent="0.4">
      <c r="X7748"/>
      <c r="AO7748"/>
    </row>
    <row r="7749" spans="24:41" x14ac:dyDescent="0.4">
      <c r="X7749"/>
      <c r="AO7749"/>
    </row>
    <row r="7750" spans="24:41" x14ac:dyDescent="0.4">
      <c r="X7750"/>
      <c r="AO7750"/>
    </row>
    <row r="7751" spans="24:41" x14ac:dyDescent="0.4">
      <c r="X7751"/>
      <c r="AO7751"/>
    </row>
    <row r="7752" spans="24:41" x14ac:dyDescent="0.4">
      <c r="X7752"/>
      <c r="AO7752"/>
    </row>
    <row r="7753" spans="24:41" x14ac:dyDescent="0.4">
      <c r="X7753"/>
      <c r="AO7753"/>
    </row>
    <row r="7754" spans="24:41" x14ac:dyDescent="0.4">
      <c r="X7754"/>
      <c r="AO7754"/>
    </row>
    <row r="7755" spans="24:41" x14ac:dyDescent="0.4">
      <c r="X7755"/>
      <c r="AO7755"/>
    </row>
    <row r="7756" spans="24:41" x14ac:dyDescent="0.4">
      <c r="X7756"/>
      <c r="AO7756"/>
    </row>
    <row r="7757" spans="24:41" x14ac:dyDescent="0.4">
      <c r="X7757"/>
      <c r="AO7757"/>
    </row>
    <row r="7758" spans="24:41" x14ac:dyDescent="0.4">
      <c r="X7758"/>
      <c r="AO7758"/>
    </row>
    <row r="7759" spans="24:41" x14ac:dyDescent="0.4">
      <c r="X7759"/>
      <c r="AO7759"/>
    </row>
    <row r="7760" spans="24:41" x14ac:dyDescent="0.4">
      <c r="X7760"/>
      <c r="AO7760"/>
    </row>
    <row r="7761" spans="24:41" x14ac:dyDescent="0.4">
      <c r="X7761"/>
      <c r="AO7761"/>
    </row>
    <row r="7762" spans="24:41" x14ac:dyDescent="0.4">
      <c r="X7762"/>
      <c r="AO7762"/>
    </row>
    <row r="7763" spans="24:41" x14ac:dyDescent="0.4">
      <c r="X7763"/>
      <c r="AO7763"/>
    </row>
    <row r="7764" spans="24:41" x14ac:dyDescent="0.4">
      <c r="X7764"/>
      <c r="AO7764"/>
    </row>
    <row r="7765" spans="24:41" x14ac:dyDescent="0.4">
      <c r="X7765"/>
      <c r="AO7765"/>
    </row>
    <row r="7766" spans="24:41" x14ac:dyDescent="0.4">
      <c r="X7766"/>
      <c r="AO7766"/>
    </row>
    <row r="7767" spans="24:41" x14ac:dyDescent="0.4">
      <c r="X7767"/>
      <c r="AO7767"/>
    </row>
    <row r="7768" spans="24:41" x14ac:dyDescent="0.4">
      <c r="X7768"/>
      <c r="AO7768"/>
    </row>
    <row r="7769" spans="24:41" x14ac:dyDescent="0.4">
      <c r="X7769"/>
      <c r="AO7769"/>
    </row>
    <row r="7770" spans="24:41" x14ac:dyDescent="0.4">
      <c r="X7770"/>
      <c r="AO7770"/>
    </row>
    <row r="7771" spans="24:41" x14ac:dyDescent="0.4">
      <c r="X7771"/>
      <c r="AO7771"/>
    </row>
    <row r="7772" spans="24:41" x14ac:dyDescent="0.4">
      <c r="X7772"/>
      <c r="AO7772"/>
    </row>
    <row r="7773" spans="24:41" x14ac:dyDescent="0.4">
      <c r="X7773"/>
      <c r="AO7773"/>
    </row>
    <row r="7774" spans="24:41" x14ac:dyDescent="0.4">
      <c r="X7774"/>
      <c r="AO7774"/>
    </row>
    <row r="7775" spans="24:41" x14ac:dyDescent="0.4">
      <c r="X7775"/>
      <c r="AO7775"/>
    </row>
    <row r="7776" spans="24:41" x14ac:dyDescent="0.4">
      <c r="X7776"/>
      <c r="AO7776"/>
    </row>
    <row r="7777" spans="24:41" x14ac:dyDescent="0.4">
      <c r="X7777"/>
      <c r="AO7777"/>
    </row>
    <row r="7778" spans="24:41" x14ac:dyDescent="0.4">
      <c r="X7778"/>
      <c r="AO7778"/>
    </row>
    <row r="7779" spans="24:41" x14ac:dyDescent="0.4">
      <c r="X7779"/>
      <c r="AO7779"/>
    </row>
    <row r="7780" spans="24:41" x14ac:dyDescent="0.4">
      <c r="X7780"/>
      <c r="AO7780"/>
    </row>
    <row r="7781" spans="24:41" x14ac:dyDescent="0.4">
      <c r="X7781"/>
      <c r="AO7781"/>
    </row>
    <row r="7782" spans="24:41" x14ac:dyDescent="0.4">
      <c r="X7782"/>
      <c r="AO7782"/>
    </row>
    <row r="7783" spans="24:41" x14ac:dyDescent="0.4">
      <c r="X7783"/>
      <c r="AO7783"/>
    </row>
    <row r="7784" spans="24:41" x14ac:dyDescent="0.4">
      <c r="X7784"/>
      <c r="AO7784"/>
    </row>
    <row r="7785" spans="24:41" x14ac:dyDescent="0.4">
      <c r="X7785"/>
      <c r="AO7785"/>
    </row>
    <row r="7786" spans="24:41" x14ac:dyDescent="0.4">
      <c r="X7786"/>
      <c r="AO7786"/>
    </row>
    <row r="7787" spans="24:41" x14ac:dyDescent="0.4">
      <c r="X7787"/>
      <c r="AO7787"/>
    </row>
    <row r="7788" spans="24:41" x14ac:dyDescent="0.4">
      <c r="X7788"/>
      <c r="AO7788"/>
    </row>
    <row r="7789" spans="24:41" x14ac:dyDescent="0.4">
      <c r="X7789"/>
      <c r="AO7789"/>
    </row>
    <row r="7790" spans="24:41" x14ac:dyDescent="0.4">
      <c r="X7790"/>
      <c r="AO7790"/>
    </row>
    <row r="7791" spans="24:41" x14ac:dyDescent="0.4">
      <c r="X7791"/>
      <c r="AO7791"/>
    </row>
    <row r="7792" spans="24:41" x14ac:dyDescent="0.4">
      <c r="X7792"/>
      <c r="AO7792"/>
    </row>
    <row r="7793" spans="24:41" x14ac:dyDescent="0.4">
      <c r="X7793"/>
      <c r="AO7793"/>
    </row>
    <row r="7794" spans="24:41" x14ac:dyDescent="0.4">
      <c r="X7794"/>
      <c r="AO7794"/>
    </row>
    <row r="7795" spans="24:41" x14ac:dyDescent="0.4">
      <c r="X7795"/>
      <c r="AO7795"/>
    </row>
    <row r="7796" spans="24:41" x14ac:dyDescent="0.4">
      <c r="X7796"/>
      <c r="AO7796"/>
    </row>
    <row r="7797" spans="24:41" x14ac:dyDescent="0.4">
      <c r="X7797"/>
      <c r="AO7797"/>
    </row>
    <row r="7798" spans="24:41" x14ac:dyDescent="0.4">
      <c r="X7798"/>
      <c r="AO7798"/>
    </row>
    <row r="7799" spans="24:41" x14ac:dyDescent="0.4">
      <c r="X7799"/>
      <c r="AO7799"/>
    </row>
    <row r="7800" spans="24:41" x14ac:dyDescent="0.4">
      <c r="X7800"/>
      <c r="AO7800"/>
    </row>
    <row r="7801" spans="24:41" x14ac:dyDescent="0.4">
      <c r="X7801"/>
      <c r="AO7801"/>
    </row>
    <row r="7802" spans="24:41" x14ac:dyDescent="0.4">
      <c r="X7802"/>
      <c r="AO7802"/>
    </row>
    <row r="7803" spans="24:41" x14ac:dyDescent="0.4">
      <c r="X7803"/>
      <c r="AO7803"/>
    </row>
    <row r="7804" spans="24:41" x14ac:dyDescent="0.4">
      <c r="X7804"/>
      <c r="AO7804"/>
    </row>
    <row r="7805" spans="24:41" x14ac:dyDescent="0.4">
      <c r="X7805"/>
      <c r="AO7805"/>
    </row>
    <row r="7806" spans="24:41" x14ac:dyDescent="0.4">
      <c r="X7806"/>
      <c r="AO7806"/>
    </row>
    <row r="7807" spans="24:41" x14ac:dyDescent="0.4">
      <c r="X7807"/>
      <c r="AO7807"/>
    </row>
    <row r="7808" spans="24:41" x14ac:dyDescent="0.4">
      <c r="X7808"/>
      <c r="AO7808"/>
    </row>
    <row r="7809" spans="24:41" x14ac:dyDescent="0.4">
      <c r="X7809"/>
      <c r="AO7809"/>
    </row>
    <row r="7810" spans="24:41" x14ac:dyDescent="0.4">
      <c r="X7810"/>
      <c r="AO7810"/>
    </row>
    <row r="7811" spans="24:41" x14ac:dyDescent="0.4">
      <c r="X7811"/>
      <c r="AO7811"/>
    </row>
    <row r="7812" spans="24:41" x14ac:dyDescent="0.4">
      <c r="X7812"/>
      <c r="AO7812"/>
    </row>
    <row r="7813" spans="24:41" x14ac:dyDescent="0.4">
      <c r="X7813"/>
      <c r="AO7813"/>
    </row>
    <row r="7814" spans="24:41" x14ac:dyDescent="0.4">
      <c r="X7814"/>
      <c r="AO7814"/>
    </row>
    <row r="7815" spans="24:41" x14ac:dyDescent="0.4">
      <c r="X7815"/>
      <c r="AO7815"/>
    </row>
    <row r="7816" spans="24:41" x14ac:dyDescent="0.4">
      <c r="X7816"/>
      <c r="AO7816"/>
    </row>
    <row r="7817" spans="24:41" x14ac:dyDescent="0.4">
      <c r="X7817"/>
      <c r="AO7817"/>
    </row>
    <row r="7818" spans="24:41" x14ac:dyDescent="0.4">
      <c r="X7818"/>
      <c r="AO7818"/>
    </row>
    <row r="7819" spans="24:41" x14ac:dyDescent="0.4">
      <c r="X7819"/>
      <c r="AO7819"/>
    </row>
    <row r="7820" spans="24:41" x14ac:dyDescent="0.4">
      <c r="X7820"/>
      <c r="AO7820"/>
    </row>
    <row r="7821" spans="24:41" x14ac:dyDescent="0.4">
      <c r="X7821"/>
      <c r="AO7821"/>
    </row>
    <row r="7822" spans="24:41" x14ac:dyDescent="0.4">
      <c r="X7822"/>
      <c r="AO7822"/>
    </row>
    <row r="7823" spans="24:41" x14ac:dyDescent="0.4">
      <c r="X7823"/>
      <c r="AO7823"/>
    </row>
    <row r="7824" spans="24:41" x14ac:dyDescent="0.4">
      <c r="X7824"/>
      <c r="AO7824"/>
    </row>
    <row r="7825" spans="24:41" x14ac:dyDescent="0.4">
      <c r="X7825"/>
      <c r="AO7825"/>
    </row>
    <row r="7826" spans="24:41" x14ac:dyDescent="0.4">
      <c r="X7826"/>
      <c r="AO7826"/>
    </row>
    <row r="7827" spans="24:41" x14ac:dyDescent="0.4">
      <c r="X7827"/>
      <c r="AO7827"/>
    </row>
    <row r="7828" spans="24:41" x14ac:dyDescent="0.4">
      <c r="X7828"/>
      <c r="AO7828"/>
    </row>
    <row r="7829" spans="24:41" x14ac:dyDescent="0.4">
      <c r="X7829"/>
      <c r="AO7829"/>
    </row>
    <row r="7830" spans="24:41" x14ac:dyDescent="0.4">
      <c r="X7830"/>
      <c r="AO7830"/>
    </row>
    <row r="7831" spans="24:41" x14ac:dyDescent="0.4">
      <c r="X7831"/>
      <c r="AO7831"/>
    </row>
    <row r="7832" spans="24:41" x14ac:dyDescent="0.4">
      <c r="X7832"/>
      <c r="AO7832"/>
    </row>
    <row r="7833" spans="24:41" x14ac:dyDescent="0.4">
      <c r="X7833"/>
      <c r="AO7833"/>
    </row>
    <row r="7834" spans="24:41" x14ac:dyDescent="0.4">
      <c r="X7834"/>
      <c r="AO7834"/>
    </row>
    <row r="7835" spans="24:41" x14ac:dyDescent="0.4">
      <c r="X7835"/>
      <c r="AO7835"/>
    </row>
    <row r="7836" spans="24:41" x14ac:dyDescent="0.4">
      <c r="X7836"/>
      <c r="AO7836"/>
    </row>
    <row r="7837" spans="24:41" x14ac:dyDescent="0.4">
      <c r="X7837"/>
      <c r="AO7837"/>
    </row>
    <row r="7838" spans="24:41" x14ac:dyDescent="0.4">
      <c r="X7838"/>
      <c r="AO7838"/>
    </row>
    <row r="7839" spans="24:41" x14ac:dyDescent="0.4">
      <c r="X7839"/>
      <c r="AO7839"/>
    </row>
    <row r="7840" spans="24:41" x14ac:dyDescent="0.4">
      <c r="X7840"/>
      <c r="AO7840"/>
    </row>
    <row r="7841" spans="24:41" x14ac:dyDescent="0.4">
      <c r="X7841"/>
      <c r="AO7841"/>
    </row>
    <row r="7842" spans="24:41" x14ac:dyDescent="0.4">
      <c r="X7842"/>
      <c r="AO7842"/>
    </row>
    <row r="7843" spans="24:41" x14ac:dyDescent="0.4">
      <c r="X7843"/>
      <c r="AO7843"/>
    </row>
    <row r="7844" spans="24:41" x14ac:dyDescent="0.4">
      <c r="X7844"/>
      <c r="AO7844"/>
    </row>
    <row r="7845" spans="24:41" x14ac:dyDescent="0.4">
      <c r="X7845"/>
      <c r="AO7845"/>
    </row>
    <row r="7846" spans="24:41" x14ac:dyDescent="0.4">
      <c r="X7846"/>
      <c r="AO7846"/>
    </row>
    <row r="7847" spans="24:41" x14ac:dyDescent="0.4">
      <c r="X7847"/>
      <c r="AO7847"/>
    </row>
    <row r="7848" spans="24:41" x14ac:dyDescent="0.4">
      <c r="X7848"/>
      <c r="AO7848"/>
    </row>
    <row r="7849" spans="24:41" x14ac:dyDescent="0.4">
      <c r="X7849"/>
      <c r="AO7849"/>
    </row>
    <row r="7850" spans="24:41" x14ac:dyDescent="0.4">
      <c r="X7850"/>
      <c r="AO7850"/>
    </row>
    <row r="7851" spans="24:41" x14ac:dyDescent="0.4">
      <c r="X7851"/>
      <c r="AO7851"/>
    </row>
    <row r="7852" spans="24:41" x14ac:dyDescent="0.4">
      <c r="X7852"/>
      <c r="AO7852"/>
    </row>
    <row r="7853" spans="24:41" x14ac:dyDescent="0.4">
      <c r="X7853"/>
      <c r="AO7853"/>
    </row>
    <row r="7854" spans="24:41" x14ac:dyDescent="0.4">
      <c r="X7854"/>
      <c r="AO7854"/>
    </row>
    <row r="7855" spans="24:41" x14ac:dyDescent="0.4">
      <c r="X7855"/>
      <c r="AO7855"/>
    </row>
    <row r="7856" spans="24:41" x14ac:dyDescent="0.4">
      <c r="X7856"/>
      <c r="AO7856"/>
    </row>
    <row r="7857" spans="24:41" x14ac:dyDescent="0.4">
      <c r="X7857"/>
      <c r="AO7857"/>
    </row>
    <row r="7858" spans="24:41" x14ac:dyDescent="0.4">
      <c r="X7858"/>
      <c r="AO7858"/>
    </row>
    <row r="7859" spans="24:41" x14ac:dyDescent="0.4">
      <c r="X7859"/>
      <c r="AO7859"/>
    </row>
    <row r="7860" spans="24:41" x14ac:dyDescent="0.4">
      <c r="X7860"/>
      <c r="AO7860"/>
    </row>
    <row r="7861" spans="24:41" x14ac:dyDescent="0.4">
      <c r="X7861"/>
      <c r="AO7861"/>
    </row>
    <row r="7862" spans="24:41" x14ac:dyDescent="0.4">
      <c r="X7862"/>
      <c r="AO7862"/>
    </row>
    <row r="7863" spans="24:41" x14ac:dyDescent="0.4">
      <c r="X7863"/>
      <c r="AO7863"/>
    </row>
    <row r="7864" spans="24:41" x14ac:dyDescent="0.4">
      <c r="X7864"/>
      <c r="AO7864"/>
    </row>
    <row r="7865" spans="24:41" x14ac:dyDescent="0.4">
      <c r="X7865"/>
      <c r="AO7865"/>
    </row>
    <row r="7866" spans="24:41" x14ac:dyDescent="0.4">
      <c r="X7866"/>
      <c r="AO7866"/>
    </row>
    <row r="7867" spans="24:41" x14ac:dyDescent="0.4">
      <c r="X7867"/>
      <c r="AO7867"/>
    </row>
    <row r="7868" spans="24:41" x14ac:dyDescent="0.4">
      <c r="X7868"/>
      <c r="AO7868"/>
    </row>
    <row r="7869" spans="24:41" x14ac:dyDescent="0.4">
      <c r="X7869"/>
      <c r="AO7869"/>
    </row>
    <row r="7870" spans="24:41" x14ac:dyDescent="0.4">
      <c r="X7870"/>
      <c r="AO7870"/>
    </row>
    <row r="7871" spans="24:41" x14ac:dyDescent="0.4">
      <c r="X7871"/>
      <c r="AO7871"/>
    </row>
    <row r="7872" spans="24:41" x14ac:dyDescent="0.4">
      <c r="X7872"/>
      <c r="AO7872"/>
    </row>
    <row r="7873" spans="24:41" x14ac:dyDescent="0.4">
      <c r="X7873"/>
      <c r="AO7873"/>
    </row>
    <row r="7874" spans="24:41" x14ac:dyDescent="0.4">
      <c r="X7874"/>
      <c r="AO7874"/>
    </row>
    <row r="7875" spans="24:41" x14ac:dyDescent="0.4">
      <c r="X7875"/>
      <c r="AO7875"/>
    </row>
    <row r="7876" spans="24:41" x14ac:dyDescent="0.4">
      <c r="X7876"/>
      <c r="AO7876"/>
    </row>
    <row r="7877" spans="24:41" x14ac:dyDescent="0.4">
      <c r="X7877"/>
      <c r="AO7877"/>
    </row>
    <row r="7878" spans="24:41" x14ac:dyDescent="0.4">
      <c r="X7878"/>
      <c r="AO7878"/>
    </row>
    <row r="7879" spans="24:41" x14ac:dyDescent="0.4">
      <c r="X7879"/>
      <c r="AO7879"/>
    </row>
    <row r="7880" spans="24:41" x14ac:dyDescent="0.4">
      <c r="X7880"/>
      <c r="AO7880"/>
    </row>
    <row r="7881" spans="24:41" x14ac:dyDescent="0.4">
      <c r="X7881"/>
      <c r="AO7881"/>
    </row>
    <row r="7882" spans="24:41" x14ac:dyDescent="0.4">
      <c r="X7882"/>
      <c r="AO7882"/>
    </row>
    <row r="7883" spans="24:41" x14ac:dyDescent="0.4">
      <c r="X7883"/>
      <c r="AO7883"/>
    </row>
    <row r="7884" spans="24:41" x14ac:dyDescent="0.4">
      <c r="X7884"/>
      <c r="AO7884"/>
    </row>
    <row r="7885" spans="24:41" x14ac:dyDescent="0.4">
      <c r="X7885"/>
      <c r="AO7885"/>
    </row>
    <row r="7886" spans="24:41" x14ac:dyDescent="0.4">
      <c r="X7886"/>
      <c r="AO7886"/>
    </row>
    <row r="7887" spans="24:41" x14ac:dyDescent="0.4">
      <c r="X7887"/>
      <c r="AO7887"/>
    </row>
    <row r="7888" spans="24:41" x14ac:dyDescent="0.4">
      <c r="X7888"/>
      <c r="AO7888"/>
    </row>
    <row r="7889" spans="24:41" x14ac:dyDescent="0.4">
      <c r="X7889"/>
      <c r="AO7889"/>
    </row>
    <row r="7890" spans="24:41" x14ac:dyDescent="0.4">
      <c r="X7890"/>
      <c r="AO7890"/>
    </row>
    <row r="7891" spans="24:41" x14ac:dyDescent="0.4">
      <c r="X7891"/>
      <c r="AO7891"/>
    </row>
    <row r="7892" spans="24:41" x14ac:dyDescent="0.4">
      <c r="X7892"/>
      <c r="AO7892"/>
    </row>
    <row r="7893" spans="24:41" x14ac:dyDescent="0.4">
      <c r="X7893"/>
      <c r="AO7893"/>
    </row>
    <row r="7894" spans="24:41" x14ac:dyDescent="0.4">
      <c r="X7894"/>
      <c r="AO7894"/>
    </row>
    <row r="7895" spans="24:41" x14ac:dyDescent="0.4">
      <c r="X7895"/>
      <c r="AO7895"/>
    </row>
    <row r="7896" spans="24:41" x14ac:dyDescent="0.4">
      <c r="X7896"/>
      <c r="AO7896"/>
    </row>
    <row r="7897" spans="24:41" x14ac:dyDescent="0.4">
      <c r="X7897"/>
      <c r="AO7897"/>
    </row>
    <row r="7898" spans="24:41" x14ac:dyDescent="0.4">
      <c r="X7898"/>
      <c r="AO7898"/>
    </row>
    <row r="7899" spans="24:41" x14ac:dyDescent="0.4">
      <c r="X7899"/>
      <c r="AO7899"/>
    </row>
    <row r="7900" spans="24:41" x14ac:dyDescent="0.4">
      <c r="X7900"/>
      <c r="AO7900"/>
    </row>
    <row r="7901" spans="24:41" x14ac:dyDescent="0.4">
      <c r="X7901"/>
      <c r="AO7901"/>
    </row>
    <row r="7902" spans="24:41" x14ac:dyDescent="0.4">
      <c r="X7902"/>
      <c r="AO7902"/>
    </row>
    <row r="7903" spans="24:41" x14ac:dyDescent="0.4">
      <c r="X7903"/>
      <c r="AO7903"/>
    </row>
    <row r="7904" spans="24:41" x14ac:dyDescent="0.4">
      <c r="X7904"/>
      <c r="AO7904"/>
    </row>
    <row r="7905" spans="24:41" x14ac:dyDescent="0.4">
      <c r="X7905"/>
      <c r="AO7905"/>
    </row>
    <row r="7906" spans="24:41" x14ac:dyDescent="0.4">
      <c r="X7906"/>
      <c r="AO7906"/>
    </row>
    <row r="7907" spans="24:41" x14ac:dyDescent="0.4">
      <c r="X7907"/>
      <c r="AO7907"/>
    </row>
    <row r="7908" spans="24:41" x14ac:dyDescent="0.4">
      <c r="X7908"/>
      <c r="AO7908"/>
    </row>
    <row r="7909" spans="24:41" x14ac:dyDescent="0.4">
      <c r="X7909"/>
      <c r="AO7909"/>
    </row>
    <row r="7910" spans="24:41" x14ac:dyDescent="0.4">
      <c r="X7910"/>
      <c r="AO7910"/>
    </row>
    <row r="7911" spans="24:41" x14ac:dyDescent="0.4">
      <c r="X7911"/>
      <c r="AO7911"/>
    </row>
    <row r="7912" spans="24:41" x14ac:dyDescent="0.4">
      <c r="X7912"/>
      <c r="AO7912"/>
    </row>
    <row r="7913" spans="24:41" x14ac:dyDescent="0.4">
      <c r="X7913"/>
      <c r="AO7913"/>
    </row>
    <row r="7914" spans="24:41" x14ac:dyDescent="0.4">
      <c r="X7914"/>
      <c r="AO7914"/>
    </row>
    <row r="7915" spans="24:41" x14ac:dyDescent="0.4">
      <c r="X7915"/>
      <c r="AO7915"/>
    </row>
    <row r="7916" spans="24:41" x14ac:dyDescent="0.4">
      <c r="X7916"/>
      <c r="AO7916"/>
    </row>
    <row r="7917" spans="24:41" x14ac:dyDescent="0.4">
      <c r="X7917"/>
      <c r="AO7917"/>
    </row>
    <row r="7918" spans="24:41" x14ac:dyDescent="0.4">
      <c r="X7918"/>
      <c r="AO7918"/>
    </row>
    <row r="7919" spans="24:41" x14ac:dyDescent="0.4">
      <c r="X7919"/>
      <c r="AO7919"/>
    </row>
    <row r="7920" spans="24:41" x14ac:dyDescent="0.4">
      <c r="X7920"/>
      <c r="AO7920"/>
    </row>
    <row r="7921" spans="24:41" x14ac:dyDescent="0.4">
      <c r="X7921"/>
      <c r="AO7921"/>
    </row>
    <row r="7922" spans="24:41" x14ac:dyDescent="0.4">
      <c r="X7922"/>
      <c r="AO7922"/>
    </row>
    <row r="7923" spans="24:41" x14ac:dyDescent="0.4">
      <c r="X7923"/>
      <c r="AO7923"/>
    </row>
    <row r="7924" spans="24:41" x14ac:dyDescent="0.4">
      <c r="X7924"/>
      <c r="AO7924"/>
    </row>
    <row r="7925" spans="24:41" x14ac:dyDescent="0.4">
      <c r="X7925"/>
      <c r="AO7925"/>
    </row>
    <row r="7926" spans="24:41" x14ac:dyDescent="0.4">
      <c r="X7926"/>
      <c r="AO7926"/>
    </row>
    <row r="7927" spans="24:41" x14ac:dyDescent="0.4">
      <c r="X7927"/>
      <c r="AO7927"/>
    </row>
    <row r="7928" spans="24:41" x14ac:dyDescent="0.4">
      <c r="X7928"/>
      <c r="AO7928"/>
    </row>
    <row r="7929" spans="24:41" x14ac:dyDescent="0.4">
      <c r="X7929"/>
      <c r="AO7929"/>
    </row>
    <row r="7930" spans="24:41" x14ac:dyDescent="0.4">
      <c r="X7930"/>
      <c r="AO7930"/>
    </row>
    <row r="7931" spans="24:41" x14ac:dyDescent="0.4">
      <c r="X7931"/>
      <c r="AO7931"/>
    </row>
    <row r="7932" spans="24:41" x14ac:dyDescent="0.4">
      <c r="X7932"/>
      <c r="AO7932"/>
    </row>
    <row r="7933" spans="24:41" x14ac:dyDescent="0.4">
      <c r="X7933"/>
      <c r="AO7933"/>
    </row>
    <row r="7934" spans="24:41" x14ac:dyDescent="0.4">
      <c r="X7934"/>
      <c r="AO7934"/>
    </row>
    <row r="7935" spans="24:41" x14ac:dyDescent="0.4">
      <c r="X7935"/>
      <c r="AO7935"/>
    </row>
    <row r="7936" spans="24:41" x14ac:dyDescent="0.4">
      <c r="X7936"/>
      <c r="AO7936"/>
    </row>
    <row r="7937" spans="24:41" x14ac:dyDescent="0.4">
      <c r="X7937"/>
      <c r="AO7937"/>
    </row>
    <row r="7938" spans="24:41" x14ac:dyDescent="0.4">
      <c r="X7938"/>
      <c r="AO7938"/>
    </row>
    <row r="7939" spans="24:41" x14ac:dyDescent="0.4">
      <c r="X7939"/>
      <c r="AO7939"/>
    </row>
    <row r="7940" spans="24:41" x14ac:dyDescent="0.4">
      <c r="X7940"/>
      <c r="AO7940"/>
    </row>
    <row r="7941" spans="24:41" x14ac:dyDescent="0.4">
      <c r="X7941"/>
      <c r="AO7941"/>
    </row>
    <row r="7942" spans="24:41" x14ac:dyDescent="0.4">
      <c r="X7942"/>
      <c r="AO7942"/>
    </row>
    <row r="7943" spans="24:41" x14ac:dyDescent="0.4">
      <c r="X7943"/>
      <c r="AO7943"/>
    </row>
    <row r="7944" spans="24:41" x14ac:dyDescent="0.4">
      <c r="X7944"/>
      <c r="AO7944"/>
    </row>
    <row r="7945" spans="24:41" x14ac:dyDescent="0.4">
      <c r="X7945"/>
      <c r="AO7945"/>
    </row>
    <row r="7946" spans="24:41" x14ac:dyDescent="0.4">
      <c r="X7946"/>
      <c r="AO7946"/>
    </row>
    <row r="7947" spans="24:41" x14ac:dyDescent="0.4">
      <c r="X7947"/>
      <c r="AO7947"/>
    </row>
    <row r="7948" spans="24:41" x14ac:dyDescent="0.4">
      <c r="X7948"/>
      <c r="AO7948"/>
    </row>
    <row r="7949" spans="24:41" x14ac:dyDescent="0.4">
      <c r="X7949"/>
      <c r="AO7949"/>
    </row>
    <row r="7950" spans="24:41" x14ac:dyDescent="0.4">
      <c r="X7950"/>
      <c r="AO7950"/>
    </row>
    <row r="7951" spans="24:41" x14ac:dyDescent="0.4">
      <c r="X7951"/>
      <c r="AO7951"/>
    </row>
    <row r="7952" spans="24:41" x14ac:dyDescent="0.4">
      <c r="X7952"/>
      <c r="AO7952"/>
    </row>
    <row r="7953" spans="24:41" x14ac:dyDescent="0.4">
      <c r="X7953"/>
      <c r="AO7953"/>
    </row>
    <row r="7954" spans="24:41" x14ac:dyDescent="0.4">
      <c r="X7954"/>
      <c r="AO7954"/>
    </row>
    <row r="7955" spans="24:41" x14ac:dyDescent="0.4">
      <c r="X7955"/>
      <c r="AO7955"/>
    </row>
    <row r="7956" spans="24:41" x14ac:dyDescent="0.4">
      <c r="X7956"/>
      <c r="AO7956"/>
    </row>
    <row r="7957" spans="24:41" x14ac:dyDescent="0.4">
      <c r="X7957"/>
      <c r="AO7957"/>
    </row>
    <row r="7958" spans="24:41" x14ac:dyDescent="0.4">
      <c r="X7958"/>
      <c r="AO7958"/>
    </row>
    <row r="7959" spans="24:41" x14ac:dyDescent="0.4">
      <c r="X7959"/>
      <c r="AO7959"/>
    </row>
    <row r="7960" spans="24:41" x14ac:dyDescent="0.4">
      <c r="X7960"/>
      <c r="AO7960"/>
    </row>
    <row r="7961" spans="24:41" x14ac:dyDescent="0.4">
      <c r="X7961"/>
      <c r="AO7961"/>
    </row>
    <row r="7962" spans="24:41" x14ac:dyDescent="0.4">
      <c r="X7962"/>
      <c r="AO7962"/>
    </row>
    <row r="7963" spans="24:41" x14ac:dyDescent="0.4">
      <c r="X7963"/>
      <c r="AO7963"/>
    </row>
    <row r="7964" spans="24:41" x14ac:dyDescent="0.4">
      <c r="X7964"/>
      <c r="AO7964"/>
    </row>
    <row r="7965" spans="24:41" x14ac:dyDescent="0.4">
      <c r="X7965"/>
      <c r="AO7965"/>
    </row>
    <row r="7966" spans="24:41" x14ac:dyDescent="0.4">
      <c r="X7966"/>
      <c r="AO7966"/>
    </row>
    <row r="7967" spans="24:41" x14ac:dyDescent="0.4">
      <c r="X7967"/>
      <c r="AO7967"/>
    </row>
    <row r="7968" spans="24:41" x14ac:dyDescent="0.4">
      <c r="X7968"/>
      <c r="AO7968"/>
    </row>
    <row r="7969" spans="24:41" x14ac:dyDescent="0.4">
      <c r="X7969"/>
      <c r="AO7969"/>
    </row>
    <row r="7970" spans="24:41" x14ac:dyDescent="0.4">
      <c r="X7970"/>
      <c r="AO7970"/>
    </row>
    <row r="7971" spans="24:41" x14ac:dyDescent="0.4">
      <c r="X7971"/>
      <c r="AO7971"/>
    </row>
    <row r="7972" spans="24:41" x14ac:dyDescent="0.4">
      <c r="X7972"/>
      <c r="AO7972"/>
    </row>
    <row r="7973" spans="24:41" x14ac:dyDescent="0.4">
      <c r="X7973"/>
      <c r="AO7973"/>
    </row>
    <row r="7974" spans="24:41" x14ac:dyDescent="0.4">
      <c r="X7974"/>
      <c r="AO7974"/>
    </row>
    <row r="7975" spans="24:41" x14ac:dyDescent="0.4">
      <c r="X7975"/>
      <c r="AO7975"/>
    </row>
    <row r="7976" spans="24:41" x14ac:dyDescent="0.4">
      <c r="X7976"/>
      <c r="AO7976"/>
    </row>
    <row r="7977" spans="24:41" x14ac:dyDescent="0.4">
      <c r="X7977"/>
      <c r="AO7977"/>
    </row>
    <row r="7978" spans="24:41" x14ac:dyDescent="0.4">
      <c r="X7978"/>
      <c r="AO7978"/>
    </row>
    <row r="7979" spans="24:41" x14ac:dyDescent="0.4">
      <c r="X7979"/>
      <c r="AO7979"/>
    </row>
    <row r="7980" spans="24:41" x14ac:dyDescent="0.4">
      <c r="X7980"/>
      <c r="AO7980"/>
    </row>
    <row r="7981" spans="24:41" x14ac:dyDescent="0.4">
      <c r="X7981"/>
      <c r="AO7981"/>
    </row>
    <row r="7982" spans="24:41" x14ac:dyDescent="0.4">
      <c r="X7982"/>
      <c r="AO7982"/>
    </row>
    <row r="7983" spans="24:41" x14ac:dyDescent="0.4">
      <c r="X7983"/>
      <c r="AO7983"/>
    </row>
    <row r="7984" spans="24:41" x14ac:dyDescent="0.4">
      <c r="X7984"/>
      <c r="AO7984"/>
    </row>
    <row r="7985" spans="24:41" x14ac:dyDescent="0.4">
      <c r="X7985"/>
      <c r="AO7985"/>
    </row>
    <row r="7986" spans="24:41" x14ac:dyDescent="0.4">
      <c r="X7986"/>
      <c r="AO7986"/>
    </row>
    <row r="7987" spans="24:41" x14ac:dyDescent="0.4">
      <c r="X7987"/>
      <c r="AO7987"/>
    </row>
    <row r="7988" spans="24:41" x14ac:dyDescent="0.4">
      <c r="X7988"/>
      <c r="AO7988"/>
    </row>
    <row r="7989" spans="24:41" x14ac:dyDescent="0.4">
      <c r="X7989"/>
      <c r="AO7989"/>
    </row>
    <row r="7990" spans="24:41" x14ac:dyDescent="0.4">
      <c r="X7990"/>
      <c r="AO7990"/>
    </row>
    <row r="7991" spans="24:41" x14ac:dyDescent="0.4">
      <c r="X7991"/>
      <c r="AO7991"/>
    </row>
    <row r="7992" spans="24:41" x14ac:dyDescent="0.4">
      <c r="X7992"/>
      <c r="AO7992"/>
    </row>
    <row r="7993" spans="24:41" x14ac:dyDescent="0.4">
      <c r="X7993"/>
      <c r="AO7993"/>
    </row>
    <row r="7994" spans="24:41" x14ac:dyDescent="0.4">
      <c r="X7994"/>
      <c r="AO7994"/>
    </row>
    <row r="7995" spans="24:41" x14ac:dyDescent="0.4">
      <c r="X7995"/>
      <c r="AO7995"/>
    </row>
    <row r="7996" spans="24:41" x14ac:dyDescent="0.4">
      <c r="X7996"/>
      <c r="AO7996"/>
    </row>
    <row r="7997" spans="24:41" x14ac:dyDescent="0.4">
      <c r="X7997"/>
      <c r="AO7997"/>
    </row>
    <row r="7998" spans="24:41" x14ac:dyDescent="0.4">
      <c r="X7998"/>
      <c r="AO7998"/>
    </row>
    <row r="7999" spans="24:41" x14ac:dyDescent="0.4">
      <c r="X7999"/>
      <c r="AO7999"/>
    </row>
    <row r="8000" spans="24:41" x14ac:dyDescent="0.4">
      <c r="X8000"/>
      <c r="AO8000"/>
    </row>
    <row r="8001" spans="24:41" x14ac:dyDescent="0.4">
      <c r="X8001"/>
      <c r="AO8001"/>
    </row>
    <row r="8002" spans="24:41" x14ac:dyDescent="0.4">
      <c r="X8002"/>
      <c r="AO8002"/>
    </row>
    <row r="8003" spans="24:41" x14ac:dyDescent="0.4">
      <c r="X8003"/>
      <c r="AO8003"/>
    </row>
    <row r="8004" spans="24:41" x14ac:dyDescent="0.4">
      <c r="X8004"/>
      <c r="AO8004"/>
    </row>
    <row r="8005" spans="24:41" x14ac:dyDescent="0.4">
      <c r="X8005"/>
      <c r="AO8005"/>
    </row>
    <row r="8006" spans="24:41" x14ac:dyDescent="0.4">
      <c r="X8006"/>
      <c r="AO8006"/>
    </row>
    <row r="8007" spans="24:41" x14ac:dyDescent="0.4">
      <c r="X8007"/>
      <c r="AO8007"/>
    </row>
    <row r="8008" spans="24:41" x14ac:dyDescent="0.4">
      <c r="X8008"/>
      <c r="AO8008"/>
    </row>
    <row r="8009" spans="24:41" x14ac:dyDescent="0.4">
      <c r="X8009"/>
      <c r="AO8009"/>
    </row>
    <row r="8010" spans="24:41" x14ac:dyDescent="0.4">
      <c r="X8010"/>
      <c r="AO8010"/>
    </row>
    <row r="8011" spans="24:41" x14ac:dyDescent="0.4">
      <c r="X8011"/>
      <c r="AO8011"/>
    </row>
    <row r="8012" spans="24:41" x14ac:dyDescent="0.4">
      <c r="X8012"/>
      <c r="AO8012"/>
    </row>
    <row r="8013" spans="24:41" x14ac:dyDescent="0.4">
      <c r="X8013"/>
      <c r="AO8013"/>
    </row>
    <row r="8014" spans="24:41" x14ac:dyDescent="0.4">
      <c r="X8014"/>
      <c r="AO8014"/>
    </row>
    <row r="8015" spans="24:41" x14ac:dyDescent="0.4">
      <c r="X8015"/>
      <c r="AO8015"/>
    </row>
    <row r="8016" spans="24:41" x14ac:dyDescent="0.4">
      <c r="X8016"/>
      <c r="AO8016"/>
    </row>
    <row r="8017" spans="24:41" x14ac:dyDescent="0.4">
      <c r="X8017"/>
      <c r="AO8017"/>
    </row>
    <row r="8018" spans="24:41" x14ac:dyDescent="0.4">
      <c r="X8018"/>
      <c r="AO8018"/>
    </row>
    <row r="8019" spans="24:41" x14ac:dyDescent="0.4">
      <c r="X8019"/>
      <c r="AO8019"/>
    </row>
    <row r="8020" spans="24:41" x14ac:dyDescent="0.4">
      <c r="X8020"/>
      <c r="AO8020"/>
    </row>
    <row r="8021" spans="24:41" x14ac:dyDescent="0.4">
      <c r="X8021"/>
      <c r="AO8021"/>
    </row>
    <row r="8022" spans="24:41" x14ac:dyDescent="0.4">
      <c r="X8022"/>
      <c r="AO8022"/>
    </row>
    <row r="8023" spans="24:41" x14ac:dyDescent="0.4">
      <c r="X8023"/>
      <c r="AO8023"/>
    </row>
    <row r="8024" spans="24:41" x14ac:dyDescent="0.4">
      <c r="X8024"/>
      <c r="AO8024"/>
    </row>
    <row r="8025" spans="24:41" x14ac:dyDescent="0.4">
      <c r="X8025"/>
      <c r="AO8025"/>
    </row>
    <row r="8026" spans="24:41" x14ac:dyDescent="0.4">
      <c r="X8026"/>
      <c r="AO8026"/>
    </row>
    <row r="8027" spans="24:41" x14ac:dyDescent="0.4">
      <c r="X8027"/>
      <c r="AO8027"/>
    </row>
    <row r="8028" spans="24:41" x14ac:dyDescent="0.4">
      <c r="X8028"/>
      <c r="AO8028"/>
    </row>
    <row r="8029" spans="24:41" x14ac:dyDescent="0.4">
      <c r="X8029"/>
      <c r="AO8029"/>
    </row>
    <row r="8030" spans="24:41" x14ac:dyDescent="0.4">
      <c r="X8030"/>
      <c r="AO8030"/>
    </row>
    <row r="8031" spans="24:41" x14ac:dyDescent="0.4">
      <c r="X8031"/>
      <c r="AO8031"/>
    </row>
    <row r="8032" spans="24:41" x14ac:dyDescent="0.4">
      <c r="X8032"/>
      <c r="AO8032"/>
    </row>
    <row r="8033" spans="24:41" x14ac:dyDescent="0.4">
      <c r="X8033"/>
      <c r="AO8033"/>
    </row>
    <row r="8034" spans="24:41" x14ac:dyDescent="0.4">
      <c r="X8034"/>
      <c r="AO8034"/>
    </row>
    <row r="8035" spans="24:41" x14ac:dyDescent="0.4">
      <c r="X8035"/>
      <c r="AO8035"/>
    </row>
    <row r="8036" spans="24:41" x14ac:dyDescent="0.4">
      <c r="X8036"/>
      <c r="AO8036"/>
    </row>
    <row r="8037" spans="24:41" x14ac:dyDescent="0.4">
      <c r="X8037"/>
      <c r="AO8037"/>
    </row>
    <row r="8038" spans="24:41" x14ac:dyDescent="0.4">
      <c r="X8038"/>
      <c r="AO8038"/>
    </row>
    <row r="8039" spans="24:41" x14ac:dyDescent="0.4">
      <c r="X8039"/>
      <c r="AO8039"/>
    </row>
    <row r="8040" spans="24:41" x14ac:dyDescent="0.4">
      <c r="X8040"/>
      <c r="AO8040"/>
    </row>
    <row r="8041" spans="24:41" x14ac:dyDescent="0.4">
      <c r="X8041"/>
      <c r="AO8041"/>
    </row>
    <row r="8042" spans="24:41" x14ac:dyDescent="0.4">
      <c r="X8042"/>
      <c r="AO8042"/>
    </row>
    <row r="8043" spans="24:41" x14ac:dyDescent="0.4">
      <c r="X8043"/>
      <c r="AO8043"/>
    </row>
    <row r="8044" spans="24:41" x14ac:dyDescent="0.4">
      <c r="X8044"/>
      <c r="AO8044"/>
    </row>
    <row r="8045" spans="24:41" x14ac:dyDescent="0.4">
      <c r="X8045"/>
      <c r="AO8045"/>
    </row>
    <row r="8046" spans="24:41" x14ac:dyDescent="0.4">
      <c r="X8046"/>
      <c r="AO8046"/>
    </row>
    <row r="8047" spans="24:41" x14ac:dyDescent="0.4">
      <c r="X8047"/>
      <c r="AO8047"/>
    </row>
    <row r="8048" spans="24:41" x14ac:dyDescent="0.4">
      <c r="X8048"/>
      <c r="AO8048"/>
    </row>
    <row r="8049" spans="24:41" x14ac:dyDescent="0.4">
      <c r="X8049"/>
      <c r="AO8049"/>
    </row>
    <row r="8050" spans="24:41" x14ac:dyDescent="0.4">
      <c r="X8050"/>
      <c r="AO8050"/>
    </row>
    <row r="8051" spans="24:41" x14ac:dyDescent="0.4">
      <c r="X8051"/>
      <c r="AO8051"/>
    </row>
    <row r="8052" spans="24:41" x14ac:dyDescent="0.4">
      <c r="X8052"/>
      <c r="AO8052"/>
    </row>
    <row r="8053" spans="24:41" x14ac:dyDescent="0.4">
      <c r="X8053"/>
      <c r="AO8053"/>
    </row>
    <row r="8054" spans="24:41" x14ac:dyDescent="0.4">
      <c r="X8054"/>
      <c r="AO8054"/>
    </row>
    <row r="8055" spans="24:41" x14ac:dyDescent="0.4">
      <c r="X8055"/>
      <c r="AO8055"/>
    </row>
    <row r="8056" spans="24:41" x14ac:dyDescent="0.4">
      <c r="X8056"/>
      <c r="AO8056"/>
    </row>
    <row r="8057" spans="24:41" x14ac:dyDescent="0.4">
      <c r="X8057"/>
      <c r="AO8057"/>
    </row>
    <row r="8058" spans="24:41" x14ac:dyDescent="0.4">
      <c r="X8058"/>
      <c r="AO8058"/>
    </row>
    <row r="8059" spans="24:41" x14ac:dyDescent="0.4">
      <c r="X8059"/>
      <c r="AO8059"/>
    </row>
    <row r="8060" spans="24:41" x14ac:dyDescent="0.4">
      <c r="X8060"/>
      <c r="AO8060"/>
    </row>
    <row r="8061" spans="24:41" x14ac:dyDescent="0.4">
      <c r="X8061"/>
      <c r="AO8061"/>
    </row>
    <row r="8062" spans="24:41" x14ac:dyDescent="0.4">
      <c r="X8062"/>
      <c r="AO8062"/>
    </row>
    <row r="8063" spans="24:41" x14ac:dyDescent="0.4">
      <c r="X8063"/>
      <c r="AO8063"/>
    </row>
    <row r="8064" spans="24:41" x14ac:dyDescent="0.4">
      <c r="X8064"/>
      <c r="AO8064"/>
    </row>
    <row r="8065" spans="24:41" x14ac:dyDescent="0.4">
      <c r="X8065"/>
      <c r="AO8065"/>
    </row>
    <row r="8066" spans="24:41" x14ac:dyDescent="0.4">
      <c r="X8066"/>
      <c r="AO8066"/>
    </row>
    <row r="8067" spans="24:41" x14ac:dyDescent="0.4">
      <c r="X8067"/>
      <c r="AO8067"/>
    </row>
    <row r="8068" spans="24:41" x14ac:dyDescent="0.4">
      <c r="X8068"/>
      <c r="AO8068"/>
    </row>
    <row r="8069" spans="24:41" x14ac:dyDescent="0.4">
      <c r="X8069"/>
      <c r="AO8069"/>
    </row>
    <row r="8070" spans="24:41" x14ac:dyDescent="0.4">
      <c r="X8070"/>
      <c r="AO8070"/>
    </row>
    <row r="8071" spans="24:41" x14ac:dyDescent="0.4">
      <c r="X8071"/>
      <c r="AO8071"/>
    </row>
    <row r="8072" spans="24:41" x14ac:dyDescent="0.4">
      <c r="X8072"/>
      <c r="AO8072"/>
    </row>
    <row r="8073" spans="24:41" x14ac:dyDescent="0.4">
      <c r="X8073"/>
      <c r="AO8073"/>
    </row>
    <row r="8074" spans="24:41" x14ac:dyDescent="0.4">
      <c r="X8074"/>
      <c r="AO8074"/>
    </row>
    <row r="8075" spans="24:41" x14ac:dyDescent="0.4">
      <c r="X8075"/>
      <c r="AO8075"/>
    </row>
    <row r="8076" spans="24:41" x14ac:dyDescent="0.4">
      <c r="X8076"/>
      <c r="AO8076"/>
    </row>
    <row r="8077" spans="24:41" x14ac:dyDescent="0.4">
      <c r="X8077"/>
      <c r="AO8077"/>
    </row>
    <row r="8078" spans="24:41" x14ac:dyDescent="0.4">
      <c r="X8078"/>
      <c r="AO8078"/>
    </row>
    <row r="8079" spans="24:41" x14ac:dyDescent="0.4">
      <c r="X8079"/>
      <c r="AO8079"/>
    </row>
    <row r="8080" spans="24:41" x14ac:dyDescent="0.4">
      <c r="X8080"/>
      <c r="AO8080"/>
    </row>
    <row r="8081" spans="24:41" x14ac:dyDescent="0.4">
      <c r="X8081"/>
      <c r="AO8081"/>
    </row>
    <row r="8082" spans="24:41" x14ac:dyDescent="0.4">
      <c r="X8082"/>
      <c r="AO8082"/>
    </row>
    <row r="8083" spans="24:41" x14ac:dyDescent="0.4">
      <c r="X8083"/>
      <c r="AO8083"/>
    </row>
    <row r="8084" spans="24:41" x14ac:dyDescent="0.4">
      <c r="X8084"/>
      <c r="AO8084"/>
    </row>
    <row r="8085" spans="24:41" x14ac:dyDescent="0.4">
      <c r="X8085"/>
      <c r="AO8085"/>
    </row>
    <row r="8086" spans="24:41" x14ac:dyDescent="0.4">
      <c r="X8086"/>
      <c r="AO8086"/>
    </row>
    <row r="8087" spans="24:41" x14ac:dyDescent="0.4">
      <c r="X8087"/>
      <c r="AO8087"/>
    </row>
    <row r="8088" spans="24:41" x14ac:dyDescent="0.4">
      <c r="X8088"/>
      <c r="AO8088"/>
    </row>
    <row r="8089" spans="24:41" x14ac:dyDescent="0.4">
      <c r="X8089"/>
      <c r="AO8089"/>
    </row>
    <row r="8090" spans="24:41" x14ac:dyDescent="0.4">
      <c r="X8090"/>
      <c r="AO8090"/>
    </row>
    <row r="8091" spans="24:41" x14ac:dyDescent="0.4">
      <c r="X8091"/>
      <c r="AO8091"/>
    </row>
    <row r="8092" spans="24:41" x14ac:dyDescent="0.4">
      <c r="X8092"/>
      <c r="AO8092"/>
    </row>
    <row r="8093" spans="24:41" x14ac:dyDescent="0.4">
      <c r="X8093"/>
      <c r="AO8093"/>
    </row>
    <row r="8094" spans="24:41" x14ac:dyDescent="0.4">
      <c r="X8094"/>
      <c r="AO8094"/>
    </row>
    <row r="8095" spans="24:41" x14ac:dyDescent="0.4">
      <c r="X8095"/>
      <c r="AO8095"/>
    </row>
    <row r="8096" spans="24:41" x14ac:dyDescent="0.4">
      <c r="X8096"/>
      <c r="AO8096"/>
    </row>
    <row r="8097" spans="24:41" x14ac:dyDescent="0.4">
      <c r="X8097"/>
      <c r="AO8097"/>
    </row>
    <row r="8098" spans="24:41" x14ac:dyDescent="0.4">
      <c r="X8098"/>
      <c r="AO8098"/>
    </row>
    <row r="8099" spans="24:41" x14ac:dyDescent="0.4">
      <c r="X8099"/>
      <c r="AO8099"/>
    </row>
    <row r="8100" spans="24:41" x14ac:dyDescent="0.4">
      <c r="X8100"/>
      <c r="AO8100"/>
    </row>
    <row r="8101" spans="24:41" x14ac:dyDescent="0.4">
      <c r="X8101"/>
      <c r="AO8101"/>
    </row>
    <row r="8102" spans="24:41" x14ac:dyDescent="0.4">
      <c r="X8102"/>
      <c r="AO8102"/>
    </row>
    <row r="8103" spans="24:41" x14ac:dyDescent="0.4">
      <c r="X8103"/>
      <c r="AO8103"/>
    </row>
    <row r="8104" spans="24:41" x14ac:dyDescent="0.4">
      <c r="X8104"/>
      <c r="AO8104"/>
    </row>
    <row r="8105" spans="24:41" x14ac:dyDescent="0.4">
      <c r="X8105"/>
      <c r="AO8105"/>
    </row>
    <row r="8106" spans="24:41" x14ac:dyDescent="0.4">
      <c r="X8106"/>
      <c r="AO8106"/>
    </row>
    <row r="8107" spans="24:41" x14ac:dyDescent="0.4">
      <c r="X8107"/>
      <c r="AO8107"/>
    </row>
    <row r="8108" spans="24:41" x14ac:dyDescent="0.4">
      <c r="X8108"/>
      <c r="AO8108"/>
    </row>
    <row r="8109" spans="24:41" x14ac:dyDescent="0.4">
      <c r="X8109"/>
      <c r="AO8109"/>
    </row>
    <row r="8110" spans="24:41" x14ac:dyDescent="0.4">
      <c r="X8110"/>
      <c r="AO8110"/>
    </row>
    <row r="8111" spans="24:41" x14ac:dyDescent="0.4">
      <c r="X8111"/>
      <c r="AO8111"/>
    </row>
    <row r="8112" spans="24:41" x14ac:dyDescent="0.4">
      <c r="X8112"/>
      <c r="AO8112"/>
    </row>
    <row r="8113" spans="24:41" x14ac:dyDescent="0.4">
      <c r="X8113"/>
      <c r="AO8113"/>
    </row>
    <row r="8114" spans="24:41" x14ac:dyDescent="0.4">
      <c r="X8114"/>
      <c r="AO8114"/>
    </row>
    <row r="8115" spans="24:41" x14ac:dyDescent="0.4">
      <c r="X8115"/>
      <c r="AO8115"/>
    </row>
    <row r="8116" spans="24:41" x14ac:dyDescent="0.4">
      <c r="X8116"/>
      <c r="AO8116"/>
    </row>
    <row r="8117" spans="24:41" x14ac:dyDescent="0.4">
      <c r="X8117"/>
      <c r="AO8117"/>
    </row>
    <row r="8118" spans="24:41" x14ac:dyDescent="0.4">
      <c r="X8118"/>
      <c r="AO8118"/>
    </row>
    <row r="8119" spans="24:41" x14ac:dyDescent="0.4">
      <c r="X8119"/>
      <c r="AO8119"/>
    </row>
    <row r="8120" spans="24:41" x14ac:dyDescent="0.4">
      <c r="X8120"/>
      <c r="AO8120"/>
    </row>
    <row r="8121" spans="24:41" x14ac:dyDescent="0.4">
      <c r="X8121"/>
      <c r="AO8121"/>
    </row>
    <row r="8122" spans="24:41" x14ac:dyDescent="0.4">
      <c r="X8122"/>
      <c r="AO8122"/>
    </row>
    <row r="8123" spans="24:41" x14ac:dyDescent="0.4">
      <c r="X8123"/>
      <c r="AO8123"/>
    </row>
    <row r="8124" spans="24:41" x14ac:dyDescent="0.4">
      <c r="X8124"/>
      <c r="AO8124"/>
    </row>
    <row r="8125" spans="24:41" x14ac:dyDescent="0.4">
      <c r="X8125"/>
      <c r="AO8125"/>
    </row>
    <row r="8126" spans="24:41" x14ac:dyDescent="0.4">
      <c r="X8126"/>
      <c r="AO8126"/>
    </row>
    <row r="8127" spans="24:41" x14ac:dyDescent="0.4">
      <c r="X8127"/>
      <c r="AO8127"/>
    </row>
    <row r="8128" spans="24:41" x14ac:dyDescent="0.4">
      <c r="X8128"/>
      <c r="AO8128"/>
    </row>
    <row r="8129" spans="24:41" x14ac:dyDescent="0.4">
      <c r="X8129"/>
      <c r="AO8129"/>
    </row>
    <row r="8130" spans="24:41" x14ac:dyDescent="0.4">
      <c r="X8130"/>
      <c r="AO8130"/>
    </row>
    <row r="8131" spans="24:41" x14ac:dyDescent="0.4">
      <c r="X8131"/>
      <c r="AO8131"/>
    </row>
    <row r="8132" spans="24:41" x14ac:dyDescent="0.4">
      <c r="X8132"/>
      <c r="AO8132"/>
    </row>
    <row r="8133" spans="24:41" x14ac:dyDescent="0.4">
      <c r="X8133"/>
      <c r="AO8133"/>
    </row>
    <row r="8134" spans="24:41" x14ac:dyDescent="0.4">
      <c r="X8134"/>
      <c r="AO8134"/>
    </row>
    <row r="8135" spans="24:41" x14ac:dyDescent="0.4">
      <c r="X8135"/>
      <c r="AO8135"/>
    </row>
    <row r="8136" spans="24:41" x14ac:dyDescent="0.4">
      <c r="X8136"/>
      <c r="AO8136"/>
    </row>
    <row r="8137" spans="24:41" x14ac:dyDescent="0.4">
      <c r="X8137"/>
      <c r="AO8137"/>
    </row>
    <row r="8138" spans="24:41" x14ac:dyDescent="0.4">
      <c r="X8138"/>
      <c r="AO8138"/>
    </row>
    <row r="8139" spans="24:41" x14ac:dyDescent="0.4">
      <c r="X8139"/>
      <c r="AO8139"/>
    </row>
    <row r="8140" spans="24:41" x14ac:dyDescent="0.4">
      <c r="X8140"/>
      <c r="AO8140"/>
    </row>
    <row r="8141" spans="24:41" x14ac:dyDescent="0.4">
      <c r="X8141"/>
      <c r="AO8141"/>
    </row>
    <row r="8142" spans="24:41" x14ac:dyDescent="0.4">
      <c r="X8142"/>
      <c r="AO8142"/>
    </row>
    <row r="8143" spans="24:41" x14ac:dyDescent="0.4">
      <c r="X8143"/>
      <c r="AO8143"/>
    </row>
    <row r="8144" spans="24:41" x14ac:dyDescent="0.4">
      <c r="X8144"/>
      <c r="AO8144"/>
    </row>
    <row r="8145" spans="24:41" x14ac:dyDescent="0.4">
      <c r="X8145"/>
      <c r="AO8145"/>
    </row>
    <row r="8146" spans="24:41" x14ac:dyDescent="0.4">
      <c r="X8146"/>
      <c r="AO8146"/>
    </row>
    <row r="8147" spans="24:41" x14ac:dyDescent="0.4">
      <c r="X8147"/>
      <c r="AO8147"/>
    </row>
    <row r="8148" spans="24:41" x14ac:dyDescent="0.4">
      <c r="X8148"/>
      <c r="AO8148"/>
    </row>
    <row r="8149" spans="24:41" x14ac:dyDescent="0.4">
      <c r="X8149"/>
      <c r="AO8149"/>
    </row>
    <row r="8150" spans="24:41" x14ac:dyDescent="0.4">
      <c r="X8150"/>
      <c r="AO8150"/>
    </row>
    <row r="8151" spans="24:41" x14ac:dyDescent="0.4">
      <c r="X8151"/>
      <c r="AO8151"/>
    </row>
    <row r="8152" spans="24:41" x14ac:dyDescent="0.4">
      <c r="X8152"/>
      <c r="AO8152"/>
    </row>
    <row r="8153" spans="24:41" x14ac:dyDescent="0.4">
      <c r="X8153"/>
      <c r="AO8153"/>
    </row>
    <row r="8154" spans="24:41" x14ac:dyDescent="0.4">
      <c r="X8154"/>
      <c r="AO8154"/>
    </row>
    <row r="8155" spans="24:41" x14ac:dyDescent="0.4">
      <c r="X8155"/>
      <c r="AO8155"/>
    </row>
    <row r="8156" spans="24:41" x14ac:dyDescent="0.4">
      <c r="X8156"/>
      <c r="AO8156"/>
    </row>
    <row r="8157" spans="24:41" x14ac:dyDescent="0.4">
      <c r="X8157"/>
      <c r="AO8157"/>
    </row>
    <row r="8158" spans="24:41" x14ac:dyDescent="0.4">
      <c r="X8158"/>
      <c r="AO8158"/>
    </row>
    <row r="8159" spans="24:41" x14ac:dyDescent="0.4">
      <c r="X8159"/>
      <c r="AO8159"/>
    </row>
    <row r="8160" spans="24:41" x14ac:dyDescent="0.4">
      <c r="X8160"/>
      <c r="AO8160"/>
    </row>
    <row r="8161" spans="24:41" x14ac:dyDescent="0.4">
      <c r="X8161"/>
      <c r="AO8161"/>
    </row>
    <row r="8162" spans="24:41" x14ac:dyDescent="0.4">
      <c r="X8162"/>
      <c r="AO8162"/>
    </row>
    <row r="8163" spans="24:41" x14ac:dyDescent="0.4">
      <c r="X8163"/>
      <c r="AO8163"/>
    </row>
    <row r="8164" spans="24:41" x14ac:dyDescent="0.4">
      <c r="X8164"/>
      <c r="AO8164"/>
    </row>
    <row r="8165" spans="24:41" x14ac:dyDescent="0.4">
      <c r="X8165"/>
      <c r="AO8165"/>
    </row>
    <row r="8166" spans="24:41" x14ac:dyDescent="0.4">
      <c r="X8166"/>
      <c r="AO8166"/>
    </row>
    <row r="8167" spans="24:41" x14ac:dyDescent="0.4">
      <c r="X8167"/>
      <c r="AO8167"/>
    </row>
    <row r="8168" spans="24:41" x14ac:dyDescent="0.4">
      <c r="X8168"/>
      <c r="AO8168"/>
    </row>
    <row r="8169" spans="24:41" x14ac:dyDescent="0.4">
      <c r="X8169"/>
      <c r="AO8169"/>
    </row>
    <row r="8170" spans="24:41" x14ac:dyDescent="0.4">
      <c r="X8170"/>
      <c r="AO8170"/>
    </row>
    <row r="8171" spans="24:41" x14ac:dyDescent="0.4">
      <c r="X8171"/>
      <c r="AO8171"/>
    </row>
    <row r="8172" spans="24:41" x14ac:dyDescent="0.4">
      <c r="X8172"/>
      <c r="AO8172"/>
    </row>
    <row r="8173" spans="24:41" x14ac:dyDescent="0.4">
      <c r="X8173"/>
      <c r="AO8173"/>
    </row>
    <row r="8174" spans="24:41" x14ac:dyDescent="0.4">
      <c r="X8174"/>
      <c r="AO8174"/>
    </row>
    <row r="8175" spans="24:41" x14ac:dyDescent="0.4">
      <c r="X8175"/>
      <c r="AO8175"/>
    </row>
    <row r="8176" spans="24:41" x14ac:dyDescent="0.4">
      <c r="X8176"/>
      <c r="AO8176"/>
    </row>
    <row r="8177" spans="24:41" x14ac:dyDescent="0.4">
      <c r="X8177"/>
      <c r="AO8177"/>
    </row>
    <row r="8178" spans="24:41" x14ac:dyDescent="0.4">
      <c r="X8178"/>
      <c r="AO8178"/>
    </row>
    <row r="8179" spans="24:41" x14ac:dyDescent="0.4">
      <c r="X8179"/>
      <c r="AO8179"/>
    </row>
    <row r="8180" spans="24:41" x14ac:dyDescent="0.4">
      <c r="X8180"/>
      <c r="AO8180"/>
    </row>
    <row r="8181" spans="24:41" x14ac:dyDescent="0.4">
      <c r="X8181"/>
      <c r="AO8181"/>
    </row>
    <row r="8182" spans="24:41" x14ac:dyDescent="0.4">
      <c r="X8182"/>
      <c r="AO8182"/>
    </row>
    <row r="8183" spans="24:41" x14ac:dyDescent="0.4">
      <c r="X8183"/>
      <c r="AO8183"/>
    </row>
    <row r="8184" spans="24:41" x14ac:dyDescent="0.4">
      <c r="X8184"/>
      <c r="AO8184"/>
    </row>
    <row r="8185" spans="24:41" x14ac:dyDescent="0.4">
      <c r="X8185"/>
      <c r="AO8185"/>
    </row>
    <row r="8186" spans="24:41" x14ac:dyDescent="0.4">
      <c r="X8186"/>
      <c r="AO8186"/>
    </row>
    <row r="8187" spans="24:41" x14ac:dyDescent="0.4">
      <c r="X8187"/>
      <c r="AO8187"/>
    </row>
    <row r="8188" spans="24:41" x14ac:dyDescent="0.4">
      <c r="X8188"/>
      <c r="AO8188"/>
    </row>
    <row r="8189" spans="24:41" x14ac:dyDescent="0.4">
      <c r="X8189"/>
      <c r="AO8189"/>
    </row>
    <row r="8190" spans="24:41" x14ac:dyDescent="0.4">
      <c r="X8190"/>
      <c r="AO8190"/>
    </row>
    <row r="8191" spans="24:41" x14ac:dyDescent="0.4">
      <c r="X8191"/>
      <c r="AO8191"/>
    </row>
    <row r="8192" spans="24:41" x14ac:dyDescent="0.4">
      <c r="X8192"/>
      <c r="AO8192"/>
    </row>
    <row r="8193" spans="24:41" x14ac:dyDescent="0.4">
      <c r="X8193"/>
      <c r="AO8193"/>
    </row>
    <row r="8194" spans="24:41" x14ac:dyDescent="0.4">
      <c r="X8194"/>
      <c r="AO8194"/>
    </row>
    <row r="8195" spans="24:41" x14ac:dyDescent="0.4">
      <c r="X8195"/>
      <c r="AO8195"/>
    </row>
    <row r="8196" spans="24:41" x14ac:dyDescent="0.4">
      <c r="X8196"/>
      <c r="AO8196"/>
    </row>
    <row r="8197" spans="24:41" x14ac:dyDescent="0.4">
      <c r="X8197"/>
      <c r="AO8197"/>
    </row>
    <row r="8198" spans="24:41" x14ac:dyDescent="0.4">
      <c r="X8198"/>
      <c r="AO8198"/>
    </row>
    <row r="8199" spans="24:41" x14ac:dyDescent="0.4">
      <c r="X8199"/>
      <c r="AO8199"/>
    </row>
    <row r="8200" spans="24:41" x14ac:dyDescent="0.4">
      <c r="X8200"/>
      <c r="AO8200"/>
    </row>
    <row r="8201" spans="24:41" x14ac:dyDescent="0.4">
      <c r="X8201"/>
      <c r="AO8201"/>
    </row>
    <row r="8202" spans="24:41" x14ac:dyDescent="0.4">
      <c r="X8202"/>
      <c r="AO8202"/>
    </row>
    <row r="8203" spans="24:41" x14ac:dyDescent="0.4">
      <c r="X8203"/>
      <c r="AO8203"/>
    </row>
    <row r="8204" spans="24:41" x14ac:dyDescent="0.4">
      <c r="X8204"/>
      <c r="AO8204"/>
    </row>
    <row r="8205" spans="24:41" x14ac:dyDescent="0.4">
      <c r="X8205"/>
      <c r="AO8205"/>
    </row>
    <row r="8206" spans="24:41" x14ac:dyDescent="0.4">
      <c r="X8206"/>
      <c r="AO8206"/>
    </row>
    <row r="8207" spans="24:41" x14ac:dyDescent="0.4">
      <c r="X8207"/>
      <c r="AO8207"/>
    </row>
    <row r="8208" spans="24:41" x14ac:dyDescent="0.4">
      <c r="X8208"/>
      <c r="AO8208"/>
    </row>
    <row r="8209" spans="24:41" x14ac:dyDescent="0.4">
      <c r="X8209"/>
      <c r="AO8209"/>
    </row>
    <row r="8210" spans="24:41" x14ac:dyDescent="0.4">
      <c r="X8210"/>
      <c r="AO8210"/>
    </row>
    <row r="8211" spans="24:41" x14ac:dyDescent="0.4">
      <c r="X8211"/>
      <c r="AO8211"/>
    </row>
    <row r="8212" spans="24:41" x14ac:dyDescent="0.4">
      <c r="X8212"/>
      <c r="AO8212"/>
    </row>
    <row r="8213" spans="24:41" x14ac:dyDescent="0.4">
      <c r="X8213"/>
      <c r="AO8213"/>
    </row>
    <row r="8214" spans="24:41" x14ac:dyDescent="0.4">
      <c r="X8214"/>
      <c r="AO8214"/>
    </row>
    <row r="8215" spans="24:41" x14ac:dyDescent="0.4">
      <c r="X8215"/>
      <c r="AO8215"/>
    </row>
    <row r="8216" spans="24:41" x14ac:dyDescent="0.4">
      <c r="X8216"/>
      <c r="AO8216"/>
    </row>
    <row r="8217" spans="24:41" x14ac:dyDescent="0.4">
      <c r="X8217"/>
      <c r="AO8217"/>
    </row>
    <row r="8218" spans="24:41" x14ac:dyDescent="0.4">
      <c r="X8218"/>
      <c r="AO8218"/>
    </row>
    <row r="8219" spans="24:41" x14ac:dyDescent="0.4">
      <c r="X8219"/>
      <c r="AO8219"/>
    </row>
    <row r="8220" spans="24:41" x14ac:dyDescent="0.4">
      <c r="X8220"/>
      <c r="AO8220"/>
    </row>
    <row r="8221" spans="24:41" x14ac:dyDescent="0.4">
      <c r="X8221"/>
      <c r="AO8221"/>
    </row>
    <row r="8222" spans="24:41" x14ac:dyDescent="0.4">
      <c r="X8222"/>
      <c r="AO8222"/>
    </row>
    <row r="8223" spans="24:41" x14ac:dyDescent="0.4">
      <c r="X8223"/>
      <c r="AO8223"/>
    </row>
    <row r="8224" spans="24:41" x14ac:dyDescent="0.4">
      <c r="X8224"/>
      <c r="AO8224"/>
    </row>
    <row r="8225" spans="24:41" x14ac:dyDescent="0.4">
      <c r="X8225"/>
      <c r="AO8225"/>
    </row>
    <row r="8226" spans="24:41" x14ac:dyDescent="0.4">
      <c r="X8226"/>
      <c r="AO8226"/>
    </row>
    <row r="8227" spans="24:41" x14ac:dyDescent="0.4">
      <c r="X8227"/>
      <c r="AO8227"/>
    </row>
    <row r="8228" spans="24:41" x14ac:dyDescent="0.4">
      <c r="X8228"/>
      <c r="AO8228"/>
    </row>
    <row r="8229" spans="24:41" x14ac:dyDescent="0.4">
      <c r="X8229"/>
      <c r="AO8229"/>
    </row>
    <row r="8230" spans="24:41" x14ac:dyDescent="0.4">
      <c r="X8230"/>
      <c r="AO8230"/>
    </row>
    <row r="8231" spans="24:41" x14ac:dyDescent="0.4">
      <c r="X8231"/>
      <c r="AO8231"/>
    </row>
    <row r="8232" spans="24:41" x14ac:dyDescent="0.4">
      <c r="X8232"/>
      <c r="AO8232"/>
    </row>
    <row r="8233" spans="24:41" x14ac:dyDescent="0.4">
      <c r="X8233"/>
      <c r="AO8233"/>
    </row>
    <row r="8234" spans="24:41" x14ac:dyDescent="0.4">
      <c r="X8234"/>
      <c r="AO8234"/>
    </row>
    <row r="8235" spans="24:41" x14ac:dyDescent="0.4">
      <c r="X8235"/>
      <c r="AO8235"/>
    </row>
    <row r="8236" spans="24:41" x14ac:dyDescent="0.4">
      <c r="X8236"/>
      <c r="AO8236"/>
    </row>
    <row r="8237" spans="24:41" x14ac:dyDescent="0.4">
      <c r="X8237"/>
      <c r="AO8237"/>
    </row>
    <row r="8238" spans="24:41" x14ac:dyDescent="0.4">
      <c r="X8238"/>
      <c r="AO8238"/>
    </row>
    <row r="8239" spans="24:41" x14ac:dyDescent="0.4">
      <c r="X8239"/>
      <c r="AO8239"/>
    </row>
    <row r="8240" spans="24:41" x14ac:dyDescent="0.4">
      <c r="X8240"/>
      <c r="AO8240"/>
    </row>
    <row r="8241" spans="24:41" x14ac:dyDescent="0.4">
      <c r="X8241"/>
      <c r="AO8241"/>
    </row>
    <row r="8242" spans="24:41" x14ac:dyDescent="0.4">
      <c r="X8242"/>
      <c r="AO8242"/>
    </row>
    <row r="8243" spans="24:41" x14ac:dyDescent="0.4">
      <c r="X8243"/>
      <c r="AO8243"/>
    </row>
    <row r="8244" spans="24:41" x14ac:dyDescent="0.4">
      <c r="X8244"/>
      <c r="AO8244"/>
    </row>
    <row r="8245" spans="24:41" x14ac:dyDescent="0.4">
      <c r="X8245"/>
      <c r="AO8245"/>
    </row>
    <row r="8246" spans="24:41" x14ac:dyDescent="0.4">
      <c r="X8246"/>
      <c r="AO8246"/>
    </row>
    <row r="8247" spans="24:41" x14ac:dyDescent="0.4">
      <c r="X8247"/>
      <c r="AO8247"/>
    </row>
    <row r="8248" spans="24:41" x14ac:dyDescent="0.4">
      <c r="X8248"/>
      <c r="AO8248"/>
    </row>
    <row r="8249" spans="24:41" x14ac:dyDescent="0.4">
      <c r="X8249"/>
      <c r="AO8249"/>
    </row>
    <row r="8250" spans="24:41" x14ac:dyDescent="0.4">
      <c r="X8250"/>
      <c r="AO8250"/>
    </row>
    <row r="8251" spans="24:41" x14ac:dyDescent="0.4">
      <c r="X8251"/>
      <c r="AO8251"/>
    </row>
    <row r="8252" spans="24:41" x14ac:dyDescent="0.4">
      <c r="X8252"/>
      <c r="AO8252"/>
    </row>
    <row r="8253" spans="24:41" x14ac:dyDescent="0.4">
      <c r="X8253"/>
      <c r="AO8253"/>
    </row>
    <row r="8254" spans="24:41" x14ac:dyDescent="0.4">
      <c r="X8254"/>
      <c r="AO8254"/>
    </row>
    <row r="8255" spans="24:41" x14ac:dyDescent="0.4">
      <c r="X8255"/>
      <c r="AO8255"/>
    </row>
    <row r="8256" spans="24:41" x14ac:dyDescent="0.4">
      <c r="X8256"/>
      <c r="AO8256"/>
    </row>
    <row r="8257" spans="24:41" x14ac:dyDescent="0.4">
      <c r="X8257"/>
      <c r="AO8257"/>
    </row>
    <row r="8258" spans="24:41" x14ac:dyDescent="0.4">
      <c r="X8258"/>
      <c r="AO8258"/>
    </row>
    <row r="8259" spans="24:41" x14ac:dyDescent="0.4">
      <c r="X8259"/>
      <c r="AO8259"/>
    </row>
    <row r="8260" spans="24:41" x14ac:dyDescent="0.4">
      <c r="X8260"/>
      <c r="AO8260"/>
    </row>
    <row r="8261" spans="24:41" x14ac:dyDescent="0.4">
      <c r="X8261"/>
      <c r="AO8261"/>
    </row>
    <row r="8262" spans="24:41" x14ac:dyDescent="0.4">
      <c r="X8262"/>
      <c r="AO8262"/>
    </row>
    <row r="8263" spans="24:41" x14ac:dyDescent="0.4">
      <c r="X8263"/>
      <c r="AO8263"/>
    </row>
    <row r="8264" spans="24:41" x14ac:dyDescent="0.4">
      <c r="X8264"/>
      <c r="AO8264"/>
    </row>
    <row r="8265" spans="24:41" x14ac:dyDescent="0.4">
      <c r="X8265"/>
      <c r="AO8265"/>
    </row>
    <row r="8266" spans="24:41" x14ac:dyDescent="0.4">
      <c r="X8266"/>
      <c r="AO8266"/>
    </row>
    <row r="8267" spans="24:41" x14ac:dyDescent="0.4">
      <c r="X8267"/>
      <c r="AO8267"/>
    </row>
    <row r="8268" spans="24:41" x14ac:dyDescent="0.4">
      <c r="X8268"/>
      <c r="AO8268"/>
    </row>
    <row r="8269" spans="24:41" x14ac:dyDescent="0.4">
      <c r="X8269"/>
      <c r="AO8269"/>
    </row>
    <row r="8270" spans="24:41" x14ac:dyDescent="0.4">
      <c r="X8270"/>
      <c r="AO8270"/>
    </row>
    <row r="8271" spans="24:41" x14ac:dyDescent="0.4">
      <c r="X8271"/>
      <c r="AO8271"/>
    </row>
    <row r="8272" spans="24:41" x14ac:dyDescent="0.4">
      <c r="X8272"/>
      <c r="AO8272"/>
    </row>
    <row r="8273" spans="24:41" x14ac:dyDescent="0.4">
      <c r="X8273"/>
      <c r="AO8273"/>
    </row>
    <row r="8274" spans="24:41" x14ac:dyDescent="0.4">
      <c r="X8274"/>
      <c r="AO8274"/>
    </row>
    <row r="8275" spans="24:41" x14ac:dyDescent="0.4">
      <c r="X8275"/>
      <c r="AO8275"/>
    </row>
    <row r="8276" spans="24:41" x14ac:dyDescent="0.4">
      <c r="X8276"/>
      <c r="AO8276"/>
    </row>
    <row r="8277" spans="24:41" x14ac:dyDescent="0.4">
      <c r="X8277"/>
      <c r="AO8277"/>
    </row>
    <row r="8278" spans="24:41" x14ac:dyDescent="0.4">
      <c r="X8278"/>
      <c r="AO8278"/>
    </row>
    <row r="8279" spans="24:41" x14ac:dyDescent="0.4">
      <c r="X8279"/>
      <c r="AO8279"/>
    </row>
    <row r="8280" spans="24:41" x14ac:dyDescent="0.4">
      <c r="X8280"/>
      <c r="AO8280"/>
    </row>
    <row r="8281" spans="24:41" x14ac:dyDescent="0.4">
      <c r="X8281"/>
      <c r="AO8281"/>
    </row>
    <row r="8282" spans="24:41" x14ac:dyDescent="0.4">
      <c r="X8282"/>
      <c r="AO8282"/>
    </row>
    <row r="8283" spans="24:41" x14ac:dyDescent="0.4">
      <c r="X8283"/>
      <c r="AO8283"/>
    </row>
    <row r="8284" spans="24:41" x14ac:dyDescent="0.4">
      <c r="X8284"/>
      <c r="AO8284"/>
    </row>
    <row r="8285" spans="24:41" x14ac:dyDescent="0.4">
      <c r="X8285"/>
      <c r="AO8285"/>
    </row>
    <row r="8286" spans="24:41" x14ac:dyDescent="0.4">
      <c r="X8286"/>
      <c r="AO8286"/>
    </row>
    <row r="8287" spans="24:41" x14ac:dyDescent="0.4">
      <c r="X8287"/>
      <c r="AO8287"/>
    </row>
    <row r="8288" spans="24:41" x14ac:dyDescent="0.4">
      <c r="X8288"/>
      <c r="AO8288"/>
    </row>
    <row r="8289" spans="24:41" x14ac:dyDescent="0.4">
      <c r="X8289"/>
      <c r="AO8289"/>
    </row>
    <row r="8290" spans="24:41" x14ac:dyDescent="0.4">
      <c r="X8290"/>
      <c r="AO8290"/>
    </row>
    <row r="8291" spans="24:41" x14ac:dyDescent="0.4">
      <c r="X8291"/>
      <c r="AO8291"/>
    </row>
    <row r="8292" spans="24:41" x14ac:dyDescent="0.4">
      <c r="X8292"/>
      <c r="AO8292"/>
    </row>
    <row r="8293" spans="24:41" x14ac:dyDescent="0.4">
      <c r="X8293"/>
      <c r="AO8293"/>
    </row>
    <row r="8294" spans="24:41" x14ac:dyDescent="0.4">
      <c r="X8294"/>
      <c r="AO8294"/>
    </row>
    <row r="8295" spans="24:41" x14ac:dyDescent="0.4">
      <c r="X8295"/>
      <c r="AO8295"/>
    </row>
    <row r="8296" spans="24:41" x14ac:dyDescent="0.4">
      <c r="X8296"/>
      <c r="AO8296"/>
    </row>
    <row r="8297" spans="24:41" x14ac:dyDescent="0.4">
      <c r="X8297"/>
      <c r="AO8297"/>
    </row>
    <row r="8298" spans="24:41" x14ac:dyDescent="0.4">
      <c r="X8298"/>
      <c r="AO8298"/>
    </row>
    <row r="8299" spans="24:41" x14ac:dyDescent="0.4">
      <c r="X8299"/>
      <c r="AO8299"/>
    </row>
    <row r="8300" spans="24:41" x14ac:dyDescent="0.4">
      <c r="X8300"/>
      <c r="AO8300"/>
    </row>
    <row r="8301" spans="24:41" x14ac:dyDescent="0.4">
      <c r="X8301"/>
      <c r="AO8301"/>
    </row>
    <row r="8302" spans="24:41" x14ac:dyDescent="0.4">
      <c r="X8302"/>
      <c r="AO8302"/>
    </row>
    <row r="8303" spans="24:41" x14ac:dyDescent="0.4">
      <c r="X8303"/>
      <c r="AO8303"/>
    </row>
    <row r="8304" spans="24:41" x14ac:dyDescent="0.4">
      <c r="X8304"/>
      <c r="AO8304"/>
    </row>
    <row r="8305" spans="24:41" x14ac:dyDescent="0.4">
      <c r="X8305"/>
      <c r="AO8305"/>
    </row>
    <row r="8306" spans="24:41" x14ac:dyDescent="0.4">
      <c r="X8306"/>
      <c r="AO8306"/>
    </row>
    <row r="8307" spans="24:41" x14ac:dyDescent="0.4">
      <c r="X8307"/>
      <c r="AO8307"/>
    </row>
    <row r="8308" spans="24:41" x14ac:dyDescent="0.4">
      <c r="X8308"/>
      <c r="AO8308"/>
    </row>
    <row r="8309" spans="24:41" x14ac:dyDescent="0.4">
      <c r="X8309"/>
      <c r="AO8309"/>
    </row>
    <row r="8310" spans="24:41" x14ac:dyDescent="0.4">
      <c r="X8310"/>
      <c r="AO8310"/>
    </row>
    <row r="8311" spans="24:41" x14ac:dyDescent="0.4">
      <c r="X8311"/>
      <c r="AO8311"/>
    </row>
    <row r="8312" spans="24:41" x14ac:dyDescent="0.4">
      <c r="X8312"/>
      <c r="AO8312"/>
    </row>
    <row r="8313" spans="24:41" x14ac:dyDescent="0.4">
      <c r="X8313"/>
      <c r="AO8313"/>
    </row>
    <row r="8314" spans="24:41" x14ac:dyDescent="0.4">
      <c r="X8314"/>
      <c r="AO8314"/>
    </row>
    <row r="8315" spans="24:41" x14ac:dyDescent="0.4">
      <c r="X8315"/>
      <c r="AO8315"/>
    </row>
    <row r="8316" spans="24:41" x14ac:dyDescent="0.4">
      <c r="X8316"/>
      <c r="AO8316"/>
    </row>
    <row r="8317" spans="24:41" x14ac:dyDescent="0.4">
      <c r="X8317"/>
      <c r="AO8317"/>
    </row>
    <row r="8318" spans="24:41" x14ac:dyDescent="0.4">
      <c r="X8318"/>
      <c r="AO8318"/>
    </row>
    <row r="8319" spans="24:41" x14ac:dyDescent="0.4">
      <c r="X8319"/>
      <c r="AO8319"/>
    </row>
    <row r="8320" spans="24:41" x14ac:dyDescent="0.4">
      <c r="X8320"/>
      <c r="AO8320"/>
    </row>
    <row r="8321" spans="24:41" x14ac:dyDescent="0.4">
      <c r="X8321"/>
      <c r="AO8321"/>
    </row>
    <row r="8322" spans="24:41" x14ac:dyDescent="0.4">
      <c r="X8322"/>
      <c r="AO8322"/>
    </row>
    <row r="8323" spans="24:41" x14ac:dyDescent="0.4">
      <c r="X8323"/>
      <c r="AO8323"/>
    </row>
    <row r="8324" spans="24:41" x14ac:dyDescent="0.4">
      <c r="X8324"/>
      <c r="AO8324"/>
    </row>
    <row r="8325" spans="24:41" x14ac:dyDescent="0.4">
      <c r="X8325"/>
      <c r="AO8325"/>
    </row>
    <row r="8326" spans="24:41" x14ac:dyDescent="0.4">
      <c r="X8326"/>
      <c r="AO8326"/>
    </row>
    <row r="8327" spans="24:41" x14ac:dyDescent="0.4">
      <c r="X8327"/>
      <c r="AO8327"/>
    </row>
    <row r="8328" spans="24:41" x14ac:dyDescent="0.4">
      <c r="X8328"/>
      <c r="AO8328"/>
    </row>
    <row r="8329" spans="24:41" x14ac:dyDescent="0.4">
      <c r="X8329"/>
      <c r="AO8329"/>
    </row>
    <row r="8330" spans="24:41" x14ac:dyDescent="0.4">
      <c r="X8330"/>
      <c r="AO8330"/>
    </row>
    <row r="8331" spans="24:41" x14ac:dyDescent="0.4">
      <c r="X8331"/>
      <c r="AO8331"/>
    </row>
    <row r="8332" spans="24:41" x14ac:dyDescent="0.4">
      <c r="X8332"/>
      <c r="AO8332"/>
    </row>
    <row r="8333" spans="24:41" x14ac:dyDescent="0.4">
      <c r="X8333"/>
      <c r="AO8333"/>
    </row>
    <row r="8334" spans="24:41" x14ac:dyDescent="0.4">
      <c r="X8334"/>
      <c r="AO8334"/>
    </row>
    <row r="8335" spans="24:41" x14ac:dyDescent="0.4">
      <c r="X8335"/>
      <c r="AO8335"/>
    </row>
    <row r="8336" spans="24:41" x14ac:dyDescent="0.4">
      <c r="X8336"/>
      <c r="AO8336"/>
    </row>
    <row r="8337" spans="24:41" x14ac:dyDescent="0.4">
      <c r="X8337"/>
      <c r="AO8337"/>
    </row>
    <row r="8338" spans="24:41" x14ac:dyDescent="0.4">
      <c r="X8338"/>
      <c r="AO8338"/>
    </row>
    <row r="8339" spans="24:41" x14ac:dyDescent="0.4">
      <c r="X8339"/>
      <c r="AO8339"/>
    </row>
    <row r="8340" spans="24:41" x14ac:dyDescent="0.4">
      <c r="X8340"/>
      <c r="AO8340"/>
    </row>
    <row r="8341" spans="24:41" x14ac:dyDescent="0.4">
      <c r="X8341"/>
      <c r="AO8341"/>
    </row>
    <row r="8342" spans="24:41" x14ac:dyDescent="0.4">
      <c r="X8342"/>
      <c r="AO8342"/>
    </row>
    <row r="8343" spans="24:41" x14ac:dyDescent="0.4">
      <c r="X8343"/>
      <c r="AO8343"/>
    </row>
    <row r="8344" spans="24:41" x14ac:dyDescent="0.4">
      <c r="X8344"/>
      <c r="AO8344"/>
    </row>
    <row r="8345" spans="24:41" x14ac:dyDescent="0.4">
      <c r="X8345"/>
      <c r="AO8345"/>
    </row>
    <row r="8346" spans="24:41" x14ac:dyDescent="0.4">
      <c r="X8346"/>
      <c r="AO8346"/>
    </row>
    <row r="8347" spans="24:41" x14ac:dyDescent="0.4">
      <c r="X8347"/>
      <c r="AO8347"/>
    </row>
    <row r="8348" spans="24:41" x14ac:dyDescent="0.4">
      <c r="X8348"/>
      <c r="AO8348"/>
    </row>
    <row r="8349" spans="24:41" x14ac:dyDescent="0.4">
      <c r="X8349"/>
      <c r="AO8349"/>
    </row>
    <row r="8350" spans="24:41" x14ac:dyDescent="0.4">
      <c r="X8350"/>
      <c r="AO8350"/>
    </row>
    <row r="8351" spans="24:41" x14ac:dyDescent="0.4">
      <c r="X8351"/>
      <c r="AO8351"/>
    </row>
    <row r="8352" spans="24:41" x14ac:dyDescent="0.4">
      <c r="X8352"/>
      <c r="AO8352"/>
    </row>
    <row r="8353" spans="24:41" x14ac:dyDescent="0.4">
      <c r="X8353"/>
      <c r="AO8353"/>
    </row>
    <row r="8354" spans="24:41" x14ac:dyDescent="0.4">
      <c r="X8354"/>
      <c r="AO8354"/>
    </row>
    <row r="8355" spans="24:41" x14ac:dyDescent="0.4">
      <c r="X8355"/>
      <c r="AO8355"/>
    </row>
    <row r="8356" spans="24:41" x14ac:dyDescent="0.4">
      <c r="X8356"/>
      <c r="AO8356"/>
    </row>
    <row r="8357" spans="24:41" x14ac:dyDescent="0.4">
      <c r="X8357"/>
      <c r="AO8357"/>
    </row>
    <row r="8358" spans="24:41" x14ac:dyDescent="0.4">
      <c r="X8358"/>
      <c r="AO8358"/>
    </row>
    <row r="8359" spans="24:41" x14ac:dyDescent="0.4">
      <c r="X8359"/>
      <c r="AO8359"/>
    </row>
    <row r="8360" spans="24:41" x14ac:dyDescent="0.4">
      <c r="X8360"/>
      <c r="AO8360"/>
    </row>
    <row r="8361" spans="24:41" x14ac:dyDescent="0.4">
      <c r="X8361"/>
      <c r="AO8361"/>
    </row>
    <row r="8362" spans="24:41" x14ac:dyDescent="0.4">
      <c r="X8362"/>
      <c r="AO8362"/>
    </row>
    <row r="8363" spans="24:41" x14ac:dyDescent="0.4">
      <c r="X8363"/>
      <c r="AO8363"/>
    </row>
    <row r="8364" spans="24:41" x14ac:dyDescent="0.4">
      <c r="X8364"/>
      <c r="AO8364"/>
    </row>
    <row r="8365" spans="24:41" x14ac:dyDescent="0.4">
      <c r="X8365"/>
      <c r="AO8365"/>
    </row>
    <row r="8366" spans="24:41" x14ac:dyDescent="0.4">
      <c r="X8366"/>
      <c r="AO8366"/>
    </row>
    <row r="8367" spans="24:41" x14ac:dyDescent="0.4">
      <c r="X8367"/>
      <c r="AO8367"/>
    </row>
    <row r="8368" spans="24:41" x14ac:dyDescent="0.4">
      <c r="X8368"/>
      <c r="AO8368"/>
    </row>
    <row r="8369" spans="24:41" x14ac:dyDescent="0.4">
      <c r="X8369"/>
      <c r="AO8369"/>
    </row>
    <row r="8370" spans="24:41" x14ac:dyDescent="0.4">
      <c r="X8370"/>
      <c r="AO8370"/>
    </row>
    <row r="8371" spans="24:41" x14ac:dyDescent="0.4">
      <c r="X8371"/>
      <c r="AO8371"/>
    </row>
    <row r="8372" spans="24:41" x14ac:dyDescent="0.4">
      <c r="X8372"/>
      <c r="AO8372"/>
    </row>
    <row r="8373" spans="24:41" x14ac:dyDescent="0.4">
      <c r="X8373"/>
      <c r="AO8373"/>
    </row>
    <row r="8374" spans="24:41" x14ac:dyDescent="0.4">
      <c r="X8374"/>
      <c r="AO8374"/>
    </row>
    <row r="8375" spans="24:41" x14ac:dyDescent="0.4">
      <c r="X8375"/>
      <c r="AO8375"/>
    </row>
    <row r="8376" spans="24:41" x14ac:dyDescent="0.4">
      <c r="X8376"/>
      <c r="AO8376"/>
    </row>
    <row r="8377" spans="24:41" x14ac:dyDescent="0.4">
      <c r="X8377"/>
      <c r="AO8377"/>
    </row>
    <row r="8378" spans="24:41" x14ac:dyDescent="0.4">
      <c r="X8378"/>
      <c r="AO8378"/>
    </row>
    <row r="8379" spans="24:41" x14ac:dyDescent="0.4">
      <c r="X8379"/>
      <c r="AO8379"/>
    </row>
    <row r="8380" spans="24:41" x14ac:dyDescent="0.4">
      <c r="X8380"/>
      <c r="AO8380"/>
    </row>
    <row r="8381" spans="24:41" x14ac:dyDescent="0.4">
      <c r="X8381"/>
      <c r="AO8381"/>
    </row>
    <row r="8382" spans="24:41" x14ac:dyDescent="0.4">
      <c r="X8382"/>
      <c r="AO8382"/>
    </row>
    <row r="8383" spans="24:41" x14ac:dyDescent="0.4">
      <c r="X8383"/>
      <c r="AO8383"/>
    </row>
    <row r="8384" spans="24:41" x14ac:dyDescent="0.4">
      <c r="X8384"/>
      <c r="AO8384"/>
    </row>
    <row r="8385" spans="24:41" x14ac:dyDescent="0.4">
      <c r="X8385"/>
      <c r="AO8385"/>
    </row>
    <row r="8386" spans="24:41" x14ac:dyDescent="0.4">
      <c r="X8386"/>
      <c r="AO8386"/>
    </row>
    <row r="8387" spans="24:41" x14ac:dyDescent="0.4">
      <c r="X8387"/>
      <c r="AO8387"/>
    </row>
    <row r="8388" spans="24:41" x14ac:dyDescent="0.4">
      <c r="X8388"/>
      <c r="AO8388"/>
    </row>
    <row r="8389" spans="24:41" x14ac:dyDescent="0.4">
      <c r="X8389"/>
      <c r="AO8389"/>
    </row>
    <row r="8390" spans="24:41" x14ac:dyDescent="0.4">
      <c r="X8390"/>
      <c r="AO8390"/>
    </row>
    <row r="8391" spans="24:41" x14ac:dyDescent="0.4">
      <c r="X8391"/>
      <c r="AO8391"/>
    </row>
    <row r="8392" spans="24:41" x14ac:dyDescent="0.4">
      <c r="X8392"/>
      <c r="AO8392"/>
    </row>
    <row r="8393" spans="24:41" x14ac:dyDescent="0.4">
      <c r="X8393"/>
      <c r="AO8393"/>
    </row>
    <row r="8394" spans="24:41" x14ac:dyDescent="0.4">
      <c r="X8394"/>
      <c r="AO8394"/>
    </row>
    <row r="8395" spans="24:41" x14ac:dyDescent="0.4">
      <c r="X8395"/>
      <c r="AO8395"/>
    </row>
    <row r="8396" spans="24:41" x14ac:dyDescent="0.4">
      <c r="X8396"/>
      <c r="AO8396"/>
    </row>
    <row r="8397" spans="24:41" x14ac:dyDescent="0.4">
      <c r="X8397"/>
      <c r="AO8397"/>
    </row>
    <row r="8398" spans="24:41" x14ac:dyDescent="0.4">
      <c r="X8398"/>
      <c r="AO8398"/>
    </row>
    <row r="8399" spans="24:41" x14ac:dyDescent="0.4">
      <c r="X8399"/>
      <c r="AO8399"/>
    </row>
    <row r="8400" spans="24:41" x14ac:dyDescent="0.4">
      <c r="X8400"/>
      <c r="AO8400"/>
    </row>
    <row r="8401" spans="24:41" x14ac:dyDescent="0.4">
      <c r="X8401"/>
      <c r="AO8401"/>
    </row>
    <row r="8402" spans="24:41" x14ac:dyDescent="0.4">
      <c r="X8402"/>
      <c r="AO8402"/>
    </row>
    <row r="8403" spans="24:41" x14ac:dyDescent="0.4">
      <c r="X8403"/>
      <c r="AO8403"/>
    </row>
    <row r="8404" spans="24:41" x14ac:dyDescent="0.4">
      <c r="X8404"/>
      <c r="AO8404"/>
    </row>
    <row r="8405" spans="24:41" x14ac:dyDescent="0.4">
      <c r="X8405"/>
      <c r="AO8405"/>
    </row>
    <row r="8406" spans="24:41" x14ac:dyDescent="0.4">
      <c r="X8406"/>
      <c r="AO8406"/>
    </row>
    <row r="8407" spans="24:41" x14ac:dyDescent="0.4">
      <c r="X8407"/>
      <c r="AO8407"/>
    </row>
    <row r="8408" spans="24:41" x14ac:dyDescent="0.4">
      <c r="X8408"/>
      <c r="AO8408"/>
    </row>
    <row r="8409" spans="24:41" x14ac:dyDescent="0.4">
      <c r="X8409"/>
      <c r="AO8409"/>
    </row>
    <row r="8410" spans="24:41" x14ac:dyDescent="0.4">
      <c r="X8410"/>
      <c r="AO8410"/>
    </row>
    <row r="8411" spans="24:41" x14ac:dyDescent="0.4">
      <c r="X8411"/>
      <c r="AO8411"/>
    </row>
    <row r="8412" spans="24:41" x14ac:dyDescent="0.4">
      <c r="X8412"/>
      <c r="AO8412"/>
    </row>
    <row r="8413" spans="24:41" x14ac:dyDescent="0.4">
      <c r="X8413"/>
      <c r="AO8413"/>
    </row>
    <row r="8414" spans="24:41" x14ac:dyDescent="0.4">
      <c r="X8414"/>
      <c r="AO8414"/>
    </row>
    <row r="8415" spans="24:41" x14ac:dyDescent="0.4">
      <c r="X8415"/>
      <c r="AO8415"/>
    </row>
    <row r="8416" spans="24:41" x14ac:dyDescent="0.4">
      <c r="X8416"/>
      <c r="AO8416"/>
    </row>
    <row r="8417" spans="24:41" x14ac:dyDescent="0.4">
      <c r="X8417"/>
      <c r="AO8417"/>
    </row>
    <row r="8418" spans="24:41" x14ac:dyDescent="0.4">
      <c r="X8418"/>
      <c r="AO8418"/>
    </row>
    <row r="8419" spans="24:41" x14ac:dyDescent="0.4">
      <c r="X8419"/>
      <c r="AO8419"/>
    </row>
    <row r="8420" spans="24:41" x14ac:dyDescent="0.4">
      <c r="X8420"/>
      <c r="AO8420"/>
    </row>
    <row r="8421" spans="24:41" x14ac:dyDescent="0.4">
      <c r="X8421"/>
      <c r="AO8421"/>
    </row>
    <row r="8422" spans="24:41" x14ac:dyDescent="0.4">
      <c r="X8422"/>
      <c r="AO8422"/>
    </row>
    <row r="8423" spans="24:41" x14ac:dyDescent="0.4">
      <c r="X8423"/>
      <c r="AO8423"/>
    </row>
    <row r="8424" spans="24:41" x14ac:dyDescent="0.4">
      <c r="X8424"/>
      <c r="AO8424"/>
    </row>
    <row r="8425" spans="24:41" x14ac:dyDescent="0.4">
      <c r="X8425"/>
      <c r="AO8425"/>
    </row>
    <row r="8426" spans="24:41" x14ac:dyDescent="0.4">
      <c r="X8426"/>
      <c r="AO8426"/>
    </row>
    <row r="8427" spans="24:41" x14ac:dyDescent="0.4">
      <c r="X8427"/>
      <c r="AO8427"/>
    </row>
    <row r="8428" spans="24:41" x14ac:dyDescent="0.4">
      <c r="X8428"/>
      <c r="AO8428"/>
    </row>
    <row r="8429" spans="24:41" x14ac:dyDescent="0.4">
      <c r="X8429"/>
      <c r="AO8429"/>
    </row>
    <row r="8430" spans="24:41" x14ac:dyDescent="0.4">
      <c r="X8430"/>
      <c r="AO8430"/>
    </row>
    <row r="8431" spans="24:41" x14ac:dyDescent="0.4">
      <c r="X8431"/>
      <c r="AO8431"/>
    </row>
    <row r="8432" spans="24:41" x14ac:dyDescent="0.4">
      <c r="X8432"/>
      <c r="AO8432"/>
    </row>
    <row r="8433" spans="24:41" x14ac:dyDescent="0.4">
      <c r="X8433"/>
      <c r="AO8433"/>
    </row>
    <row r="8434" spans="24:41" x14ac:dyDescent="0.4">
      <c r="X8434"/>
      <c r="AO8434"/>
    </row>
    <row r="8435" spans="24:41" x14ac:dyDescent="0.4">
      <c r="X8435"/>
      <c r="AO8435"/>
    </row>
    <row r="8436" spans="24:41" x14ac:dyDescent="0.4">
      <c r="X8436"/>
      <c r="AO8436"/>
    </row>
    <row r="8437" spans="24:41" x14ac:dyDescent="0.4">
      <c r="X8437"/>
      <c r="AO8437"/>
    </row>
    <row r="8438" spans="24:41" x14ac:dyDescent="0.4">
      <c r="X8438"/>
      <c r="AO8438"/>
    </row>
    <row r="8439" spans="24:41" x14ac:dyDescent="0.4">
      <c r="X8439"/>
      <c r="AO8439"/>
    </row>
    <row r="8440" spans="24:41" x14ac:dyDescent="0.4">
      <c r="X8440"/>
      <c r="AO8440"/>
    </row>
    <row r="8441" spans="24:41" x14ac:dyDescent="0.4">
      <c r="X8441"/>
      <c r="AO8441"/>
    </row>
    <row r="8442" spans="24:41" x14ac:dyDescent="0.4">
      <c r="X8442"/>
      <c r="AO8442"/>
    </row>
    <row r="8443" spans="24:41" x14ac:dyDescent="0.4">
      <c r="X8443"/>
      <c r="AO8443"/>
    </row>
    <row r="8444" spans="24:41" x14ac:dyDescent="0.4">
      <c r="X8444"/>
      <c r="AO8444"/>
    </row>
    <row r="8445" spans="24:41" x14ac:dyDescent="0.4">
      <c r="X8445"/>
      <c r="AO8445"/>
    </row>
    <row r="8446" spans="24:41" x14ac:dyDescent="0.4">
      <c r="X8446"/>
      <c r="AO8446"/>
    </row>
    <row r="8447" spans="24:41" x14ac:dyDescent="0.4">
      <c r="X8447"/>
      <c r="AO8447"/>
    </row>
    <row r="8448" spans="24:41" x14ac:dyDescent="0.4">
      <c r="X8448"/>
      <c r="AO8448"/>
    </row>
    <row r="8449" spans="24:41" x14ac:dyDescent="0.4">
      <c r="X8449"/>
      <c r="AO8449"/>
    </row>
    <row r="8450" spans="24:41" x14ac:dyDescent="0.4">
      <c r="X8450"/>
      <c r="AO8450"/>
    </row>
    <row r="8451" spans="24:41" x14ac:dyDescent="0.4">
      <c r="X8451"/>
      <c r="AO8451"/>
    </row>
    <row r="8452" spans="24:41" x14ac:dyDescent="0.4">
      <c r="X8452"/>
      <c r="AO8452"/>
    </row>
    <row r="8453" spans="24:41" x14ac:dyDescent="0.4">
      <c r="X8453"/>
      <c r="AO8453"/>
    </row>
    <row r="8454" spans="24:41" x14ac:dyDescent="0.4">
      <c r="X8454"/>
      <c r="AO8454"/>
    </row>
    <row r="8455" spans="24:41" x14ac:dyDescent="0.4">
      <c r="X8455"/>
      <c r="AO8455"/>
    </row>
    <row r="8456" spans="24:41" x14ac:dyDescent="0.4">
      <c r="X8456"/>
      <c r="AO8456"/>
    </row>
    <row r="8457" spans="24:41" x14ac:dyDescent="0.4">
      <c r="X8457"/>
      <c r="AO8457"/>
    </row>
    <row r="8458" spans="24:41" x14ac:dyDescent="0.4">
      <c r="X8458"/>
      <c r="AO8458"/>
    </row>
    <row r="8459" spans="24:41" x14ac:dyDescent="0.4">
      <c r="X8459"/>
      <c r="AO8459"/>
    </row>
    <row r="8460" spans="24:41" x14ac:dyDescent="0.4">
      <c r="X8460"/>
      <c r="AO8460"/>
    </row>
    <row r="8461" spans="24:41" x14ac:dyDescent="0.4">
      <c r="X8461"/>
      <c r="AO8461"/>
    </row>
    <row r="8462" spans="24:41" x14ac:dyDescent="0.4">
      <c r="X8462"/>
      <c r="AO8462"/>
    </row>
    <row r="8463" spans="24:41" x14ac:dyDescent="0.4">
      <c r="X8463"/>
      <c r="AO8463"/>
    </row>
    <row r="8464" spans="24:41" x14ac:dyDescent="0.4">
      <c r="X8464"/>
      <c r="AO8464"/>
    </row>
    <row r="8465" spans="24:41" x14ac:dyDescent="0.4">
      <c r="X8465"/>
      <c r="AO8465"/>
    </row>
    <row r="8466" spans="24:41" x14ac:dyDescent="0.4">
      <c r="X8466"/>
      <c r="AO8466"/>
    </row>
    <row r="8467" spans="24:41" x14ac:dyDescent="0.4">
      <c r="X8467"/>
      <c r="AO8467"/>
    </row>
    <row r="8468" spans="24:41" x14ac:dyDescent="0.4">
      <c r="X8468"/>
      <c r="AO8468"/>
    </row>
    <row r="8469" spans="24:41" x14ac:dyDescent="0.4">
      <c r="X8469"/>
      <c r="AO8469"/>
    </row>
    <row r="8470" spans="24:41" x14ac:dyDescent="0.4">
      <c r="X8470"/>
      <c r="AO8470"/>
    </row>
    <row r="8471" spans="24:41" x14ac:dyDescent="0.4">
      <c r="X8471"/>
      <c r="AO8471"/>
    </row>
    <row r="8472" spans="24:41" x14ac:dyDescent="0.4">
      <c r="X8472"/>
      <c r="AO8472"/>
    </row>
    <row r="8473" spans="24:41" x14ac:dyDescent="0.4">
      <c r="X8473"/>
      <c r="AO8473"/>
    </row>
    <row r="8474" spans="24:41" x14ac:dyDescent="0.4">
      <c r="X8474"/>
      <c r="AO8474"/>
    </row>
    <row r="8475" spans="24:41" x14ac:dyDescent="0.4">
      <c r="X8475"/>
      <c r="AO8475"/>
    </row>
    <row r="8476" spans="24:41" x14ac:dyDescent="0.4">
      <c r="X8476"/>
      <c r="AO8476"/>
    </row>
    <row r="8477" spans="24:41" x14ac:dyDescent="0.4">
      <c r="X8477"/>
      <c r="AO8477"/>
    </row>
    <row r="8478" spans="24:41" x14ac:dyDescent="0.4">
      <c r="X8478"/>
      <c r="AO8478"/>
    </row>
    <row r="8479" spans="24:41" x14ac:dyDescent="0.4">
      <c r="X8479"/>
      <c r="AO8479"/>
    </row>
    <row r="8480" spans="24:41" x14ac:dyDescent="0.4">
      <c r="X8480"/>
      <c r="AO8480"/>
    </row>
    <row r="8481" spans="24:41" x14ac:dyDescent="0.4">
      <c r="X8481"/>
      <c r="AO8481"/>
    </row>
    <row r="8482" spans="24:41" x14ac:dyDescent="0.4">
      <c r="X8482"/>
      <c r="AO8482"/>
    </row>
    <row r="8483" spans="24:41" x14ac:dyDescent="0.4">
      <c r="X8483"/>
      <c r="AO8483"/>
    </row>
    <row r="8484" spans="24:41" x14ac:dyDescent="0.4">
      <c r="X8484"/>
      <c r="AO8484"/>
    </row>
    <row r="8485" spans="24:41" x14ac:dyDescent="0.4">
      <c r="X8485"/>
      <c r="AO8485"/>
    </row>
    <row r="8486" spans="24:41" x14ac:dyDescent="0.4">
      <c r="X8486"/>
      <c r="AO8486"/>
    </row>
    <row r="8487" spans="24:41" x14ac:dyDescent="0.4">
      <c r="X8487"/>
      <c r="AO8487"/>
    </row>
    <row r="8488" spans="24:41" x14ac:dyDescent="0.4">
      <c r="X8488"/>
      <c r="AO8488"/>
    </row>
    <row r="8489" spans="24:41" x14ac:dyDescent="0.4">
      <c r="X8489"/>
      <c r="AO8489"/>
    </row>
    <row r="8490" spans="24:41" x14ac:dyDescent="0.4">
      <c r="X8490"/>
      <c r="AO8490"/>
    </row>
    <row r="8491" spans="24:41" x14ac:dyDescent="0.4">
      <c r="X8491"/>
      <c r="AO8491"/>
    </row>
    <row r="8492" spans="24:41" x14ac:dyDescent="0.4">
      <c r="X8492"/>
      <c r="AO8492"/>
    </row>
    <row r="8493" spans="24:41" x14ac:dyDescent="0.4">
      <c r="X8493"/>
      <c r="AO8493"/>
    </row>
    <row r="8494" spans="24:41" x14ac:dyDescent="0.4">
      <c r="X8494"/>
      <c r="AO8494"/>
    </row>
    <row r="8495" spans="24:41" x14ac:dyDescent="0.4">
      <c r="X8495"/>
      <c r="AO8495"/>
    </row>
    <row r="8496" spans="24:41" x14ac:dyDescent="0.4">
      <c r="X8496"/>
      <c r="AO8496"/>
    </row>
    <row r="8497" spans="24:41" x14ac:dyDescent="0.4">
      <c r="X8497"/>
      <c r="AO8497"/>
    </row>
    <row r="8498" spans="24:41" x14ac:dyDescent="0.4">
      <c r="X8498"/>
      <c r="AO8498"/>
    </row>
    <row r="8499" spans="24:41" x14ac:dyDescent="0.4">
      <c r="X8499"/>
      <c r="AO8499"/>
    </row>
    <row r="8500" spans="24:41" x14ac:dyDescent="0.4">
      <c r="X8500"/>
      <c r="AO8500"/>
    </row>
    <row r="8501" spans="24:41" x14ac:dyDescent="0.4">
      <c r="X8501"/>
      <c r="AO8501"/>
    </row>
    <row r="8502" spans="24:41" x14ac:dyDescent="0.4">
      <c r="X8502"/>
      <c r="AO8502"/>
    </row>
    <row r="8503" spans="24:41" x14ac:dyDescent="0.4">
      <c r="X8503"/>
      <c r="AO8503"/>
    </row>
    <row r="8504" spans="24:41" x14ac:dyDescent="0.4">
      <c r="X8504"/>
      <c r="AO8504"/>
    </row>
    <row r="8505" spans="24:41" x14ac:dyDescent="0.4">
      <c r="X8505"/>
      <c r="AO8505"/>
    </row>
    <row r="8506" spans="24:41" x14ac:dyDescent="0.4">
      <c r="X8506"/>
      <c r="AO8506"/>
    </row>
    <row r="8507" spans="24:41" x14ac:dyDescent="0.4">
      <c r="X8507"/>
      <c r="AO8507"/>
    </row>
    <row r="8508" spans="24:41" x14ac:dyDescent="0.4">
      <c r="X8508"/>
      <c r="AO8508"/>
    </row>
    <row r="8509" spans="24:41" x14ac:dyDescent="0.4">
      <c r="X8509"/>
      <c r="AO8509"/>
    </row>
    <row r="8510" spans="24:41" x14ac:dyDescent="0.4">
      <c r="X8510"/>
      <c r="AO8510"/>
    </row>
    <row r="8511" spans="24:41" x14ac:dyDescent="0.4">
      <c r="X8511"/>
      <c r="AO8511"/>
    </row>
    <row r="8512" spans="24:41" x14ac:dyDescent="0.4">
      <c r="X8512"/>
      <c r="AO8512"/>
    </row>
    <row r="8513" spans="24:41" x14ac:dyDescent="0.4">
      <c r="X8513"/>
      <c r="AO8513"/>
    </row>
    <row r="8514" spans="24:41" x14ac:dyDescent="0.4">
      <c r="X8514"/>
      <c r="AO8514"/>
    </row>
    <row r="8515" spans="24:41" x14ac:dyDescent="0.4">
      <c r="X8515"/>
      <c r="AO8515"/>
    </row>
    <row r="8516" spans="24:41" x14ac:dyDescent="0.4">
      <c r="X8516"/>
      <c r="AO8516"/>
    </row>
    <row r="8517" spans="24:41" x14ac:dyDescent="0.4">
      <c r="X8517"/>
      <c r="AO8517"/>
    </row>
    <row r="8518" spans="24:41" x14ac:dyDescent="0.4">
      <c r="X8518"/>
      <c r="AO8518"/>
    </row>
    <row r="8519" spans="24:41" x14ac:dyDescent="0.4">
      <c r="X8519"/>
      <c r="AO8519"/>
    </row>
    <row r="8520" spans="24:41" x14ac:dyDescent="0.4">
      <c r="X8520"/>
      <c r="AO8520"/>
    </row>
    <row r="8521" spans="24:41" x14ac:dyDescent="0.4">
      <c r="X8521"/>
      <c r="AO8521"/>
    </row>
    <row r="8522" spans="24:41" x14ac:dyDescent="0.4">
      <c r="X8522"/>
      <c r="AO8522"/>
    </row>
    <row r="8523" spans="24:41" x14ac:dyDescent="0.4">
      <c r="X8523"/>
      <c r="AO8523"/>
    </row>
    <row r="8524" spans="24:41" x14ac:dyDescent="0.4">
      <c r="X8524"/>
      <c r="AO8524"/>
    </row>
    <row r="8525" spans="24:41" x14ac:dyDescent="0.4">
      <c r="X8525"/>
      <c r="AO8525"/>
    </row>
    <row r="8526" spans="24:41" x14ac:dyDescent="0.4">
      <c r="X8526"/>
      <c r="AO8526"/>
    </row>
    <row r="8527" spans="24:41" x14ac:dyDescent="0.4">
      <c r="X8527"/>
      <c r="AO8527"/>
    </row>
    <row r="8528" spans="24:41" x14ac:dyDescent="0.4">
      <c r="X8528"/>
      <c r="AO8528"/>
    </row>
    <row r="8529" spans="24:41" x14ac:dyDescent="0.4">
      <c r="X8529"/>
      <c r="AO8529"/>
    </row>
    <row r="8530" spans="24:41" x14ac:dyDescent="0.4">
      <c r="X8530"/>
      <c r="AO8530"/>
    </row>
    <row r="8531" spans="24:41" x14ac:dyDescent="0.4">
      <c r="X8531"/>
      <c r="AO8531"/>
    </row>
    <row r="8532" spans="24:41" x14ac:dyDescent="0.4">
      <c r="X8532"/>
      <c r="AO8532"/>
    </row>
    <row r="8533" spans="24:41" x14ac:dyDescent="0.4">
      <c r="X8533"/>
      <c r="AO8533"/>
    </row>
    <row r="8534" spans="24:41" x14ac:dyDescent="0.4">
      <c r="X8534"/>
      <c r="AO8534"/>
    </row>
    <row r="8535" spans="24:41" x14ac:dyDescent="0.4">
      <c r="X8535"/>
      <c r="AO8535"/>
    </row>
    <row r="8536" spans="24:41" x14ac:dyDescent="0.4">
      <c r="X8536"/>
      <c r="AO8536"/>
    </row>
    <row r="8537" spans="24:41" x14ac:dyDescent="0.4">
      <c r="X8537"/>
      <c r="AO8537"/>
    </row>
    <row r="8538" spans="24:41" x14ac:dyDescent="0.4">
      <c r="X8538"/>
      <c r="AO8538"/>
    </row>
    <row r="8539" spans="24:41" x14ac:dyDescent="0.4">
      <c r="X8539"/>
      <c r="AO8539"/>
    </row>
    <row r="8540" spans="24:41" x14ac:dyDescent="0.4">
      <c r="X8540"/>
      <c r="AO8540"/>
    </row>
    <row r="8541" spans="24:41" x14ac:dyDescent="0.4">
      <c r="X8541"/>
      <c r="AO8541"/>
    </row>
    <row r="8542" spans="24:41" x14ac:dyDescent="0.4">
      <c r="X8542"/>
      <c r="AO8542"/>
    </row>
    <row r="8543" spans="24:41" x14ac:dyDescent="0.4">
      <c r="X8543"/>
      <c r="AO8543"/>
    </row>
    <row r="8544" spans="24:41" x14ac:dyDescent="0.4">
      <c r="X8544"/>
      <c r="AO8544"/>
    </row>
    <row r="8545" spans="24:41" x14ac:dyDescent="0.4">
      <c r="X8545"/>
      <c r="AO8545"/>
    </row>
    <row r="8546" spans="24:41" x14ac:dyDescent="0.4">
      <c r="X8546"/>
      <c r="AO8546"/>
    </row>
    <row r="8547" spans="24:41" x14ac:dyDescent="0.4">
      <c r="X8547"/>
      <c r="AO8547"/>
    </row>
    <row r="8548" spans="24:41" x14ac:dyDescent="0.4">
      <c r="X8548"/>
      <c r="AO8548"/>
    </row>
    <row r="8549" spans="24:41" x14ac:dyDescent="0.4">
      <c r="X8549"/>
      <c r="AO8549"/>
    </row>
    <row r="8550" spans="24:41" x14ac:dyDescent="0.4">
      <c r="X8550"/>
      <c r="AO8550"/>
    </row>
    <row r="8551" spans="24:41" x14ac:dyDescent="0.4">
      <c r="X8551"/>
      <c r="AO8551"/>
    </row>
    <row r="8552" spans="24:41" x14ac:dyDescent="0.4">
      <c r="X8552"/>
      <c r="AO8552"/>
    </row>
    <row r="8553" spans="24:41" x14ac:dyDescent="0.4">
      <c r="X8553"/>
      <c r="AO8553"/>
    </row>
    <row r="8554" spans="24:41" x14ac:dyDescent="0.4">
      <c r="X8554"/>
      <c r="AO8554"/>
    </row>
    <row r="8555" spans="24:41" x14ac:dyDescent="0.4">
      <c r="X8555"/>
      <c r="AO8555"/>
    </row>
    <row r="8556" spans="24:41" x14ac:dyDescent="0.4">
      <c r="X8556"/>
      <c r="AO8556"/>
    </row>
    <row r="8557" spans="24:41" x14ac:dyDescent="0.4">
      <c r="X8557"/>
      <c r="AO8557"/>
    </row>
    <row r="8558" spans="24:41" x14ac:dyDescent="0.4">
      <c r="X8558"/>
      <c r="AO8558"/>
    </row>
    <row r="8559" spans="24:41" x14ac:dyDescent="0.4">
      <c r="X8559"/>
      <c r="AO8559"/>
    </row>
    <row r="8560" spans="24:41" x14ac:dyDescent="0.4">
      <c r="X8560"/>
      <c r="AO8560"/>
    </row>
    <row r="8561" spans="24:41" x14ac:dyDescent="0.4">
      <c r="X8561"/>
      <c r="AO8561"/>
    </row>
    <row r="8562" spans="24:41" x14ac:dyDescent="0.4">
      <c r="X8562"/>
      <c r="AO8562"/>
    </row>
    <row r="8563" spans="24:41" x14ac:dyDescent="0.4">
      <c r="X8563"/>
      <c r="AO8563"/>
    </row>
    <row r="8564" spans="24:41" x14ac:dyDescent="0.4">
      <c r="X8564"/>
      <c r="AO8564"/>
    </row>
    <row r="8565" spans="24:41" x14ac:dyDescent="0.4">
      <c r="X8565"/>
      <c r="AO8565"/>
    </row>
    <row r="8566" spans="24:41" x14ac:dyDescent="0.4">
      <c r="X8566"/>
      <c r="AO8566"/>
    </row>
    <row r="8567" spans="24:41" x14ac:dyDescent="0.4">
      <c r="X8567"/>
      <c r="AO8567"/>
    </row>
    <row r="8568" spans="24:41" x14ac:dyDescent="0.4">
      <c r="X8568"/>
      <c r="AO8568"/>
    </row>
    <row r="8569" spans="24:41" x14ac:dyDescent="0.4">
      <c r="X8569"/>
      <c r="AO8569"/>
    </row>
    <row r="8570" spans="24:41" x14ac:dyDescent="0.4">
      <c r="X8570"/>
      <c r="AO8570"/>
    </row>
    <row r="8571" spans="24:41" x14ac:dyDescent="0.4">
      <c r="X8571"/>
      <c r="AO8571"/>
    </row>
    <row r="8572" spans="24:41" x14ac:dyDescent="0.4">
      <c r="X8572"/>
      <c r="AO8572"/>
    </row>
    <row r="8573" spans="24:41" x14ac:dyDescent="0.4">
      <c r="X8573"/>
      <c r="AO8573"/>
    </row>
    <row r="8574" spans="24:41" x14ac:dyDescent="0.4">
      <c r="X8574"/>
      <c r="AO8574"/>
    </row>
    <row r="8575" spans="24:41" x14ac:dyDescent="0.4">
      <c r="X8575"/>
      <c r="AO8575"/>
    </row>
    <row r="8576" spans="24:41" x14ac:dyDescent="0.4">
      <c r="X8576"/>
      <c r="AO8576"/>
    </row>
    <row r="8577" spans="24:41" x14ac:dyDescent="0.4">
      <c r="X8577"/>
      <c r="AO8577"/>
    </row>
    <row r="8578" spans="24:41" x14ac:dyDescent="0.4">
      <c r="X8578"/>
      <c r="AO8578"/>
    </row>
    <row r="8579" spans="24:41" x14ac:dyDescent="0.4">
      <c r="X8579"/>
      <c r="AO8579"/>
    </row>
    <row r="8580" spans="24:41" x14ac:dyDescent="0.4">
      <c r="X8580"/>
      <c r="AO8580"/>
    </row>
    <row r="8581" spans="24:41" x14ac:dyDescent="0.4">
      <c r="X8581"/>
      <c r="AO8581"/>
    </row>
    <row r="8582" spans="24:41" x14ac:dyDescent="0.4">
      <c r="X8582"/>
      <c r="AO8582"/>
    </row>
    <row r="8583" spans="24:41" x14ac:dyDescent="0.4">
      <c r="X8583"/>
      <c r="AO8583"/>
    </row>
    <row r="8584" spans="24:41" x14ac:dyDescent="0.4">
      <c r="X8584"/>
      <c r="AO8584"/>
    </row>
    <row r="8585" spans="24:41" x14ac:dyDescent="0.4">
      <c r="X8585"/>
      <c r="AO8585"/>
    </row>
    <row r="8586" spans="24:41" x14ac:dyDescent="0.4">
      <c r="X8586"/>
      <c r="AO8586"/>
    </row>
    <row r="8587" spans="24:41" x14ac:dyDescent="0.4">
      <c r="X8587"/>
      <c r="AO8587"/>
    </row>
    <row r="8588" spans="24:41" x14ac:dyDescent="0.4">
      <c r="X8588"/>
      <c r="AO8588"/>
    </row>
    <row r="8589" spans="24:41" x14ac:dyDescent="0.4">
      <c r="X8589"/>
      <c r="AO8589"/>
    </row>
    <row r="8590" spans="24:41" x14ac:dyDescent="0.4">
      <c r="X8590"/>
      <c r="AO8590"/>
    </row>
    <row r="8591" spans="24:41" x14ac:dyDescent="0.4">
      <c r="X8591"/>
      <c r="AO8591"/>
    </row>
    <row r="8592" spans="24:41" x14ac:dyDescent="0.4">
      <c r="X8592"/>
      <c r="AO8592"/>
    </row>
    <row r="8593" spans="24:41" x14ac:dyDescent="0.4">
      <c r="X8593"/>
      <c r="AO8593"/>
    </row>
    <row r="8594" spans="24:41" x14ac:dyDescent="0.4">
      <c r="X8594"/>
      <c r="AO8594"/>
    </row>
    <row r="8595" spans="24:41" x14ac:dyDescent="0.4">
      <c r="X8595"/>
      <c r="AO8595"/>
    </row>
    <row r="8596" spans="24:41" x14ac:dyDescent="0.4">
      <c r="X8596"/>
      <c r="AO8596"/>
    </row>
    <row r="8597" spans="24:41" x14ac:dyDescent="0.4">
      <c r="X8597"/>
      <c r="AO8597"/>
    </row>
    <row r="8598" spans="24:41" x14ac:dyDescent="0.4">
      <c r="X8598"/>
      <c r="AO8598"/>
    </row>
    <row r="8599" spans="24:41" x14ac:dyDescent="0.4">
      <c r="X8599"/>
      <c r="AO8599"/>
    </row>
    <row r="8600" spans="24:41" x14ac:dyDescent="0.4">
      <c r="X8600"/>
      <c r="AO8600"/>
    </row>
    <row r="8601" spans="24:41" x14ac:dyDescent="0.4">
      <c r="X8601"/>
      <c r="AO8601"/>
    </row>
    <row r="8602" spans="24:41" x14ac:dyDescent="0.4">
      <c r="X8602"/>
      <c r="AO8602"/>
    </row>
    <row r="8603" spans="24:41" x14ac:dyDescent="0.4">
      <c r="X8603"/>
      <c r="AO8603"/>
    </row>
    <row r="8604" spans="24:41" x14ac:dyDescent="0.4">
      <c r="X8604"/>
      <c r="AO8604"/>
    </row>
    <row r="8605" spans="24:41" x14ac:dyDescent="0.4">
      <c r="X8605"/>
      <c r="AO8605"/>
    </row>
    <row r="8606" spans="24:41" x14ac:dyDescent="0.4">
      <c r="X8606"/>
      <c r="AO8606"/>
    </row>
    <row r="8607" spans="24:41" x14ac:dyDescent="0.4">
      <c r="X8607"/>
      <c r="AO8607"/>
    </row>
    <row r="8608" spans="24:41" x14ac:dyDescent="0.4">
      <c r="X8608"/>
      <c r="AO8608"/>
    </row>
    <row r="8609" spans="24:41" x14ac:dyDescent="0.4">
      <c r="X8609"/>
      <c r="AO8609"/>
    </row>
    <row r="8610" spans="24:41" x14ac:dyDescent="0.4">
      <c r="X8610"/>
      <c r="AO8610"/>
    </row>
    <row r="8611" spans="24:41" x14ac:dyDescent="0.4">
      <c r="X8611"/>
      <c r="AO8611"/>
    </row>
    <row r="8612" spans="24:41" x14ac:dyDescent="0.4">
      <c r="X8612"/>
      <c r="AO8612"/>
    </row>
    <row r="8613" spans="24:41" x14ac:dyDescent="0.4">
      <c r="X8613"/>
      <c r="AO8613"/>
    </row>
    <row r="8614" spans="24:41" x14ac:dyDescent="0.4">
      <c r="X8614"/>
      <c r="AO8614"/>
    </row>
    <row r="8615" spans="24:41" x14ac:dyDescent="0.4">
      <c r="X8615"/>
      <c r="AO8615"/>
    </row>
    <row r="8616" spans="24:41" x14ac:dyDescent="0.4">
      <c r="X8616"/>
      <c r="AO8616"/>
    </row>
    <row r="8617" spans="24:41" x14ac:dyDescent="0.4">
      <c r="X8617"/>
      <c r="AO8617"/>
    </row>
    <row r="8618" spans="24:41" x14ac:dyDescent="0.4">
      <c r="X8618"/>
      <c r="AO8618"/>
    </row>
    <row r="8619" spans="24:41" x14ac:dyDescent="0.4">
      <c r="X8619"/>
      <c r="AO8619"/>
    </row>
    <row r="8620" spans="24:41" x14ac:dyDescent="0.4">
      <c r="X8620"/>
      <c r="AO8620"/>
    </row>
    <row r="8621" spans="24:41" x14ac:dyDescent="0.4">
      <c r="X8621"/>
      <c r="AO8621"/>
    </row>
    <row r="8622" spans="24:41" x14ac:dyDescent="0.4">
      <c r="X8622"/>
      <c r="AO8622"/>
    </row>
    <row r="8623" spans="24:41" x14ac:dyDescent="0.4">
      <c r="X8623"/>
      <c r="AO8623"/>
    </row>
    <row r="8624" spans="24:41" x14ac:dyDescent="0.4">
      <c r="X8624"/>
      <c r="AO8624"/>
    </row>
    <row r="8625" spans="24:41" x14ac:dyDescent="0.4">
      <c r="X8625"/>
      <c r="AO8625"/>
    </row>
    <row r="8626" spans="24:41" x14ac:dyDescent="0.4">
      <c r="X8626"/>
      <c r="AO8626"/>
    </row>
    <row r="8627" spans="24:41" x14ac:dyDescent="0.4">
      <c r="X8627"/>
      <c r="AO8627"/>
    </row>
    <row r="8628" spans="24:41" x14ac:dyDescent="0.4">
      <c r="X8628"/>
      <c r="AO8628"/>
    </row>
    <row r="8629" spans="24:41" x14ac:dyDescent="0.4">
      <c r="X8629"/>
      <c r="AO8629"/>
    </row>
    <row r="8630" spans="24:41" x14ac:dyDescent="0.4">
      <c r="X8630"/>
      <c r="AO8630"/>
    </row>
    <row r="8631" spans="24:41" x14ac:dyDescent="0.4">
      <c r="X8631"/>
      <c r="AO8631"/>
    </row>
    <row r="8632" spans="24:41" x14ac:dyDescent="0.4">
      <c r="X8632"/>
      <c r="AO8632"/>
    </row>
    <row r="8633" spans="24:41" x14ac:dyDescent="0.4">
      <c r="X8633"/>
      <c r="AO8633"/>
    </row>
    <row r="8634" spans="24:41" x14ac:dyDescent="0.4">
      <c r="X8634"/>
      <c r="AO8634"/>
    </row>
    <row r="8635" spans="24:41" x14ac:dyDescent="0.4">
      <c r="X8635"/>
      <c r="AO8635"/>
    </row>
    <row r="8636" spans="24:41" x14ac:dyDescent="0.4">
      <c r="X8636"/>
      <c r="AO8636"/>
    </row>
    <row r="8637" spans="24:41" x14ac:dyDescent="0.4">
      <c r="X8637"/>
      <c r="AO8637"/>
    </row>
    <row r="8638" spans="24:41" x14ac:dyDescent="0.4">
      <c r="X8638"/>
      <c r="AO8638"/>
    </row>
    <row r="8639" spans="24:41" x14ac:dyDescent="0.4">
      <c r="X8639"/>
      <c r="AO8639"/>
    </row>
    <row r="8640" spans="24:41" x14ac:dyDescent="0.4">
      <c r="X8640"/>
      <c r="AO8640"/>
    </row>
    <row r="8641" spans="24:41" x14ac:dyDescent="0.4">
      <c r="X8641"/>
      <c r="AO8641"/>
    </row>
    <row r="8642" spans="24:41" x14ac:dyDescent="0.4">
      <c r="X8642"/>
      <c r="AO8642"/>
    </row>
    <row r="8643" spans="24:41" x14ac:dyDescent="0.4">
      <c r="X8643"/>
      <c r="AO8643"/>
    </row>
    <row r="8644" spans="24:41" x14ac:dyDescent="0.4">
      <c r="X8644"/>
      <c r="AO8644"/>
    </row>
    <row r="8645" spans="24:41" x14ac:dyDescent="0.4">
      <c r="X8645"/>
      <c r="AO8645"/>
    </row>
    <row r="8646" spans="24:41" x14ac:dyDescent="0.4">
      <c r="X8646"/>
      <c r="AO8646"/>
    </row>
    <row r="8647" spans="24:41" x14ac:dyDescent="0.4">
      <c r="X8647"/>
      <c r="AO8647"/>
    </row>
    <row r="8648" spans="24:41" x14ac:dyDescent="0.4">
      <c r="X8648"/>
      <c r="AO8648"/>
    </row>
    <row r="8649" spans="24:41" x14ac:dyDescent="0.4">
      <c r="X8649"/>
      <c r="AO8649"/>
    </row>
    <row r="8650" spans="24:41" x14ac:dyDescent="0.4">
      <c r="X8650"/>
      <c r="AO8650"/>
    </row>
    <row r="8651" spans="24:41" x14ac:dyDescent="0.4">
      <c r="X8651"/>
      <c r="AO8651"/>
    </row>
    <row r="8652" spans="24:41" x14ac:dyDescent="0.4">
      <c r="X8652"/>
      <c r="AO8652"/>
    </row>
    <row r="8653" spans="24:41" x14ac:dyDescent="0.4">
      <c r="X8653"/>
      <c r="AO8653"/>
    </row>
    <row r="8654" spans="24:41" x14ac:dyDescent="0.4">
      <c r="X8654"/>
      <c r="AO8654"/>
    </row>
    <row r="8655" spans="24:41" x14ac:dyDescent="0.4">
      <c r="X8655"/>
      <c r="AO8655"/>
    </row>
    <row r="8656" spans="24:41" x14ac:dyDescent="0.4">
      <c r="X8656"/>
      <c r="AO8656"/>
    </row>
    <row r="8657" spans="24:41" x14ac:dyDescent="0.4">
      <c r="X8657"/>
      <c r="AO8657"/>
    </row>
    <row r="8658" spans="24:41" x14ac:dyDescent="0.4">
      <c r="X8658"/>
      <c r="AO8658"/>
    </row>
    <row r="8659" spans="24:41" x14ac:dyDescent="0.4">
      <c r="X8659"/>
      <c r="AO8659"/>
    </row>
    <row r="8660" spans="24:41" x14ac:dyDescent="0.4">
      <c r="X8660"/>
      <c r="AO8660"/>
    </row>
    <row r="8661" spans="24:41" x14ac:dyDescent="0.4">
      <c r="X8661"/>
      <c r="AO8661"/>
    </row>
    <row r="8662" spans="24:41" x14ac:dyDescent="0.4">
      <c r="X8662"/>
      <c r="AO8662"/>
    </row>
    <row r="8663" spans="24:41" x14ac:dyDescent="0.4">
      <c r="X8663"/>
      <c r="AO8663"/>
    </row>
    <row r="8664" spans="24:41" x14ac:dyDescent="0.4">
      <c r="X8664"/>
      <c r="AO8664"/>
    </row>
    <row r="8665" spans="24:41" x14ac:dyDescent="0.4">
      <c r="X8665"/>
      <c r="AO8665"/>
    </row>
    <row r="8666" spans="24:41" x14ac:dyDescent="0.4">
      <c r="X8666"/>
      <c r="AO8666"/>
    </row>
    <row r="8667" spans="24:41" x14ac:dyDescent="0.4">
      <c r="X8667"/>
      <c r="AO8667"/>
    </row>
    <row r="8668" spans="24:41" x14ac:dyDescent="0.4">
      <c r="X8668"/>
      <c r="AO8668"/>
    </row>
    <row r="8669" spans="24:41" x14ac:dyDescent="0.4">
      <c r="X8669"/>
      <c r="AO8669"/>
    </row>
    <row r="8670" spans="24:41" x14ac:dyDescent="0.4">
      <c r="X8670"/>
      <c r="AO8670"/>
    </row>
    <row r="8671" spans="24:41" x14ac:dyDescent="0.4">
      <c r="X8671"/>
      <c r="AO8671"/>
    </row>
    <row r="8672" spans="24:41" x14ac:dyDescent="0.4">
      <c r="X8672"/>
      <c r="AO8672"/>
    </row>
    <row r="8673" spans="24:41" x14ac:dyDescent="0.4">
      <c r="X8673"/>
      <c r="AO8673"/>
    </row>
    <row r="8674" spans="24:41" x14ac:dyDescent="0.4">
      <c r="X8674"/>
      <c r="AO8674"/>
    </row>
    <row r="8675" spans="24:41" x14ac:dyDescent="0.4">
      <c r="X8675"/>
      <c r="AO8675"/>
    </row>
    <row r="8676" spans="24:41" x14ac:dyDescent="0.4">
      <c r="X8676"/>
      <c r="AO8676"/>
    </row>
    <row r="8677" spans="24:41" x14ac:dyDescent="0.4">
      <c r="X8677"/>
      <c r="AO8677"/>
    </row>
    <row r="8678" spans="24:41" x14ac:dyDescent="0.4">
      <c r="X8678"/>
      <c r="AO8678"/>
    </row>
    <row r="8679" spans="24:41" x14ac:dyDescent="0.4">
      <c r="X8679"/>
      <c r="AO8679"/>
    </row>
    <row r="8680" spans="24:41" x14ac:dyDescent="0.4">
      <c r="X8680"/>
      <c r="AO8680"/>
    </row>
    <row r="8681" spans="24:41" x14ac:dyDescent="0.4">
      <c r="X8681"/>
      <c r="AO8681"/>
    </row>
    <row r="8682" spans="24:41" x14ac:dyDescent="0.4">
      <c r="X8682"/>
      <c r="AO8682"/>
    </row>
    <row r="8683" spans="24:41" x14ac:dyDescent="0.4">
      <c r="X8683"/>
      <c r="AO8683"/>
    </row>
    <row r="8684" spans="24:41" x14ac:dyDescent="0.4">
      <c r="X8684"/>
      <c r="AO8684"/>
    </row>
    <row r="8685" spans="24:41" x14ac:dyDescent="0.4">
      <c r="X8685"/>
      <c r="AO8685"/>
    </row>
    <row r="8686" spans="24:41" x14ac:dyDescent="0.4">
      <c r="X8686"/>
      <c r="AO8686"/>
    </row>
    <row r="8687" spans="24:41" x14ac:dyDescent="0.4">
      <c r="X8687"/>
      <c r="AO8687"/>
    </row>
    <row r="8688" spans="24:41" x14ac:dyDescent="0.4">
      <c r="X8688"/>
      <c r="AO8688"/>
    </row>
    <row r="8689" spans="24:41" x14ac:dyDescent="0.4">
      <c r="X8689"/>
      <c r="AO8689"/>
    </row>
    <row r="8690" spans="24:41" x14ac:dyDescent="0.4">
      <c r="X8690"/>
      <c r="AO8690"/>
    </row>
    <row r="8691" spans="24:41" x14ac:dyDescent="0.4">
      <c r="X8691"/>
      <c r="AO8691"/>
    </row>
    <row r="8692" spans="24:41" x14ac:dyDescent="0.4">
      <c r="X8692"/>
      <c r="AO8692"/>
    </row>
    <row r="8693" spans="24:41" x14ac:dyDescent="0.4">
      <c r="X8693"/>
      <c r="AO8693"/>
    </row>
    <row r="8694" spans="24:41" x14ac:dyDescent="0.4">
      <c r="X8694"/>
      <c r="AO8694"/>
    </row>
    <row r="8695" spans="24:41" x14ac:dyDescent="0.4">
      <c r="X8695"/>
      <c r="AO8695"/>
    </row>
    <row r="8696" spans="24:41" x14ac:dyDescent="0.4">
      <c r="X8696"/>
      <c r="AO8696"/>
    </row>
    <row r="8697" spans="24:41" x14ac:dyDescent="0.4">
      <c r="X8697"/>
      <c r="AO8697"/>
    </row>
    <row r="8698" spans="24:41" x14ac:dyDescent="0.4">
      <c r="X8698"/>
      <c r="AO8698"/>
    </row>
    <row r="8699" spans="24:41" x14ac:dyDescent="0.4">
      <c r="X8699"/>
      <c r="AO8699"/>
    </row>
    <row r="8700" spans="24:41" x14ac:dyDescent="0.4">
      <c r="X8700"/>
      <c r="AO8700"/>
    </row>
    <row r="8701" spans="24:41" x14ac:dyDescent="0.4">
      <c r="X8701"/>
      <c r="AO8701"/>
    </row>
    <row r="8702" spans="24:41" x14ac:dyDescent="0.4">
      <c r="X8702"/>
      <c r="AO8702"/>
    </row>
    <row r="8703" spans="24:41" x14ac:dyDescent="0.4">
      <c r="X8703"/>
      <c r="AO8703"/>
    </row>
    <row r="8704" spans="24:41" x14ac:dyDescent="0.4">
      <c r="X8704"/>
      <c r="AO8704"/>
    </row>
    <row r="8705" spans="24:41" x14ac:dyDescent="0.4">
      <c r="X8705"/>
      <c r="AO8705"/>
    </row>
    <row r="8706" spans="24:41" x14ac:dyDescent="0.4">
      <c r="X8706"/>
      <c r="AO8706"/>
    </row>
    <row r="8707" spans="24:41" x14ac:dyDescent="0.4">
      <c r="X8707"/>
      <c r="AO8707"/>
    </row>
    <row r="8708" spans="24:41" x14ac:dyDescent="0.4">
      <c r="X8708"/>
      <c r="AO8708"/>
    </row>
    <row r="8709" spans="24:41" x14ac:dyDescent="0.4">
      <c r="X8709"/>
      <c r="AO8709"/>
    </row>
    <row r="8710" spans="24:41" x14ac:dyDescent="0.4">
      <c r="X8710"/>
      <c r="AO8710"/>
    </row>
    <row r="8711" spans="24:41" x14ac:dyDescent="0.4">
      <c r="X8711"/>
      <c r="AO8711"/>
    </row>
    <row r="8712" spans="24:41" x14ac:dyDescent="0.4">
      <c r="X8712"/>
      <c r="AO8712"/>
    </row>
    <row r="8713" spans="24:41" x14ac:dyDescent="0.4">
      <c r="X8713"/>
      <c r="AO8713"/>
    </row>
    <row r="8714" spans="24:41" x14ac:dyDescent="0.4">
      <c r="X8714"/>
      <c r="AO8714"/>
    </row>
    <row r="8715" spans="24:41" x14ac:dyDescent="0.4">
      <c r="X8715"/>
      <c r="AO8715"/>
    </row>
    <row r="8716" spans="24:41" x14ac:dyDescent="0.4">
      <c r="X8716"/>
      <c r="AO8716"/>
    </row>
    <row r="8717" spans="24:41" x14ac:dyDescent="0.4">
      <c r="X8717"/>
      <c r="AO8717"/>
    </row>
    <row r="8718" spans="24:41" x14ac:dyDescent="0.4">
      <c r="X8718"/>
      <c r="AO8718"/>
    </row>
    <row r="8719" spans="24:41" x14ac:dyDescent="0.4">
      <c r="X8719"/>
      <c r="AO8719"/>
    </row>
    <row r="8720" spans="24:41" x14ac:dyDescent="0.4">
      <c r="X8720"/>
      <c r="AO8720"/>
    </row>
    <row r="8721" spans="24:41" x14ac:dyDescent="0.4">
      <c r="X8721"/>
      <c r="AO8721"/>
    </row>
    <row r="8722" spans="24:41" x14ac:dyDescent="0.4">
      <c r="X8722"/>
      <c r="AO8722"/>
    </row>
    <row r="8723" spans="24:41" x14ac:dyDescent="0.4">
      <c r="X8723"/>
      <c r="AO8723"/>
    </row>
    <row r="8724" spans="24:41" x14ac:dyDescent="0.4">
      <c r="X8724"/>
      <c r="AO8724"/>
    </row>
    <row r="8725" spans="24:41" x14ac:dyDescent="0.4">
      <c r="X8725"/>
      <c r="AO8725"/>
    </row>
    <row r="8726" spans="24:41" x14ac:dyDescent="0.4">
      <c r="X8726"/>
      <c r="AO8726"/>
    </row>
    <row r="8727" spans="24:41" x14ac:dyDescent="0.4">
      <c r="X8727"/>
      <c r="AO8727"/>
    </row>
    <row r="8728" spans="24:41" x14ac:dyDescent="0.4">
      <c r="X8728"/>
      <c r="AO8728"/>
    </row>
    <row r="8729" spans="24:41" x14ac:dyDescent="0.4">
      <c r="X8729"/>
      <c r="AO8729"/>
    </row>
    <row r="8730" spans="24:41" x14ac:dyDescent="0.4">
      <c r="X8730"/>
      <c r="AO8730"/>
    </row>
    <row r="8731" spans="24:41" x14ac:dyDescent="0.4">
      <c r="X8731"/>
      <c r="AO8731"/>
    </row>
    <row r="8732" spans="24:41" x14ac:dyDescent="0.4">
      <c r="X8732"/>
      <c r="AO8732"/>
    </row>
    <row r="8733" spans="24:41" x14ac:dyDescent="0.4">
      <c r="X8733"/>
      <c r="AO8733"/>
    </row>
    <row r="8734" spans="24:41" x14ac:dyDescent="0.4">
      <c r="X8734"/>
      <c r="AO8734"/>
    </row>
    <row r="8735" spans="24:41" x14ac:dyDescent="0.4">
      <c r="X8735"/>
      <c r="AO8735"/>
    </row>
    <row r="8736" spans="24:41" x14ac:dyDescent="0.4">
      <c r="X8736"/>
      <c r="AO8736"/>
    </row>
    <row r="8737" spans="24:41" x14ac:dyDescent="0.4">
      <c r="X8737"/>
      <c r="AO8737"/>
    </row>
    <row r="8738" spans="24:41" x14ac:dyDescent="0.4">
      <c r="X8738"/>
      <c r="AO8738"/>
    </row>
    <row r="8739" spans="24:41" x14ac:dyDescent="0.4">
      <c r="X8739"/>
      <c r="AO8739"/>
    </row>
    <row r="8740" spans="24:41" x14ac:dyDescent="0.4">
      <c r="X8740"/>
      <c r="AO8740"/>
    </row>
    <row r="8741" spans="24:41" x14ac:dyDescent="0.4">
      <c r="X8741"/>
      <c r="AO8741"/>
    </row>
    <row r="8742" spans="24:41" x14ac:dyDescent="0.4">
      <c r="X8742"/>
      <c r="AO8742"/>
    </row>
    <row r="8743" spans="24:41" x14ac:dyDescent="0.4">
      <c r="X8743"/>
      <c r="AO8743"/>
    </row>
    <row r="8744" spans="24:41" x14ac:dyDescent="0.4">
      <c r="X8744"/>
      <c r="AO8744"/>
    </row>
    <row r="8745" spans="24:41" x14ac:dyDescent="0.4">
      <c r="X8745"/>
      <c r="AO8745"/>
    </row>
    <row r="8746" spans="24:41" x14ac:dyDescent="0.4">
      <c r="X8746"/>
      <c r="AO8746"/>
    </row>
    <row r="8747" spans="24:41" x14ac:dyDescent="0.4">
      <c r="X8747"/>
      <c r="AO8747"/>
    </row>
    <row r="8748" spans="24:41" x14ac:dyDescent="0.4">
      <c r="X8748"/>
      <c r="AO8748"/>
    </row>
    <row r="8749" spans="24:41" x14ac:dyDescent="0.4">
      <c r="X8749"/>
      <c r="AO8749"/>
    </row>
    <row r="8750" spans="24:41" x14ac:dyDescent="0.4">
      <c r="X8750"/>
      <c r="AO8750"/>
    </row>
    <row r="8751" spans="24:41" x14ac:dyDescent="0.4">
      <c r="X8751"/>
      <c r="AO8751"/>
    </row>
    <row r="8752" spans="24:41" x14ac:dyDescent="0.4">
      <c r="X8752"/>
      <c r="AO8752"/>
    </row>
    <row r="8753" spans="24:41" x14ac:dyDescent="0.4">
      <c r="X8753"/>
      <c r="AO8753"/>
    </row>
    <row r="8754" spans="24:41" x14ac:dyDescent="0.4">
      <c r="X8754"/>
      <c r="AO8754"/>
    </row>
    <row r="8755" spans="24:41" x14ac:dyDescent="0.4">
      <c r="X8755"/>
      <c r="AO8755"/>
    </row>
    <row r="8756" spans="24:41" x14ac:dyDescent="0.4">
      <c r="X8756"/>
      <c r="AO8756"/>
    </row>
    <row r="8757" spans="24:41" x14ac:dyDescent="0.4">
      <c r="X8757"/>
      <c r="AO8757"/>
    </row>
    <row r="8758" spans="24:41" x14ac:dyDescent="0.4">
      <c r="X8758"/>
      <c r="AO8758"/>
    </row>
    <row r="8759" spans="24:41" x14ac:dyDescent="0.4">
      <c r="X8759"/>
      <c r="AO8759"/>
    </row>
    <row r="8760" spans="24:41" x14ac:dyDescent="0.4">
      <c r="X8760"/>
      <c r="AO8760"/>
    </row>
    <row r="8761" spans="24:41" x14ac:dyDescent="0.4">
      <c r="X8761"/>
      <c r="AO8761"/>
    </row>
    <row r="8762" spans="24:41" x14ac:dyDescent="0.4">
      <c r="X8762"/>
      <c r="AO8762"/>
    </row>
    <row r="8763" spans="24:41" x14ac:dyDescent="0.4">
      <c r="X8763"/>
      <c r="AO8763"/>
    </row>
    <row r="8764" spans="24:41" x14ac:dyDescent="0.4">
      <c r="X8764"/>
      <c r="AO8764"/>
    </row>
    <row r="8765" spans="24:41" x14ac:dyDescent="0.4">
      <c r="X8765"/>
      <c r="AO8765"/>
    </row>
    <row r="8766" spans="24:41" x14ac:dyDescent="0.4">
      <c r="X8766"/>
      <c r="AO8766"/>
    </row>
    <row r="8767" spans="24:41" x14ac:dyDescent="0.4">
      <c r="X8767"/>
      <c r="AO8767"/>
    </row>
    <row r="8768" spans="24:41" x14ac:dyDescent="0.4">
      <c r="X8768"/>
      <c r="AO8768"/>
    </row>
    <row r="8769" spans="24:41" x14ac:dyDescent="0.4">
      <c r="X8769"/>
      <c r="AO8769"/>
    </row>
    <row r="8770" spans="24:41" x14ac:dyDescent="0.4">
      <c r="X8770"/>
      <c r="AO8770"/>
    </row>
    <row r="8771" spans="24:41" x14ac:dyDescent="0.4">
      <c r="X8771"/>
      <c r="AO8771"/>
    </row>
    <row r="8772" spans="24:41" x14ac:dyDescent="0.4">
      <c r="X8772"/>
      <c r="AO8772"/>
    </row>
    <row r="8773" spans="24:41" x14ac:dyDescent="0.4">
      <c r="X8773"/>
      <c r="AO8773"/>
    </row>
    <row r="8774" spans="24:41" x14ac:dyDescent="0.4">
      <c r="X8774"/>
      <c r="AO8774"/>
    </row>
    <row r="8775" spans="24:41" x14ac:dyDescent="0.4">
      <c r="X8775"/>
      <c r="AO8775"/>
    </row>
    <row r="8776" spans="24:41" x14ac:dyDescent="0.4">
      <c r="X8776"/>
      <c r="AO8776"/>
    </row>
    <row r="8777" spans="24:41" x14ac:dyDescent="0.4">
      <c r="X8777"/>
      <c r="AO8777"/>
    </row>
    <row r="8778" spans="24:41" x14ac:dyDescent="0.4">
      <c r="X8778"/>
      <c r="AO8778"/>
    </row>
    <row r="8779" spans="24:41" x14ac:dyDescent="0.4">
      <c r="X8779"/>
      <c r="AO8779"/>
    </row>
    <row r="8780" spans="24:41" x14ac:dyDescent="0.4">
      <c r="X8780"/>
      <c r="AO8780"/>
    </row>
    <row r="8781" spans="24:41" x14ac:dyDescent="0.4">
      <c r="X8781"/>
      <c r="AO8781"/>
    </row>
    <row r="8782" spans="24:41" x14ac:dyDescent="0.4">
      <c r="X8782"/>
      <c r="AO8782"/>
    </row>
    <row r="8783" spans="24:41" x14ac:dyDescent="0.4">
      <c r="X8783"/>
      <c r="AO8783"/>
    </row>
    <row r="8784" spans="24:41" x14ac:dyDescent="0.4">
      <c r="X8784"/>
      <c r="AO8784"/>
    </row>
    <row r="8785" spans="24:41" x14ac:dyDescent="0.4">
      <c r="X8785"/>
      <c r="AO8785"/>
    </row>
    <row r="8786" spans="24:41" x14ac:dyDescent="0.4">
      <c r="X8786"/>
      <c r="AO8786"/>
    </row>
    <row r="8787" spans="24:41" x14ac:dyDescent="0.4">
      <c r="X8787"/>
      <c r="AO8787"/>
    </row>
    <row r="8788" spans="24:41" x14ac:dyDescent="0.4">
      <c r="X8788"/>
      <c r="AO8788"/>
    </row>
    <row r="8789" spans="24:41" x14ac:dyDescent="0.4">
      <c r="X8789"/>
      <c r="AO8789"/>
    </row>
    <row r="8790" spans="24:41" x14ac:dyDescent="0.4">
      <c r="X8790"/>
      <c r="AO8790"/>
    </row>
    <row r="8791" spans="24:41" x14ac:dyDescent="0.4">
      <c r="X8791"/>
      <c r="AO8791"/>
    </row>
    <row r="8792" spans="24:41" x14ac:dyDescent="0.4">
      <c r="X8792"/>
      <c r="AO8792"/>
    </row>
    <row r="8793" spans="24:41" x14ac:dyDescent="0.4">
      <c r="X8793"/>
      <c r="AO8793"/>
    </row>
    <row r="8794" spans="24:41" x14ac:dyDescent="0.4">
      <c r="X8794"/>
      <c r="AO8794"/>
    </row>
    <row r="8795" spans="24:41" x14ac:dyDescent="0.4">
      <c r="X8795"/>
      <c r="AO8795"/>
    </row>
    <row r="8796" spans="24:41" x14ac:dyDescent="0.4">
      <c r="X8796"/>
      <c r="AO8796"/>
    </row>
    <row r="8797" spans="24:41" x14ac:dyDescent="0.4">
      <c r="X8797"/>
      <c r="AO8797"/>
    </row>
    <row r="8798" spans="24:41" x14ac:dyDescent="0.4">
      <c r="X8798"/>
      <c r="AO8798"/>
    </row>
    <row r="8799" spans="24:41" x14ac:dyDescent="0.4">
      <c r="X8799"/>
      <c r="AO8799"/>
    </row>
    <row r="8800" spans="24:41" x14ac:dyDescent="0.4">
      <c r="X8800"/>
      <c r="AO8800"/>
    </row>
    <row r="8801" spans="24:41" x14ac:dyDescent="0.4">
      <c r="X8801"/>
      <c r="AO8801"/>
    </row>
    <row r="8802" spans="24:41" x14ac:dyDescent="0.4">
      <c r="X8802"/>
      <c r="AO8802"/>
    </row>
    <row r="8803" spans="24:41" x14ac:dyDescent="0.4">
      <c r="X8803"/>
      <c r="AO8803"/>
    </row>
    <row r="8804" spans="24:41" x14ac:dyDescent="0.4">
      <c r="X8804"/>
      <c r="AO8804"/>
    </row>
    <row r="8805" spans="24:41" x14ac:dyDescent="0.4">
      <c r="X8805"/>
      <c r="AO8805"/>
    </row>
    <row r="8806" spans="24:41" x14ac:dyDescent="0.4">
      <c r="X8806"/>
      <c r="AO8806"/>
    </row>
    <row r="8807" spans="24:41" x14ac:dyDescent="0.4">
      <c r="X8807"/>
      <c r="AO8807"/>
    </row>
    <row r="8808" spans="24:41" x14ac:dyDescent="0.4">
      <c r="X8808"/>
      <c r="AO8808"/>
    </row>
    <row r="8809" spans="24:41" x14ac:dyDescent="0.4">
      <c r="X8809"/>
      <c r="AO8809"/>
    </row>
    <row r="8810" spans="24:41" x14ac:dyDescent="0.4">
      <c r="X8810"/>
      <c r="AO8810"/>
    </row>
    <row r="8811" spans="24:41" x14ac:dyDescent="0.4">
      <c r="X8811"/>
      <c r="AO8811"/>
    </row>
    <row r="8812" spans="24:41" x14ac:dyDescent="0.4">
      <c r="X8812"/>
      <c r="AO8812"/>
    </row>
    <row r="8813" spans="24:41" x14ac:dyDescent="0.4">
      <c r="X8813"/>
      <c r="AO8813"/>
    </row>
    <row r="8814" spans="24:41" x14ac:dyDescent="0.4">
      <c r="X8814"/>
      <c r="AO8814"/>
    </row>
    <row r="8815" spans="24:41" x14ac:dyDescent="0.4">
      <c r="X8815"/>
      <c r="AO8815"/>
    </row>
    <row r="8816" spans="24:41" x14ac:dyDescent="0.4">
      <c r="X8816"/>
      <c r="AO8816"/>
    </row>
    <row r="8817" spans="24:41" x14ac:dyDescent="0.4">
      <c r="X8817"/>
      <c r="AO8817"/>
    </row>
    <row r="8818" spans="24:41" x14ac:dyDescent="0.4">
      <c r="X8818"/>
      <c r="AO8818"/>
    </row>
    <row r="8819" spans="24:41" x14ac:dyDescent="0.4">
      <c r="X8819"/>
      <c r="AO8819"/>
    </row>
    <row r="8820" spans="24:41" x14ac:dyDescent="0.4">
      <c r="X8820"/>
      <c r="AO8820"/>
    </row>
    <row r="8821" spans="24:41" x14ac:dyDescent="0.4">
      <c r="X8821"/>
      <c r="AO8821"/>
    </row>
    <row r="8822" spans="24:41" x14ac:dyDescent="0.4">
      <c r="X8822"/>
      <c r="AO8822"/>
    </row>
    <row r="8823" spans="24:41" x14ac:dyDescent="0.4">
      <c r="X8823"/>
      <c r="AO8823"/>
    </row>
    <row r="8824" spans="24:41" x14ac:dyDescent="0.4">
      <c r="X8824"/>
      <c r="AO8824"/>
    </row>
    <row r="8825" spans="24:41" x14ac:dyDescent="0.4">
      <c r="X8825"/>
      <c r="AO8825"/>
    </row>
    <row r="8826" spans="24:41" x14ac:dyDescent="0.4">
      <c r="X8826"/>
      <c r="AO8826"/>
    </row>
    <row r="8827" spans="24:41" x14ac:dyDescent="0.4">
      <c r="X8827"/>
      <c r="AO8827"/>
    </row>
    <row r="8828" spans="24:41" x14ac:dyDescent="0.4">
      <c r="X8828"/>
      <c r="AO8828"/>
    </row>
    <row r="8829" spans="24:41" x14ac:dyDescent="0.4">
      <c r="X8829"/>
      <c r="AO8829"/>
    </row>
    <row r="8830" spans="24:41" x14ac:dyDescent="0.4">
      <c r="X8830"/>
      <c r="AO8830"/>
    </row>
    <row r="8831" spans="24:41" x14ac:dyDescent="0.4">
      <c r="X8831"/>
      <c r="AO8831"/>
    </row>
    <row r="8832" spans="24:41" x14ac:dyDescent="0.4">
      <c r="X8832"/>
      <c r="AO8832"/>
    </row>
    <row r="8833" spans="24:41" x14ac:dyDescent="0.4">
      <c r="X8833"/>
      <c r="AO8833"/>
    </row>
    <row r="8834" spans="24:41" x14ac:dyDescent="0.4">
      <c r="X8834"/>
      <c r="AO8834"/>
    </row>
    <row r="8835" spans="24:41" x14ac:dyDescent="0.4">
      <c r="X8835"/>
      <c r="AO8835"/>
    </row>
    <row r="8836" spans="24:41" x14ac:dyDescent="0.4">
      <c r="X8836"/>
      <c r="AO8836"/>
    </row>
    <row r="8837" spans="24:41" x14ac:dyDescent="0.4">
      <c r="X8837"/>
      <c r="AO8837"/>
    </row>
    <row r="8838" spans="24:41" x14ac:dyDescent="0.4">
      <c r="X8838"/>
      <c r="AO8838"/>
    </row>
    <row r="8839" spans="24:41" x14ac:dyDescent="0.4">
      <c r="X8839"/>
      <c r="AO8839"/>
    </row>
    <row r="8840" spans="24:41" x14ac:dyDescent="0.4">
      <c r="X8840"/>
      <c r="AO8840"/>
    </row>
    <row r="8841" spans="24:41" x14ac:dyDescent="0.4">
      <c r="X8841"/>
      <c r="AO8841"/>
    </row>
    <row r="8842" spans="24:41" x14ac:dyDescent="0.4">
      <c r="X8842"/>
      <c r="AO8842"/>
    </row>
    <row r="8843" spans="24:41" x14ac:dyDescent="0.4">
      <c r="X8843"/>
      <c r="AO8843"/>
    </row>
    <row r="8844" spans="24:41" x14ac:dyDescent="0.4">
      <c r="X8844"/>
      <c r="AO8844"/>
    </row>
    <row r="8845" spans="24:41" x14ac:dyDescent="0.4">
      <c r="X8845"/>
      <c r="AO8845"/>
    </row>
    <row r="8846" spans="24:41" x14ac:dyDescent="0.4">
      <c r="X8846"/>
      <c r="AO8846"/>
    </row>
    <row r="8847" spans="24:41" x14ac:dyDescent="0.4">
      <c r="X8847"/>
      <c r="AO8847"/>
    </row>
    <row r="8848" spans="24:41" x14ac:dyDescent="0.4">
      <c r="X8848"/>
      <c r="AO8848"/>
    </row>
    <row r="8849" spans="24:41" x14ac:dyDescent="0.4">
      <c r="X8849"/>
      <c r="AO8849"/>
    </row>
    <row r="8850" spans="24:41" x14ac:dyDescent="0.4">
      <c r="X8850"/>
      <c r="AO8850"/>
    </row>
    <row r="8851" spans="24:41" x14ac:dyDescent="0.4">
      <c r="X8851"/>
      <c r="AO8851"/>
    </row>
    <row r="8852" spans="24:41" x14ac:dyDescent="0.4">
      <c r="X8852"/>
      <c r="AO8852"/>
    </row>
    <row r="8853" spans="24:41" x14ac:dyDescent="0.4">
      <c r="X8853"/>
      <c r="AO8853"/>
    </row>
    <row r="8854" spans="24:41" x14ac:dyDescent="0.4">
      <c r="X8854"/>
      <c r="AO8854"/>
    </row>
    <row r="8855" spans="24:41" x14ac:dyDescent="0.4">
      <c r="X8855"/>
      <c r="AO8855"/>
    </row>
    <row r="8856" spans="24:41" x14ac:dyDescent="0.4">
      <c r="X8856"/>
      <c r="AO8856"/>
    </row>
    <row r="8857" spans="24:41" x14ac:dyDescent="0.4">
      <c r="X8857"/>
      <c r="AO8857"/>
    </row>
    <row r="8858" spans="24:41" x14ac:dyDescent="0.4">
      <c r="X8858"/>
      <c r="AO8858"/>
    </row>
    <row r="8859" spans="24:41" x14ac:dyDescent="0.4">
      <c r="X8859"/>
      <c r="AO8859"/>
    </row>
    <row r="8860" spans="24:41" x14ac:dyDescent="0.4">
      <c r="X8860"/>
      <c r="AO8860"/>
    </row>
    <row r="8861" spans="24:41" x14ac:dyDescent="0.4">
      <c r="X8861"/>
      <c r="AO8861"/>
    </row>
    <row r="8862" spans="24:41" x14ac:dyDescent="0.4">
      <c r="X8862"/>
      <c r="AO8862"/>
    </row>
    <row r="8863" spans="24:41" x14ac:dyDescent="0.4">
      <c r="X8863"/>
      <c r="AO8863"/>
    </row>
    <row r="8864" spans="24:41" x14ac:dyDescent="0.4">
      <c r="X8864"/>
      <c r="AO8864"/>
    </row>
    <row r="8865" spans="24:41" x14ac:dyDescent="0.4">
      <c r="X8865"/>
      <c r="AO8865"/>
    </row>
    <row r="8866" spans="24:41" x14ac:dyDescent="0.4">
      <c r="X8866"/>
      <c r="AO8866"/>
    </row>
    <row r="8867" spans="24:41" x14ac:dyDescent="0.4">
      <c r="X8867"/>
      <c r="AO8867"/>
    </row>
    <row r="8868" spans="24:41" x14ac:dyDescent="0.4">
      <c r="X8868"/>
      <c r="AO8868"/>
    </row>
    <row r="8869" spans="24:41" x14ac:dyDescent="0.4">
      <c r="X8869"/>
      <c r="AO8869"/>
    </row>
    <row r="8870" spans="24:41" x14ac:dyDescent="0.4">
      <c r="X8870"/>
      <c r="AO8870"/>
    </row>
    <row r="8871" spans="24:41" x14ac:dyDescent="0.4">
      <c r="X8871"/>
      <c r="AO8871"/>
    </row>
    <row r="8872" spans="24:41" x14ac:dyDescent="0.4">
      <c r="X8872"/>
      <c r="AO8872"/>
    </row>
    <row r="8873" spans="24:41" x14ac:dyDescent="0.4">
      <c r="X8873"/>
      <c r="AO8873"/>
    </row>
    <row r="8874" spans="24:41" x14ac:dyDescent="0.4">
      <c r="X8874"/>
      <c r="AO8874"/>
    </row>
    <row r="8875" spans="24:41" x14ac:dyDescent="0.4">
      <c r="X8875"/>
      <c r="AO8875"/>
    </row>
    <row r="8876" spans="24:41" x14ac:dyDescent="0.4">
      <c r="X8876"/>
      <c r="AO8876"/>
    </row>
    <row r="8877" spans="24:41" x14ac:dyDescent="0.4">
      <c r="X8877"/>
      <c r="AO8877"/>
    </row>
    <row r="8878" spans="24:41" x14ac:dyDescent="0.4">
      <c r="X8878"/>
      <c r="AO8878"/>
    </row>
    <row r="8879" spans="24:41" x14ac:dyDescent="0.4">
      <c r="X8879"/>
      <c r="AO8879"/>
    </row>
    <row r="8880" spans="24:41" x14ac:dyDescent="0.4">
      <c r="X8880"/>
      <c r="AO8880"/>
    </row>
    <row r="8881" spans="24:41" x14ac:dyDescent="0.4">
      <c r="X8881"/>
      <c r="AO8881"/>
    </row>
    <row r="8882" spans="24:41" x14ac:dyDescent="0.4">
      <c r="X8882"/>
      <c r="AO8882"/>
    </row>
    <row r="8883" spans="24:41" x14ac:dyDescent="0.4">
      <c r="X8883"/>
      <c r="AO8883"/>
    </row>
    <row r="8884" spans="24:41" x14ac:dyDescent="0.4">
      <c r="X8884"/>
      <c r="AO8884"/>
    </row>
    <row r="8885" spans="24:41" x14ac:dyDescent="0.4">
      <c r="X8885"/>
      <c r="AO8885"/>
    </row>
    <row r="8886" spans="24:41" x14ac:dyDescent="0.4">
      <c r="X8886"/>
      <c r="AO8886"/>
    </row>
    <row r="8887" spans="24:41" x14ac:dyDescent="0.4">
      <c r="X8887"/>
      <c r="AO8887"/>
    </row>
    <row r="8888" spans="24:41" x14ac:dyDescent="0.4">
      <c r="X8888"/>
      <c r="AO8888"/>
    </row>
    <row r="8889" spans="24:41" x14ac:dyDescent="0.4">
      <c r="X8889"/>
      <c r="AO8889"/>
    </row>
    <row r="8890" spans="24:41" x14ac:dyDescent="0.4">
      <c r="X8890"/>
      <c r="AO8890"/>
    </row>
    <row r="8891" spans="24:41" x14ac:dyDescent="0.4">
      <c r="X8891"/>
      <c r="AO8891"/>
    </row>
    <row r="8892" spans="24:41" x14ac:dyDescent="0.4">
      <c r="X8892"/>
      <c r="AO8892"/>
    </row>
    <row r="8893" spans="24:41" x14ac:dyDescent="0.4">
      <c r="X8893"/>
      <c r="AO8893"/>
    </row>
    <row r="8894" spans="24:41" x14ac:dyDescent="0.4">
      <c r="X8894"/>
      <c r="AO8894"/>
    </row>
    <row r="8895" spans="24:41" x14ac:dyDescent="0.4">
      <c r="X8895"/>
      <c r="AO8895"/>
    </row>
    <row r="8896" spans="24:41" x14ac:dyDescent="0.4">
      <c r="X8896"/>
      <c r="AO8896"/>
    </row>
    <row r="8897" spans="24:41" x14ac:dyDescent="0.4">
      <c r="X8897"/>
      <c r="AO8897"/>
    </row>
    <row r="8898" spans="24:41" x14ac:dyDescent="0.4">
      <c r="X8898"/>
      <c r="AO8898"/>
    </row>
    <row r="8899" spans="24:41" x14ac:dyDescent="0.4">
      <c r="X8899"/>
      <c r="AO8899"/>
    </row>
    <row r="8900" spans="24:41" x14ac:dyDescent="0.4">
      <c r="X8900"/>
      <c r="AO8900"/>
    </row>
    <row r="8901" spans="24:41" x14ac:dyDescent="0.4">
      <c r="X8901"/>
      <c r="AO8901"/>
    </row>
    <row r="8902" spans="24:41" x14ac:dyDescent="0.4">
      <c r="X8902"/>
      <c r="AO8902"/>
    </row>
    <row r="8903" spans="24:41" x14ac:dyDescent="0.4">
      <c r="X8903"/>
      <c r="AO8903"/>
    </row>
    <row r="8904" spans="24:41" x14ac:dyDescent="0.4">
      <c r="X8904"/>
      <c r="AO8904"/>
    </row>
    <row r="8905" spans="24:41" x14ac:dyDescent="0.4">
      <c r="X8905"/>
      <c r="AO8905"/>
    </row>
    <row r="8906" spans="24:41" x14ac:dyDescent="0.4">
      <c r="X8906"/>
      <c r="AO8906"/>
    </row>
    <row r="8907" spans="24:41" x14ac:dyDescent="0.4">
      <c r="X8907"/>
      <c r="AO8907"/>
    </row>
    <row r="8908" spans="24:41" x14ac:dyDescent="0.4">
      <c r="X8908"/>
      <c r="AO8908"/>
    </row>
    <row r="8909" spans="24:41" x14ac:dyDescent="0.4">
      <c r="X8909"/>
      <c r="AO8909"/>
    </row>
    <row r="8910" spans="24:41" x14ac:dyDescent="0.4">
      <c r="X8910"/>
      <c r="AO8910"/>
    </row>
    <row r="8911" spans="24:41" x14ac:dyDescent="0.4">
      <c r="X8911"/>
      <c r="AO8911"/>
    </row>
    <row r="8912" spans="24:41" x14ac:dyDescent="0.4">
      <c r="X8912"/>
      <c r="AO8912"/>
    </row>
    <row r="8913" spans="24:41" x14ac:dyDescent="0.4">
      <c r="X8913"/>
      <c r="AO8913"/>
    </row>
    <row r="8914" spans="24:41" x14ac:dyDescent="0.4">
      <c r="X8914"/>
      <c r="AO8914"/>
    </row>
    <row r="8915" spans="24:41" x14ac:dyDescent="0.4">
      <c r="X8915"/>
      <c r="AO8915"/>
    </row>
    <row r="8916" spans="24:41" x14ac:dyDescent="0.4">
      <c r="X8916"/>
      <c r="AO8916"/>
    </row>
    <row r="8917" spans="24:41" x14ac:dyDescent="0.4">
      <c r="X8917"/>
      <c r="AO8917"/>
    </row>
    <row r="8918" spans="24:41" x14ac:dyDescent="0.4">
      <c r="X8918"/>
      <c r="AO8918"/>
    </row>
    <row r="8919" spans="24:41" x14ac:dyDescent="0.4">
      <c r="X8919"/>
      <c r="AO8919"/>
    </row>
    <row r="8920" spans="24:41" x14ac:dyDescent="0.4">
      <c r="X8920"/>
      <c r="AO8920"/>
    </row>
    <row r="8921" spans="24:41" x14ac:dyDescent="0.4">
      <c r="X8921"/>
      <c r="AO8921"/>
    </row>
    <row r="8922" spans="24:41" x14ac:dyDescent="0.4">
      <c r="X8922"/>
      <c r="AO8922"/>
    </row>
    <row r="8923" spans="24:41" x14ac:dyDescent="0.4">
      <c r="X8923"/>
      <c r="AO8923"/>
    </row>
    <row r="8924" spans="24:41" x14ac:dyDescent="0.4">
      <c r="X8924"/>
      <c r="AO8924"/>
    </row>
    <row r="8925" spans="24:41" x14ac:dyDescent="0.4">
      <c r="X8925"/>
      <c r="AO8925"/>
    </row>
    <row r="8926" spans="24:41" x14ac:dyDescent="0.4">
      <c r="X8926"/>
      <c r="AO8926"/>
    </row>
    <row r="8927" spans="24:41" x14ac:dyDescent="0.4">
      <c r="X8927"/>
      <c r="AO8927"/>
    </row>
    <row r="8928" spans="24:41" x14ac:dyDescent="0.4">
      <c r="X8928"/>
      <c r="AO8928"/>
    </row>
    <row r="8929" spans="24:41" x14ac:dyDescent="0.4">
      <c r="X8929"/>
      <c r="AO8929"/>
    </row>
    <row r="8930" spans="24:41" x14ac:dyDescent="0.4">
      <c r="X8930"/>
      <c r="AO8930"/>
    </row>
    <row r="8931" spans="24:41" x14ac:dyDescent="0.4">
      <c r="X8931"/>
      <c r="AO8931"/>
    </row>
    <row r="8932" spans="24:41" x14ac:dyDescent="0.4">
      <c r="X8932"/>
      <c r="AO8932"/>
    </row>
    <row r="8933" spans="24:41" x14ac:dyDescent="0.4">
      <c r="X8933"/>
      <c r="AO8933"/>
    </row>
    <row r="8934" spans="24:41" x14ac:dyDescent="0.4">
      <c r="X8934"/>
      <c r="AO8934"/>
    </row>
    <row r="8935" spans="24:41" x14ac:dyDescent="0.4">
      <c r="X8935"/>
      <c r="AO8935"/>
    </row>
    <row r="8936" spans="24:41" x14ac:dyDescent="0.4">
      <c r="X8936"/>
      <c r="AO8936"/>
    </row>
    <row r="8937" spans="24:41" x14ac:dyDescent="0.4">
      <c r="X8937"/>
      <c r="AO8937"/>
    </row>
    <row r="8938" spans="24:41" x14ac:dyDescent="0.4">
      <c r="X8938"/>
      <c r="AO8938"/>
    </row>
    <row r="8939" spans="24:41" x14ac:dyDescent="0.4">
      <c r="X8939"/>
      <c r="AO8939"/>
    </row>
    <row r="8940" spans="24:41" x14ac:dyDescent="0.4">
      <c r="X8940"/>
      <c r="AO8940"/>
    </row>
    <row r="8941" spans="24:41" x14ac:dyDescent="0.4">
      <c r="X8941"/>
      <c r="AO8941"/>
    </row>
    <row r="8942" spans="24:41" x14ac:dyDescent="0.4">
      <c r="X8942"/>
      <c r="AO8942"/>
    </row>
    <row r="8943" spans="24:41" x14ac:dyDescent="0.4">
      <c r="X8943"/>
      <c r="AO8943"/>
    </row>
    <row r="8944" spans="24:41" x14ac:dyDescent="0.4">
      <c r="X8944"/>
      <c r="AO8944"/>
    </row>
    <row r="8945" spans="24:41" x14ac:dyDescent="0.4">
      <c r="X8945"/>
      <c r="AO8945"/>
    </row>
    <row r="8946" spans="24:41" x14ac:dyDescent="0.4">
      <c r="X8946"/>
      <c r="AO8946"/>
    </row>
    <row r="8947" spans="24:41" x14ac:dyDescent="0.4">
      <c r="X8947"/>
      <c r="AO8947"/>
    </row>
    <row r="8948" spans="24:41" x14ac:dyDescent="0.4">
      <c r="X8948"/>
      <c r="AO8948"/>
    </row>
    <row r="8949" spans="24:41" x14ac:dyDescent="0.4">
      <c r="X8949"/>
      <c r="AO8949"/>
    </row>
    <row r="8950" spans="24:41" x14ac:dyDescent="0.4">
      <c r="X8950"/>
      <c r="AO8950"/>
    </row>
    <row r="8951" spans="24:41" x14ac:dyDescent="0.4">
      <c r="X8951"/>
      <c r="AO8951"/>
    </row>
    <row r="8952" spans="24:41" x14ac:dyDescent="0.4">
      <c r="X8952"/>
      <c r="AO8952"/>
    </row>
    <row r="8953" spans="24:41" x14ac:dyDescent="0.4">
      <c r="X8953"/>
      <c r="AO8953"/>
    </row>
    <row r="8954" spans="24:41" x14ac:dyDescent="0.4">
      <c r="X8954"/>
      <c r="AO8954"/>
    </row>
    <row r="8955" spans="24:41" x14ac:dyDescent="0.4">
      <c r="X8955"/>
      <c r="AO8955"/>
    </row>
    <row r="8956" spans="24:41" x14ac:dyDescent="0.4">
      <c r="X8956"/>
      <c r="AO8956"/>
    </row>
    <row r="8957" spans="24:41" x14ac:dyDescent="0.4">
      <c r="X8957"/>
      <c r="AO8957"/>
    </row>
    <row r="8958" spans="24:41" x14ac:dyDescent="0.4">
      <c r="X8958"/>
      <c r="AO8958"/>
    </row>
    <row r="8959" spans="24:41" x14ac:dyDescent="0.4">
      <c r="X8959"/>
      <c r="AO8959"/>
    </row>
    <row r="8960" spans="24:41" x14ac:dyDescent="0.4">
      <c r="X8960"/>
      <c r="AO8960"/>
    </row>
    <row r="8961" spans="24:41" x14ac:dyDescent="0.4">
      <c r="X8961"/>
      <c r="AO8961"/>
    </row>
    <row r="8962" spans="24:41" x14ac:dyDescent="0.4">
      <c r="X8962"/>
      <c r="AO8962"/>
    </row>
    <row r="8963" spans="24:41" x14ac:dyDescent="0.4">
      <c r="X8963"/>
      <c r="AO8963"/>
    </row>
    <row r="8964" spans="24:41" x14ac:dyDescent="0.4">
      <c r="X8964"/>
      <c r="AO8964"/>
    </row>
    <row r="8965" spans="24:41" x14ac:dyDescent="0.4">
      <c r="X8965"/>
      <c r="AO8965"/>
    </row>
    <row r="8966" spans="24:41" x14ac:dyDescent="0.4">
      <c r="X8966"/>
      <c r="AO8966"/>
    </row>
    <row r="8967" spans="24:41" x14ac:dyDescent="0.4">
      <c r="X8967"/>
      <c r="AO8967"/>
    </row>
    <row r="8968" spans="24:41" x14ac:dyDescent="0.4">
      <c r="X8968"/>
      <c r="AO8968"/>
    </row>
    <row r="8969" spans="24:41" x14ac:dyDescent="0.4">
      <c r="X8969"/>
      <c r="AO8969"/>
    </row>
    <row r="8970" spans="24:41" x14ac:dyDescent="0.4">
      <c r="X8970"/>
      <c r="AO8970"/>
    </row>
    <row r="8971" spans="24:41" x14ac:dyDescent="0.4">
      <c r="X8971"/>
      <c r="AO8971"/>
    </row>
    <row r="8972" spans="24:41" x14ac:dyDescent="0.4">
      <c r="X8972"/>
      <c r="AO8972"/>
    </row>
    <row r="8973" spans="24:41" x14ac:dyDescent="0.4">
      <c r="X8973"/>
      <c r="AO8973"/>
    </row>
    <row r="8974" spans="24:41" x14ac:dyDescent="0.4">
      <c r="X8974"/>
      <c r="AO8974"/>
    </row>
    <row r="8975" spans="24:41" x14ac:dyDescent="0.4">
      <c r="X8975"/>
      <c r="AO8975"/>
    </row>
    <row r="8976" spans="24:41" x14ac:dyDescent="0.4">
      <c r="X8976"/>
      <c r="AO8976"/>
    </row>
    <row r="8977" spans="24:41" x14ac:dyDescent="0.4">
      <c r="X8977"/>
      <c r="AO8977"/>
    </row>
    <row r="8978" spans="24:41" x14ac:dyDescent="0.4">
      <c r="X8978"/>
      <c r="AO8978"/>
    </row>
    <row r="8979" spans="24:41" x14ac:dyDescent="0.4">
      <c r="X8979"/>
      <c r="AO8979"/>
    </row>
    <row r="8980" spans="24:41" x14ac:dyDescent="0.4">
      <c r="X8980"/>
      <c r="AO8980"/>
    </row>
    <row r="8981" spans="24:41" x14ac:dyDescent="0.4">
      <c r="X8981"/>
      <c r="AO8981"/>
    </row>
    <row r="8982" spans="24:41" x14ac:dyDescent="0.4">
      <c r="X8982"/>
      <c r="AO8982"/>
    </row>
    <row r="8983" spans="24:41" x14ac:dyDescent="0.4">
      <c r="X8983"/>
      <c r="AO8983"/>
    </row>
    <row r="8984" spans="24:41" x14ac:dyDescent="0.4">
      <c r="X8984"/>
      <c r="AO8984"/>
    </row>
    <row r="8985" spans="24:41" x14ac:dyDescent="0.4">
      <c r="X8985"/>
      <c r="AO8985"/>
    </row>
    <row r="8986" spans="24:41" x14ac:dyDescent="0.4">
      <c r="X8986"/>
      <c r="AO8986"/>
    </row>
    <row r="8987" spans="24:41" x14ac:dyDescent="0.4">
      <c r="X8987"/>
      <c r="AO8987"/>
    </row>
    <row r="8988" spans="24:41" x14ac:dyDescent="0.4">
      <c r="X8988"/>
      <c r="AO8988"/>
    </row>
    <row r="8989" spans="24:41" x14ac:dyDescent="0.4">
      <c r="X8989"/>
      <c r="AO8989"/>
    </row>
    <row r="8990" spans="24:41" x14ac:dyDescent="0.4">
      <c r="X8990"/>
      <c r="AO8990"/>
    </row>
    <row r="8991" spans="24:41" x14ac:dyDescent="0.4">
      <c r="X8991"/>
      <c r="AO8991"/>
    </row>
    <row r="8992" spans="24:41" x14ac:dyDescent="0.4">
      <c r="X8992"/>
      <c r="AO8992"/>
    </row>
    <row r="8993" spans="24:41" x14ac:dyDescent="0.4">
      <c r="X8993"/>
      <c r="AO8993"/>
    </row>
    <row r="8994" spans="24:41" x14ac:dyDescent="0.4">
      <c r="X8994"/>
      <c r="AO8994"/>
    </row>
    <row r="8995" spans="24:41" x14ac:dyDescent="0.4">
      <c r="X8995"/>
      <c r="AO8995"/>
    </row>
    <row r="8996" spans="24:41" x14ac:dyDescent="0.4">
      <c r="X8996"/>
      <c r="AO8996"/>
    </row>
    <row r="8997" spans="24:41" x14ac:dyDescent="0.4">
      <c r="X8997"/>
      <c r="AO8997"/>
    </row>
    <row r="8998" spans="24:41" x14ac:dyDescent="0.4">
      <c r="X8998"/>
      <c r="AO8998"/>
    </row>
    <row r="8999" spans="24:41" x14ac:dyDescent="0.4">
      <c r="X8999"/>
      <c r="AO8999"/>
    </row>
    <row r="9000" spans="24:41" x14ac:dyDescent="0.4">
      <c r="X9000"/>
      <c r="AO9000"/>
    </row>
    <row r="9001" spans="24:41" x14ac:dyDescent="0.4">
      <c r="X9001"/>
      <c r="AO9001"/>
    </row>
    <row r="9002" spans="24:41" x14ac:dyDescent="0.4">
      <c r="X9002"/>
      <c r="AO9002"/>
    </row>
    <row r="9003" spans="24:41" x14ac:dyDescent="0.4">
      <c r="X9003"/>
      <c r="AO9003"/>
    </row>
    <row r="9004" spans="24:41" x14ac:dyDescent="0.4">
      <c r="X9004"/>
      <c r="AO9004"/>
    </row>
    <row r="9005" spans="24:41" x14ac:dyDescent="0.4">
      <c r="X9005"/>
      <c r="AO9005"/>
    </row>
    <row r="9006" spans="24:41" x14ac:dyDescent="0.4">
      <c r="X9006"/>
      <c r="AO9006"/>
    </row>
    <row r="9007" spans="24:41" x14ac:dyDescent="0.4">
      <c r="X9007"/>
      <c r="AO9007"/>
    </row>
    <row r="9008" spans="24:41" x14ac:dyDescent="0.4">
      <c r="X9008"/>
      <c r="AO9008"/>
    </row>
    <row r="9009" spans="24:41" x14ac:dyDescent="0.4">
      <c r="X9009"/>
      <c r="AO9009"/>
    </row>
    <row r="9010" spans="24:41" x14ac:dyDescent="0.4">
      <c r="X9010"/>
      <c r="AO9010"/>
    </row>
    <row r="9011" spans="24:41" x14ac:dyDescent="0.4">
      <c r="X9011"/>
      <c r="AO9011"/>
    </row>
    <row r="9012" spans="24:41" x14ac:dyDescent="0.4">
      <c r="X9012"/>
      <c r="AO9012"/>
    </row>
    <row r="9013" spans="24:41" x14ac:dyDescent="0.4">
      <c r="X9013"/>
      <c r="AO9013"/>
    </row>
    <row r="9014" spans="24:41" x14ac:dyDescent="0.4">
      <c r="X9014"/>
      <c r="AO9014"/>
    </row>
    <row r="9015" spans="24:41" x14ac:dyDescent="0.4">
      <c r="X9015"/>
      <c r="AO9015"/>
    </row>
    <row r="9016" spans="24:41" x14ac:dyDescent="0.4">
      <c r="X9016"/>
      <c r="AO9016"/>
    </row>
    <row r="9017" spans="24:41" x14ac:dyDescent="0.4">
      <c r="X9017"/>
      <c r="AO9017"/>
    </row>
    <row r="9018" spans="24:41" x14ac:dyDescent="0.4">
      <c r="X9018"/>
      <c r="AO9018"/>
    </row>
    <row r="9019" spans="24:41" x14ac:dyDescent="0.4">
      <c r="X9019"/>
      <c r="AO9019"/>
    </row>
    <row r="9020" spans="24:41" x14ac:dyDescent="0.4">
      <c r="X9020"/>
      <c r="AO9020"/>
    </row>
    <row r="9021" spans="24:41" x14ac:dyDescent="0.4">
      <c r="X9021"/>
      <c r="AO9021"/>
    </row>
    <row r="9022" spans="24:41" x14ac:dyDescent="0.4">
      <c r="X9022"/>
      <c r="AO9022"/>
    </row>
    <row r="9023" spans="24:41" x14ac:dyDescent="0.4">
      <c r="X9023"/>
      <c r="AO9023"/>
    </row>
    <row r="9024" spans="24:41" x14ac:dyDescent="0.4">
      <c r="X9024"/>
      <c r="AO9024"/>
    </row>
    <row r="9025" spans="24:41" x14ac:dyDescent="0.4">
      <c r="X9025"/>
      <c r="AO9025"/>
    </row>
    <row r="9026" spans="24:41" x14ac:dyDescent="0.4">
      <c r="X9026"/>
      <c r="AO9026"/>
    </row>
    <row r="9027" spans="24:41" x14ac:dyDescent="0.4">
      <c r="X9027"/>
      <c r="AO9027"/>
    </row>
    <row r="9028" spans="24:41" x14ac:dyDescent="0.4">
      <c r="X9028"/>
      <c r="AO9028"/>
    </row>
    <row r="9029" spans="24:41" x14ac:dyDescent="0.4">
      <c r="X9029"/>
      <c r="AO9029"/>
    </row>
    <row r="9030" spans="24:41" x14ac:dyDescent="0.4">
      <c r="X9030"/>
      <c r="AO9030"/>
    </row>
    <row r="9031" spans="24:41" x14ac:dyDescent="0.4">
      <c r="X9031"/>
      <c r="AO9031"/>
    </row>
    <row r="9032" spans="24:41" x14ac:dyDescent="0.4">
      <c r="X9032"/>
      <c r="AO9032"/>
    </row>
    <row r="9033" spans="24:41" x14ac:dyDescent="0.4">
      <c r="X9033"/>
      <c r="AO9033"/>
    </row>
    <row r="9034" spans="24:41" x14ac:dyDescent="0.4">
      <c r="X9034"/>
      <c r="AO9034"/>
    </row>
    <row r="9035" spans="24:41" x14ac:dyDescent="0.4">
      <c r="X9035"/>
      <c r="AO9035"/>
    </row>
    <row r="9036" spans="24:41" x14ac:dyDescent="0.4">
      <c r="X9036"/>
      <c r="AO9036"/>
    </row>
    <row r="9037" spans="24:41" x14ac:dyDescent="0.4">
      <c r="X9037"/>
      <c r="AO9037"/>
    </row>
    <row r="9038" spans="24:41" x14ac:dyDescent="0.4">
      <c r="X9038"/>
      <c r="AO9038"/>
    </row>
    <row r="9039" spans="24:41" x14ac:dyDescent="0.4">
      <c r="X9039"/>
      <c r="AO9039"/>
    </row>
    <row r="9040" spans="24:41" x14ac:dyDescent="0.4">
      <c r="X9040"/>
      <c r="AO9040"/>
    </row>
    <row r="9041" spans="24:41" x14ac:dyDescent="0.4">
      <c r="X9041"/>
      <c r="AO9041"/>
    </row>
    <row r="9042" spans="24:41" x14ac:dyDescent="0.4">
      <c r="X9042"/>
      <c r="AO9042"/>
    </row>
    <row r="9043" spans="24:41" x14ac:dyDescent="0.4">
      <c r="X9043"/>
      <c r="AO9043"/>
    </row>
    <row r="9044" spans="24:41" x14ac:dyDescent="0.4">
      <c r="X9044"/>
      <c r="AO9044"/>
    </row>
    <row r="9045" spans="24:41" x14ac:dyDescent="0.4">
      <c r="X9045"/>
      <c r="AO9045"/>
    </row>
    <row r="9046" spans="24:41" x14ac:dyDescent="0.4">
      <c r="X9046"/>
      <c r="AO9046"/>
    </row>
    <row r="9047" spans="24:41" x14ac:dyDescent="0.4">
      <c r="X9047"/>
      <c r="AO9047"/>
    </row>
    <row r="9048" spans="24:41" x14ac:dyDescent="0.4">
      <c r="X9048"/>
      <c r="AO9048"/>
    </row>
    <row r="9049" spans="24:41" x14ac:dyDescent="0.4">
      <c r="X9049"/>
      <c r="AO9049"/>
    </row>
    <row r="9050" spans="24:41" x14ac:dyDescent="0.4">
      <c r="X9050"/>
      <c r="AO9050"/>
    </row>
    <row r="9051" spans="24:41" x14ac:dyDescent="0.4">
      <c r="X9051"/>
      <c r="AO9051"/>
    </row>
    <row r="9052" spans="24:41" x14ac:dyDescent="0.4">
      <c r="X9052"/>
      <c r="AO9052"/>
    </row>
    <row r="9053" spans="24:41" x14ac:dyDescent="0.4">
      <c r="X9053"/>
      <c r="AO9053"/>
    </row>
    <row r="9054" spans="24:41" x14ac:dyDescent="0.4">
      <c r="X9054"/>
      <c r="AO9054"/>
    </row>
    <row r="9055" spans="24:41" x14ac:dyDescent="0.4">
      <c r="X9055"/>
      <c r="AO9055"/>
    </row>
    <row r="9056" spans="24:41" x14ac:dyDescent="0.4">
      <c r="X9056"/>
      <c r="AO9056"/>
    </row>
    <row r="9057" spans="24:41" x14ac:dyDescent="0.4">
      <c r="X9057"/>
      <c r="AO9057"/>
    </row>
    <row r="9058" spans="24:41" x14ac:dyDescent="0.4">
      <c r="X9058"/>
      <c r="AO9058"/>
    </row>
    <row r="9059" spans="24:41" x14ac:dyDescent="0.4">
      <c r="X9059"/>
      <c r="AO9059"/>
    </row>
    <row r="9060" spans="24:41" x14ac:dyDescent="0.4">
      <c r="X9060"/>
      <c r="AO9060"/>
    </row>
    <row r="9061" spans="24:41" x14ac:dyDescent="0.4">
      <c r="X9061"/>
      <c r="AO9061"/>
    </row>
    <row r="9062" spans="24:41" x14ac:dyDescent="0.4">
      <c r="X9062"/>
      <c r="AO9062"/>
    </row>
    <row r="9063" spans="24:41" x14ac:dyDescent="0.4">
      <c r="X9063"/>
      <c r="AO9063"/>
    </row>
    <row r="9064" spans="24:41" x14ac:dyDescent="0.4">
      <c r="X9064"/>
      <c r="AO9064"/>
    </row>
    <row r="9065" spans="24:41" x14ac:dyDescent="0.4">
      <c r="X9065"/>
      <c r="AO9065"/>
    </row>
    <row r="9066" spans="24:41" x14ac:dyDescent="0.4">
      <c r="X9066"/>
      <c r="AO9066"/>
    </row>
    <row r="9067" spans="24:41" x14ac:dyDescent="0.4">
      <c r="X9067"/>
      <c r="AO9067"/>
    </row>
    <row r="9068" spans="24:41" x14ac:dyDescent="0.4">
      <c r="X9068"/>
      <c r="AO9068"/>
    </row>
    <row r="9069" spans="24:41" x14ac:dyDescent="0.4">
      <c r="X9069"/>
      <c r="AO9069"/>
    </row>
    <row r="9070" spans="24:41" x14ac:dyDescent="0.4">
      <c r="X9070"/>
      <c r="AO9070"/>
    </row>
    <row r="9071" spans="24:41" x14ac:dyDescent="0.4">
      <c r="X9071"/>
      <c r="AO9071"/>
    </row>
    <row r="9072" spans="24:41" x14ac:dyDescent="0.4">
      <c r="X9072"/>
      <c r="AO9072"/>
    </row>
    <row r="9073" spans="24:41" x14ac:dyDescent="0.4">
      <c r="X9073"/>
      <c r="AO9073"/>
    </row>
    <row r="9074" spans="24:41" x14ac:dyDescent="0.4">
      <c r="X9074"/>
      <c r="AO9074"/>
    </row>
    <row r="9075" spans="24:41" x14ac:dyDescent="0.4">
      <c r="X9075"/>
      <c r="AO9075"/>
    </row>
    <row r="9076" spans="24:41" x14ac:dyDescent="0.4">
      <c r="X9076"/>
      <c r="AO9076"/>
    </row>
    <row r="9077" spans="24:41" x14ac:dyDescent="0.4">
      <c r="X9077"/>
      <c r="AO9077"/>
    </row>
    <row r="9078" spans="24:41" x14ac:dyDescent="0.4">
      <c r="X9078"/>
      <c r="AO9078"/>
    </row>
    <row r="9079" spans="24:41" x14ac:dyDescent="0.4">
      <c r="X9079"/>
      <c r="AO9079"/>
    </row>
    <row r="9080" spans="24:41" x14ac:dyDescent="0.4">
      <c r="X9080"/>
      <c r="AO9080"/>
    </row>
    <row r="9081" spans="24:41" x14ac:dyDescent="0.4">
      <c r="X9081"/>
      <c r="AO9081"/>
    </row>
    <row r="9082" spans="24:41" x14ac:dyDescent="0.4">
      <c r="X9082"/>
      <c r="AO9082"/>
    </row>
    <row r="9083" spans="24:41" x14ac:dyDescent="0.4">
      <c r="X9083"/>
      <c r="AO9083"/>
    </row>
    <row r="9084" spans="24:41" x14ac:dyDescent="0.4">
      <c r="X9084"/>
      <c r="AO9084"/>
    </row>
    <row r="9085" spans="24:41" x14ac:dyDescent="0.4">
      <c r="X9085"/>
      <c r="AO9085"/>
    </row>
    <row r="9086" spans="24:41" x14ac:dyDescent="0.4">
      <c r="X9086"/>
      <c r="AO9086"/>
    </row>
    <row r="9087" spans="24:41" x14ac:dyDescent="0.4">
      <c r="X9087"/>
      <c r="AO9087"/>
    </row>
    <row r="9088" spans="24:41" x14ac:dyDescent="0.4">
      <c r="X9088"/>
      <c r="AO9088"/>
    </row>
    <row r="9089" spans="24:41" x14ac:dyDescent="0.4">
      <c r="X9089"/>
      <c r="AO9089"/>
    </row>
    <row r="9090" spans="24:41" x14ac:dyDescent="0.4">
      <c r="X9090"/>
      <c r="AO9090"/>
    </row>
    <row r="9091" spans="24:41" x14ac:dyDescent="0.4">
      <c r="X9091"/>
      <c r="AO9091"/>
    </row>
    <row r="9092" spans="24:41" x14ac:dyDescent="0.4">
      <c r="X9092"/>
      <c r="AO9092"/>
    </row>
    <row r="9093" spans="24:41" x14ac:dyDescent="0.4">
      <c r="X9093"/>
      <c r="AO9093"/>
    </row>
    <row r="9094" spans="24:41" x14ac:dyDescent="0.4">
      <c r="X9094"/>
      <c r="AO9094"/>
    </row>
    <row r="9095" spans="24:41" x14ac:dyDescent="0.4">
      <c r="X9095"/>
      <c r="AO9095"/>
    </row>
    <row r="9096" spans="24:41" x14ac:dyDescent="0.4">
      <c r="X9096"/>
      <c r="AO9096"/>
    </row>
    <row r="9097" spans="24:41" x14ac:dyDescent="0.4">
      <c r="X9097"/>
      <c r="AO9097"/>
    </row>
    <row r="9098" spans="24:41" x14ac:dyDescent="0.4">
      <c r="X9098"/>
      <c r="AO9098"/>
    </row>
    <row r="9099" spans="24:41" x14ac:dyDescent="0.4">
      <c r="X9099"/>
      <c r="AO9099"/>
    </row>
    <row r="9100" spans="24:41" x14ac:dyDescent="0.4">
      <c r="X9100"/>
      <c r="AO9100"/>
    </row>
    <row r="9101" spans="24:41" x14ac:dyDescent="0.4">
      <c r="X9101"/>
      <c r="AO9101"/>
    </row>
    <row r="9102" spans="24:41" x14ac:dyDescent="0.4">
      <c r="X9102"/>
      <c r="AO9102"/>
    </row>
    <row r="9103" spans="24:41" x14ac:dyDescent="0.4">
      <c r="X9103"/>
      <c r="AO9103"/>
    </row>
    <row r="9104" spans="24:41" x14ac:dyDescent="0.4">
      <c r="X9104"/>
      <c r="AO9104"/>
    </row>
    <row r="9105" spans="24:41" x14ac:dyDescent="0.4">
      <c r="X9105"/>
      <c r="AO9105"/>
    </row>
    <row r="9106" spans="24:41" x14ac:dyDescent="0.4">
      <c r="X9106"/>
      <c r="AO9106"/>
    </row>
    <row r="9107" spans="24:41" x14ac:dyDescent="0.4">
      <c r="X9107"/>
      <c r="AO9107"/>
    </row>
    <row r="9108" spans="24:41" x14ac:dyDescent="0.4">
      <c r="X9108"/>
      <c r="AO9108"/>
    </row>
    <row r="9109" spans="24:41" x14ac:dyDescent="0.4">
      <c r="X9109"/>
      <c r="AO9109"/>
    </row>
    <row r="9110" spans="24:41" x14ac:dyDescent="0.4">
      <c r="X9110"/>
      <c r="AO9110"/>
    </row>
    <row r="9111" spans="24:41" x14ac:dyDescent="0.4">
      <c r="X9111"/>
      <c r="AO9111"/>
    </row>
    <row r="9112" spans="24:41" x14ac:dyDescent="0.4">
      <c r="X9112"/>
      <c r="AO9112"/>
    </row>
    <row r="9113" spans="24:41" x14ac:dyDescent="0.4">
      <c r="X9113"/>
      <c r="AO9113"/>
    </row>
    <row r="9114" spans="24:41" x14ac:dyDescent="0.4">
      <c r="X9114"/>
      <c r="AO9114"/>
    </row>
    <row r="9115" spans="24:41" x14ac:dyDescent="0.4">
      <c r="X9115"/>
      <c r="AO9115"/>
    </row>
    <row r="9116" spans="24:41" x14ac:dyDescent="0.4">
      <c r="X9116"/>
      <c r="AO9116"/>
    </row>
    <row r="9117" spans="24:41" x14ac:dyDescent="0.4">
      <c r="X9117"/>
      <c r="AO9117"/>
    </row>
    <row r="9118" spans="24:41" x14ac:dyDescent="0.4">
      <c r="X9118"/>
      <c r="AO9118"/>
    </row>
    <row r="9119" spans="24:41" x14ac:dyDescent="0.4">
      <c r="X9119"/>
      <c r="AO9119"/>
    </row>
    <row r="9120" spans="24:41" x14ac:dyDescent="0.4">
      <c r="X9120"/>
      <c r="AO9120"/>
    </row>
    <row r="9121" spans="24:41" x14ac:dyDescent="0.4">
      <c r="X9121"/>
      <c r="AO9121"/>
    </row>
    <row r="9122" spans="24:41" x14ac:dyDescent="0.4">
      <c r="X9122"/>
      <c r="AO9122"/>
    </row>
    <row r="9123" spans="24:41" x14ac:dyDescent="0.4">
      <c r="X9123"/>
      <c r="AO9123"/>
    </row>
    <row r="9124" spans="24:41" x14ac:dyDescent="0.4">
      <c r="X9124"/>
      <c r="AO9124"/>
    </row>
    <row r="9125" spans="24:41" x14ac:dyDescent="0.4">
      <c r="X9125"/>
      <c r="AO9125"/>
    </row>
    <row r="9126" spans="24:41" x14ac:dyDescent="0.4">
      <c r="X9126"/>
      <c r="AO9126"/>
    </row>
    <row r="9127" spans="24:41" x14ac:dyDescent="0.4">
      <c r="X9127"/>
      <c r="AO9127"/>
    </row>
    <row r="9128" spans="24:41" x14ac:dyDescent="0.4">
      <c r="X9128"/>
      <c r="AO9128"/>
    </row>
    <row r="9129" spans="24:41" x14ac:dyDescent="0.4">
      <c r="X9129"/>
      <c r="AO9129"/>
    </row>
    <row r="9130" spans="24:41" x14ac:dyDescent="0.4">
      <c r="X9130"/>
      <c r="AO9130"/>
    </row>
    <row r="9131" spans="24:41" x14ac:dyDescent="0.4">
      <c r="X9131"/>
      <c r="AO9131"/>
    </row>
    <row r="9132" spans="24:41" x14ac:dyDescent="0.4">
      <c r="X9132"/>
      <c r="AO9132"/>
    </row>
    <row r="9133" spans="24:41" x14ac:dyDescent="0.4">
      <c r="X9133"/>
      <c r="AO9133"/>
    </row>
    <row r="9134" spans="24:41" x14ac:dyDescent="0.4">
      <c r="X9134"/>
      <c r="AO9134"/>
    </row>
    <row r="9135" spans="24:41" x14ac:dyDescent="0.4">
      <c r="X9135"/>
      <c r="AO9135"/>
    </row>
    <row r="9136" spans="24:41" x14ac:dyDescent="0.4">
      <c r="X9136"/>
      <c r="AO9136"/>
    </row>
    <row r="9137" spans="24:41" x14ac:dyDescent="0.4">
      <c r="X9137"/>
      <c r="AO9137"/>
    </row>
    <row r="9138" spans="24:41" x14ac:dyDescent="0.4">
      <c r="X9138"/>
      <c r="AO9138"/>
    </row>
    <row r="9139" spans="24:41" x14ac:dyDescent="0.4">
      <c r="X9139"/>
      <c r="AO9139"/>
    </row>
    <row r="9140" spans="24:41" x14ac:dyDescent="0.4">
      <c r="X9140"/>
      <c r="AO9140"/>
    </row>
    <row r="9141" spans="24:41" x14ac:dyDescent="0.4">
      <c r="X9141"/>
      <c r="AO9141"/>
    </row>
    <row r="9142" spans="24:41" x14ac:dyDescent="0.4">
      <c r="X9142"/>
      <c r="AO9142"/>
    </row>
    <row r="9143" spans="24:41" x14ac:dyDescent="0.4">
      <c r="X9143"/>
      <c r="AO9143"/>
    </row>
    <row r="9144" spans="24:41" x14ac:dyDescent="0.4">
      <c r="X9144"/>
      <c r="AO9144"/>
    </row>
    <row r="9145" spans="24:41" x14ac:dyDescent="0.4">
      <c r="X9145"/>
      <c r="AO9145"/>
    </row>
    <row r="9146" spans="24:41" x14ac:dyDescent="0.4">
      <c r="X9146"/>
      <c r="AO9146"/>
    </row>
    <row r="9147" spans="24:41" x14ac:dyDescent="0.4">
      <c r="X9147"/>
      <c r="AO9147"/>
    </row>
    <row r="9148" spans="24:41" x14ac:dyDescent="0.4">
      <c r="X9148"/>
      <c r="AO9148"/>
    </row>
    <row r="9149" spans="24:41" x14ac:dyDescent="0.4">
      <c r="X9149"/>
      <c r="AO9149"/>
    </row>
    <row r="9150" spans="24:41" x14ac:dyDescent="0.4">
      <c r="X9150"/>
      <c r="AO9150"/>
    </row>
    <row r="9151" spans="24:41" x14ac:dyDescent="0.4">
      <c r="X9151"/>
      <c r="AO9151"/>
    </row>
    <row r="9152" spans="24:41" x14ac:dyDescent="0.4">
      <c r="X9152"/>
      <c r="AO9152"/>
    </row>
    <row r="9153" spans="24:41" x14ac:dyDescent="0.4">
      <c r="X9153"/>
      <c r="AO9153"/>
    </row>
    <row r="9154" spans="24:41" x14ac:dyDescent="0.4">
      <c r="X9154"/>
      <c r="AO9154"/>
    </row>
    <row r="9155" spans="24:41" x14ac:dyDescent="0.4">
      <c r="X9155"/>
      <c r="AO9155"/>
    </row>
    <row r="9156" spans="24:41" x14ac:dyDescent="0.4">
      <c r="X9156"/>
      <c r="AO9156"/>
    </row>
    <row r="9157" spans="24:41" x14ac:dyDescent="0.4">
      <c r="X9157"/>
      <c r="AO9157"/>
    </row>
    <row r="9158" spans="24:41" x14ac:dyDescent="0.4">
      <c r="X9158"/>
      <c r="AO9158"/>
    </row>
    <row r="9159" spans="24:41" x14ac:dyDescent="0.4">
      <c r="X9159"/>
      <c r="AO9159"/>
    </row>
    <row r="9160" spans="24:41" x14ac:dyDescent="0.4">
      <c r="X9160"/>
      <c r="AO9160"/>
    </row>
    <row r="9161" spans="24:41" x14ac:dyDescent="0.4">
      <c r="X9161"/>
      <c r="AO9161"/>
    </row>
    <row r="9162" spans="24:41" x14ac:dyDescent="0.4">
      <c r="X9162"/>
      <c r="AO9162"/>
    </row>
    <row r="9163" spans="24:41" x14ac:dyDescent="0.4">
      <c r="X9163"/>
      <c r="AO9163"/>
    </row>
    <row r="9164" spans="24:41" x14ac:dyDescent="0.4">
      <c r="X9164"/>
      <c r="AO9164"/>
    </row>
    <row r="9165" spans="24:41" x14ac:dyDescent="0.4">
      <c r="X9165"/>
      <c r="AO9165"/>
    </row>
    <row r="9166" spans="24:41" x14ac:dyDescent="0.4">
      <c r="X9166"/>
      <c r="AO9166"/>
    </row>
    <row r="9167" spans="24:41" x14ac:dyDescent="0.4">
      <c r="X9167"/>
      <c r="AO9167"/>
    </row>
    <row r="9168" spans="24:41" x14ac:dyDescent="0.4">
      <c r="X9168"/>
      <c r="AO9168"/>
    </row>
    <row r="9169" spans="24:41" x14ac:dyDescent="0.4">
      <c r="X9169"/>
      <c r="AO9169"/>
    </row>
    <row r="9170" spans="24:41" x14ac:dyDescent="0.4">
      <c r="X9170"/>
      <c r="AO9170"/>
    </row>
    <row r="9171" spans="24:41" x14ac:dyDescent="0.4">
      <c r="X9171"/>
      <c r="AO9171"/>
    </row>
    <row r="9172" spans="24:41" x14ac:dyDescent="0.4">
      <c r="X9172"/>
      <c r="AO9172"/>
    </row>
    <row r="9173" spans="24:41" x14ac:dyDescent="0.4">
      <c r="X9173"/>
      <c r="AO9173"/>
    </row>
    <row r="9174" spans="24:41" x14ac:dyDescent="0.4">
      <c r="X9174"/>
      <c r="AO9174"/>
    </row>
    <row r="9175" spans="24:41" x14ac:dyDescent="0.4">
      <c r="X9175"/>
      <c r="AO9175"/>
    </row>
    <row r="9176" spans="24:41" x14ac:dyDescent="0.4">
      <c r="X9176"/>
      <c r="AO9176"/>
    </row>
    <row r="9177" spans="24:41" x14ac:dyDescent="0.4">
      <c r="X9177"/>
      <c r="AO9177"/>
    </row>
    <row r="9178" spans="24:41" x14ac:dyDescent="0.4">
      <c r="X9178"/>
      <c r="AO9178"/>
    </row>
    <row r="9179" spans="24:41" x14ac:dyDescent="0.4">
      <c r="X9179"/>
      <c r="AO9179"/>
    </row>
    <row r="9180" spans="24:41" x14ac:dyDescent="0.4">
      <c r="X9180"/>
      <c r="AO9180"/>
    </row>
    <row r="9181" spans="24:41" x14ac:dyDescent="0.4">
      <c r="X9181"/>
      <c r="AO9181"/>
    </row>
    <row r="9182" spans="24:41" x14ac:dyDescent="0.4">
      <c r="X9182"/>
      <c r="AO9182"/>
    </row>
    <row r="9183" spans="24:41" x14ac:dyDescent="0.4">
      <c r="X9183"/>
      <c r="AO9183"/>
    </row>
    <row r="9184" spans="24:41" x14ac:dyDescent="0.4">
      <c r="X9184"/>
      <c r="AO9184"/>
    </row>
    <row r="9185" spans="24:41" x14ac:dyDescent="0.4">
      <c r="X9185"/>
      <c r="AO9185"/>
    </row>
    <row r="9186" spans="24:41" x14ac:dyDescent="0.4">
      <c r="X9186"/>
      <c r="AO9186"/>
    </row>
    <row r="9187" spans="24:41" x14ac:dyDescent="0.4">
      <c r="X9187"/>
      <c r="AO9187"/>
    </row>
    <row r="9188" spans="24:41" x14ac:dyDescent="0.4">
      <c r="X9188"/>
      <c r="AO9188"/>
    </row>
    <row r="9189" spans="24:41" x14ac:dyDescent="0.4">
      <c r="X9189"/>
      <c r="AO9189"/>
    </row>
    <row r="9190" spans="24:41" x14ac:dyDescent="0.4">
      <c r="X9190"/>
      <c r="AO9190"/>
    </row>
    <row r="9191" spans="24:41" x14ac:dyDescent="0.4">
      <c r="X9191"/>
      <c r="AO9191"/>
    </row>
    <row r="9192" spans="24:41" x14ac:dyDescent="0.4">
      <c r="X9192"/>
      <c r="AO9192"/>
    </row>
    <row r="9193" spans="24:41" x14ac:dyDescent="0.4">
      <c r="X9193"/>
      <c r="AO9193"/>
    </row>
    <row r="9194" spans="24:41" x14ac:dyDescent="0.4">
      <c r="X9194"/>
      <c r="AO9194"/>
    </row>
    <row r="9195" spans="24:41" x14ac:dyDescent="0.4">
      <c r="X9195"/>
      <c r="AO9195"/>
    </row>
    <row r="9196" spans="24:41" x14ac:dyDescent="0.4">
      <c r="X9196"/>
      <c r="AO9196"/>
    </row>
    <row r="9197" spans="24:41" x14ac:dyDescent="0.4">
      <c r="X9197"/>
      <c r="AO9197"/>
    </row>
    <row r="9198" spans="24:41" x14ac:dyDescent="0.4">
      <c r="X9198"/>
      <c r="AO9198"/>
    </row>
    <row r="9199" spans="24:41" x14ac:dyDescent="0.4">
      <c r="X9199"/>
      <c r="AO9199"/>
    </row>
    <row r="9200" spans="24:41" x14ac:dyDescent="0.4">
      <c r="X9200"/>
      <c r="AO9200"/>
    </row>
    <row r="9201" spans="24:41" x14ac:dyDescent="0.4">
      <c r="X9201"/>
      <c r="AO9201"/>
    </row>
    <row r="9202" spans="24:41" x14ac:dyDescent="0.4">
      <c r="X9202"/>
      <c r="AO9202"/>
    </row>
    <row r="9203" spans="24:41" x14ac:dyDescent="0.4">
      <c r="X9203"/>
      <c r="AO9203"/>
    </row>
    <row r="9204" spans="24:41" x14ac:dyDescent="0.4">
      <c r="X9204"/>
      <c r="AO9204"/>
    </row>
    <row r="9205" spans="24:41" x14ac:dyDescent="0.4">
      <c r="X9205"/>
      <c r="AO9205"/>
    </row>
    <row r="9206" spans="24:41" x14ac:dyDescent="0.4">
      <c r="X9206"/>
      <c r="AO9206"/>
    </row>
    <row r="9207" spans="24:41" x14ac:dyDescent="0.4">
      <c r="X9207"/>
      <c r="AO9207"/>
    </row>
    <row r="9208" spans="24:41" x14ac:dyDescent="0.4">
      <c r="X9208"/>
      <c r="AO9208"/>
    </row>
    <row r="9209" spans="24:41" x14ac:dyDescent="0.4">
      <c r="X9209"/>
      <c r="AO9209"/>
    </row>
    <row r="9210" spans="24:41" x14ac:dyDescent="0.4">
      <c r="X9210"/>
      <c r="AO9210"/>
    </row>
    <row r="9211" spans="24:41" x14ac:dyDescent="0.4">
      <c r="X9211"/>
      <c r="AO9211"/>
    </row>
    <row r="9212" spans="24:41" x14ac:dyDescent="0.4">
      <c r="X9212"/>
      <c r="AO9212"/>
    </row>
    <row r="9213" spans="24:41" x14ac:dyDescent="0.4">
      <c r="X9213"/>
      <c r="AO9213"/>
    </row>
    <row r="9214" spans="24:41" x14ac:dyDescent="0.4">
      <c r="X9214"/>
      <c r="AO9214"/>
    </row>
    <row r="9215" spans="24:41" x14ac:dyDescent="0.4">
      <c r="X9215"/>
      <c r="AO9215"/>
    </row>
    <row r="9216" spans="24:41" x14ac:dyDescent="0.4">
      <c r="X9216"/>
      <c r="AO9216"/>
    </row>
    <row r="9217" spans="24:41" x14ac:dyDescent="0.4">
      <c r="X9217"/>
      <c r="AO9217"/>
    </row>
    <row r="9218" spans="24:41" x14ac:dyDescent="0.4">
      <c r="X9218"/>
      <c r="AO9218"/>
    </row>
    <row r="9219" spans="24:41" x14ac:dyDescent="0.4">
      <c r="X9219"/>
      <c r="AO9219"/>
    </row>
    <row r="9220" spans="24:41" x14ac:dyDescent="0.4">
      <c r="X9220"/>
      <c r="AO9220"/>
    </row>
    <row r="9221" spans="24:41" x14ac:dyDescent="0.4">
      <c r="X9221"/>
      <c r="AO9221"/>
    </row>
    <row r="9222" spans="24:41" x14ac:dyDescent="0.4">
      <c r="X9222"/>
      <c r="AO9222"/>
    </row>
    <row r="9223" spans="24:41" x14ac:dyDescent="0.4">
      <c r="X9223"/>
      <c r="AO9223"/>
    </row>
    <row r="9224" spans="24:41" x14ac:dyDescent="0.4">
      <c r="X9224"/>
      <c r="AO9224"/>
    </row>
    <row r="9225" spans="24:41" x14ac:dyDescent="0.4">
      <c r="X9225"/>
      <c r="AO9225"/>
    </row>
    <row r="9226" spans="24:41" x14ac:dyDescent="0.4">
      <c r="X9226"/>
      <c r="AO9226"/>
    </row>
    <row r="9227" spans="24:41" x14ac:dyDescent="0.4">
      <c r="X9227"/>
      <c r="AO9227"/>
    </row>
    <row r="9228" spans="24:41" x14ac:dyDescent="0.4">
      <c r="X9228"/>
      <c r="AO9228"/>
    </row>
    <row r="9229" spans="24:41" x14ac:dyDescent="0.4">
      <c r="X9229"/>
      <c r="AO9229"/>
    </row>
    <row r="9230" spans="24:41" x14ac:dyDescent="0.4">
      <c r="X9230"/>
      <c r="AO9230"/>
    </row>
    <row r="9231" spans="24:41" x14ac:dyDescent="0.4">
      <c r="X9231"/>
      <c r="AO9231"/>
    </row>
    <row r="9232" spans="24:41" x14ac:dyDescent="0.4">
      <c r="X9232"/>
      <c r="AO9232"/>
    </row>
    <row r="9233" spans="24:41" x14ac:dyDescent="0.4">
      <c r="X9233"/>
      <c r="AO9233"/>
    </row>
    <row r="9234" spans="24:41" x14ac:dyDescent="0.4">
      <c r="X9234"/>
      <c r="AO9234"/>
    </row>
    <row r="9235" spans="24:41" x14ac:dyDescent="0.4">
      <c r="X9235"/>
      <c r="AO9235"/>
    </row>
    <row r="9236" spans="24:41" x14ac:dyDescent="0.4">
      <c r="X9236"/>
      <c r="AO9236"/>
    </row>
    <row r="9237" spans="24:41" x14ac:dyDescent="0.4">
      <c r="X9237"/>
      <c r="AO9237"/>
    </row>
    <row r="9238" spans="24:41" x14ac:dyDescent="0.4">
      <c r="X9238"/>
      <c r="AO9238"/>
    </row>
    <row r="9239" spans="24:41" x14ac:dyDescent="0.4">
      <c r="X9239"/>
      <c r="AO9239"/>
    </row>
    <row r="9240" spans="24:41" x14ac:dyDescent="0.4">
      <c r="X9240"/>
      <c r="AO9240"/>
    </row>
    <row r="9241" spans="24:41" x14ac:dyDescent="0.4">
      <c r="X9241"/>
      <c r="AO9241"/>
    </row>
    <row r="9242" spans="24:41" x14ac:dyDescent="0.4">
      <c r="X9242"/>
      <c r="AO9242"/>
    </row>
    <row r="9243" spans="24:41" x14ac:dyDescent="0.4">
      <c r="X9243"/>
      <c r="AO9243"/>
    </row>
    <row r="9244" spans="24:41" x14ac:dyDescent="0.4">
      <c r="X9244"/>
      <c r="AO9244"/>
    </row>
    <row r="9245" spans="24:41" x14ac:dyDescent="0.4">
      <c r="X9245"/>
      <c r="AO9245"/>
    </row>
    <row r="9246" spans="24:41" x14ac:dyDescent="0.4">
      <c r="X9246"/>
      <c r="AO9246"/>
    </row>
    <row r="9247" spans="24:41" x14ac:dyDescent="0.4">
      <c r="X9247"/>
      <c r="AO9247"/>
    </row>
    <row r="9248" spans="24:41" x14ac:dyDescent="0.4">
      <c r="X9248"/>
      <c r="AO9248"/>
    </row>
    <row r="9249" spans="24:41" x14ac:dyDescent="0.4">
      <c r="X9249"/>
      <c r="AO9249"/>
    </row>
    <row r="9250" spans="24:41" x14ac:dyDescent="0.4">
      <c r="X9250"/>
      <c r="AO9250"/>
    </row>
    <row r="9251" spans="24:41" x14ac:dyDescent="0.4">
      <c r="X9251"/>
      <c r="AO9251"/>
    </row>
    <row r="9252" spans="24:41" x14ac:dyDescent="0.4">
      <c r="X9252"/>
      <c r="AO9252"/>
    </row>
    <row r="9253" spans="24:41" x14ac:dyDescent="0.4">
      <c r="X9253"/>
      <c r="AO9253"/>
    </row>
    <row r="9254" spans="24:41" x14ac:dyDescent="0.4">
      <c r="X9254"/>
      <c r="AO9254"/>
    </row>
    <row r="9255" spans="24:41" x14ac:dyDescent="0.4">
      <c r="X9255"/>
      <c r="AO9255"/>
    </row>
    <row r="9256" spans="24:41" x14ac:dyDescent="0.4">
      <c r="X9256"/>
      <c r="AO9256"/>
    </row>
    <row r="9257" spans="24:41" x14ac:dyDescent="0.4">
      <c r="X9257"/>
      <c r="AO9257"/>
    </row>
    <row r="9258" spans="24:41" x14ac:dyDescent="0.4">
      <c r="X9258"/>
      <c r="AO9258"/>
    </row>
    <row r="9259" spans="24:41" x14ac:dyDescent="0.4">
      <c r="X9259"/>
      <c r="AO9259"/>
    </row>
    <row r="9260" spans="24:41" x14ac:dyDescent="0.4">
      <c r="X9260"/>
      <c r="AO9260"/>
    </row>
    <row r="9261" spans="24:41" x14ac:dyDescent="0.4">
      <c r="X9261"/>
      <c r="AO9261"/>
    </row>
    <row r="9262" spans="24:41" x14ac:dyDescent="0.4">
      <c r="X9262"/>
      <c r="AO9262"/>
    </row>
    <row r="9263" spans="24:41" x14ac:dyDescent="0.4">
      <c r="X9263"/>
      <c r="AO9263"/>
    </row>
    <row r="9264" spans="24:41" x14ac:dyDescent="0.4">
      <c r="X9264"/>
      <c r="AO9264"/>
    </row>
    <row r="9265" spans="24:41" x14ac:dyDescent="0.4">
      <c r="X9265"/>
      <c r="AO9265"/>
    </row>
    <row r="9266" spans="24:41" x14ac:dyDescent="0.4">
      <c r="X9266"/>
      <c r="AO9266"/>
    </row>
    <row r="9267" spans="24:41" x14ac:dyDescent="0.4">
      <c r="X9267"/>
      <c r="AO9267"/>
    </row>
    <row r="9268" spans="24:41" x14ac:dyDescent="0.4">
      <c r="X9268"/>
      <c r="AO9268"/>
    </row>
    <row r="9269" spans="24:41" x14ac:dyDescent="0.4">
      <c r="X9269"/>
      <c r="AO9269"/>
    </row>
    <row r="9270" spans="24:41" x14ac:dyDescent="0.4">
      <c r="X9270"/>
      <c r="AO9270"/>
    </row>
    <row r="9271" spans="24:41" x14ac:dyDescent="0.4">
      <c r="X9271"/>
      <c r="AO9271"/>
    </row>
    <row r="9272" spans="24:41" x14ac:dyDescent="0.4">
      <c r="X9272"/>
      <c r="AO9272"/>
    </row>
    <row r="9273" spans="24:41" x14ac:dyDescent="0.4">
      <c r="X9273"/>
      <c r="AO9273"/>
    </row>
    <row r="9274" spans="24:41" x14ac:dyDescent="0.4">
      <c r="X9274"/>
      <c r="AO9274"/>
    </row>
    <row r="9275" spans="24:41" x14ac:dyDescent="0.4">
      <c r="X9275"/>
      <c r="AO9275"/>
    </row>
    <row r="9276" spans="24:41" x14ac:dyDescent="0.4">
      <c r="X9276"/>
      <c r="AO9276"/>
    </row>
    <row r="9277" spans="24:41" x14ac:dyDescent="0.4">
      <c r="X9277"/>
      <c r="AO9277"/>
    </row>
    <row r="9278" spans="24:41" x14ac:dyDescent="0.4">
      <c r="X9278"/>
      <c r="AO9278"/>
    </row>
    <row r="9279" spans="24:41" x14ac:dyDescent="0.4">
      <c r="X9279"/>
      <c r="AO9279"/>
    </row>
    <row r="9280" spans="24:41" x14ac:dyDescent="0.4">
      <c r="X9280"/>
      <c r="AO9280"/>
    </row>
    <row r="9281" spans="24:41" x14ac:dyDescent="0.4">
      <c r="X9281"/>
      <c r="AO9281"/>
    </row>
    <row r="9282" spans="24:41" x14ac:dyDescent="0.4">
      <c r="X9282"/>
      <c r="AO9282"/>
    </row>
    <row r="9283" spans="24:41" x14ac:dyDescent="0.4">
      <c r="X9283"/>
      <c r="AO9283"/>
    </row>
    <row r="9284" spans="24:41" x14ac:dyDescent="0.4">
      <c r="X9284"/>
      <c r="AO9284"/>
    </row>
    <row r="9285" spans="24:41" x14ac:dyDescent="0.4">
      <c r="X9285"/>
      <c r="AO9285"/>
    </row>
    <row r="9286" spans="24:41" x14ac:dyDescent="0.4">
      <c r="X9286"/>
      <c r="AO9286"/>
    </row>
    <row r="9287" spans="24:41" x14ac:dyDescent="0.4">
      <c r="X9287"/>
      <c r="AO9287"/>
    </row>
    <row r="9288" spans="24:41" x14ac:dyDescent="0.4">
      <c r="X9288"/>
      <c r="AO9288"/>
    </row>
    <row r="9289" spans="24:41" x14ac:dyDescent="0.4">
      <c r="X9289"/>
      <c r="AO9289"/>
    </row>
    <row r="9290" spans="24:41" x14ac:dyDescent="0.4">
      <c r="X9290"/>
      <c r="AO9290"/>
    </row>
    <row r="9291" spans="24:41" x14ac:dyDescent="0.4">
      <c r="X9291"/>
      <c r="AO9291"/>
    </row>
    <row r="9292" spans="24:41" x14ac:dyDescent="0.4">
      <c r="X9292"/>
      <c r="AO9292"/>
    </row>
    <row r="9293" spans="24:41" x14ac:dyDescent="0.4">
      <c r="X9293"/>
      <c r="AO9293"/>
    </row>
    <row r="9294" spans="24:41" x14ac:dyDescent="0.4">
      <c r="X9294"/>
      <c r="AO9294"/>
    </row>
    <row r="9295" spans="24:41" x14ac:dyDescent="0.4">
      <c r="X9295"/>
      <c r="AO9295"/>
    </row>
    <row r="9296" spans="24:41" x14ac:dyDescent="0.4">
      <c r="X9296"/>
      <c r="AO9296"/>
    </row>
    <row r="9297" spans="24:41" x14ac:dyDescent="0.4">
      <c r="X9297"/>
      <c r="AO9297"/>
    </row>
    <row r="9298" spans="24:41" x14ac:dyDescent="0.4">
      <c r="X9298"/>
      <c r="AO9298"/>
    </row>
    <row r="9299" spans="24:41" x14ac:dyDescent="0.4">
      <c r="X9299"/>
      <c r="AO9299"/>
    </row>
    <row r="9300" spans="24:41" x14ac:dyDescent="0.4">
      <c r="X9300"/>
      <c r="AO9300"/>
    </row>
    <row r="9301" spans="24:41" x14ac:dyDescent="0.4">
      <c r="X9301"/>
      <c r="AO9301"/>
    </row>
    <row r="9302" spans="24:41" x14ac:dyDescent="0.4">
      <c r="X9302"/>
      <c r="AO9302"/>
    </row>
    <row r="9303" spans="24:41" x14ac:dyDescent="0.4">
      <c r="X9303"/>
      <c r="AO9303"/>
    </row>
    <row r="9304" spans="24:41" x14ac:dyDescent="0.4">
      <c r="X9304"/>
      <c r="AO9304"/>
    </row>
    <row r="9305" spans="24:41" x14ac:dyDescent="0.4">
      <c r="X9305"/>
      <c r="AO9305"/>
    </row>
    <row r="9306" spans="24:41" x14ac:dyDescent="0.4">
      <c r="X9306"/>
      <c r="AO9306"/>
    </row>
    <row r="9307" spans="24:41" x14ac:dyDescent="0.4">
      <c r="X9307"/>
      <c r="AO9307"/>
    </row>
    <row r="9308" spans="24:41" x14ac:dyDescent="0.4">
      <c r="X9308"/>
      <c r="AO9308"/>
    </row>
    <row r="9309" spans="24:41" x14ac:dyDescent="0.4">
      <c r="X9309"/>
      <c r="AO9309"/>
    </row>
    <row r="9310" spans="24:41" x14ac:dyDescent="0.4">
      <c r="X9310"/>
      <c r="AO9310"/>
    </row>
    <row r="9311" spans="24:41" x14ac:dyDescent="0.4">
      <c r="X9311"/>
      <c r="AO9311"/>
    </row>
    <row r="9312" spans="24:41" x14ac:dyDescent="0.4">
      <c r="X9312"/>
      <c r="AO9312"/>
    </row>
    <row r="9313" spans="24:41" x14ac:dyDescent="0.4">
      <c r="X9313"/>
      <c r="AO9313"/>
    </row>
    <row r="9314" spans="24:41" x14ac:dyDescent="0.4">
      <c r="X9314"/>
      <c r="AO9314"/>
    </row>
    <row r="9315" spans="24:41" x14ac:dyDescent="0.4">
      <c r="X9315"/>
      <c r="AO9315"/>
    </row>
    <row r="9316" spans="24:41" x14ac:dyDescent="0.4">
      <c r="X9316"/>
      <c r="AO9316"/>
    </row>
    <row r="9317" spans="24:41" x14ac:dyDescent="0.4">
      <c r="X9317"/>
      <c r="AO9317"/>
    </row>
    <row r="9318" spans="24:41" x14ac:dyDescent="0.4">
      <c r="X9318"/>
      <c r="AO9318"/>
    </row>
    <row r="9319" spans="24:41" x14ac:dyDescent="0.4">
      <c r="X9319"/>
      <c r="AO9319"/>
    </row>
    <row r="9320" spans="24:41" x14ac:dyDescent="0.4">
      <c r="X9320"/>
      <c r="AO9320"/>
    </row>
    <row r="9321" spans="24:41" x14ac:dyDescent="0.4">
      <c r="X9321"/>
      <c r="AO9321"/>
    </row>
    <row r="9322" spans="24:41" x14ac:dyDescent="0.4">
      <c r="X9322"/>
      <c r="AO9322"/>
    </row>
    <row r="9323" spans="24:41" x14ac:dyDescent="0.4">
      <c r="X9323"/>
      <c r="AO9323"/>
    </row>
    <row r="9324" spans="24:41" x14ac:dyDescent="0.4">
      <c r="X9324"/>
      <c r="AO9324"/>
    </row>
    <row r="9325" spans="24:41" x14ac:dyDescent="0.4">
      <c r="X9325"/>
      <c r="AO9325"/>
    </row>
    <row r="9326" spans="24:41" x14ac:dyDescent="0.4">
      <c r="X9326"/>
      <c r="AO9326"/>
    </row>
    <row r="9327" spans="24:41" x14ac:dyDescent="0.4">
      <c r="X9327"/>
      <c r="AO9327"/>
    </row>
    <row r="9328" spans="24:41" x14ac:dyDescent="0.4">
      <c r="X9328"/>
      <c r="AO9328"/>
    </row>
    <row r="9329" spans="24:41" x14ac:dyDescent="0.4">
      <c r="X9329"/>
      <c r="AO9329"/>
    </row>
    <row r="9330" spans="24:41" x14ac:dyDescent="0.4">
      <c r="X9330"/>
      <c r="AO9330"/>
    </row>
    <row r="9331" spans="24:41" x14ac:dyDescent="0.4">
      <c r="X9331"/>
      <c r="AO9331"/>
    </row>
    <row r="9332" spans="24:41" x14ac:dyDescent="0.4">
      <c r="X9332"/>
      <c r="AO9332"/>
    </row>
    <row r="9333" spans="24:41" x14ac:dyDescent="0.4">
      <c r="X9333"/>
      <c r="AO9333"/>
    </row>
    <row r="9334" spans="24:41" x14ac:dyDescent="0.4">
      <c r="X9334"/>
      <c r="AO9334"/>
    </row>
    <row r="9335" spans="24:41" x14ac:dyDescent="0.4">
      <c r="X9335"/>
      <c r="AO9335"/>
    </row>
    <row r="9336" spans="24:41" x14ac:dyDescent="0.4">
      <c r="X9336"/>
      <c r="AO9336"/>
    </row>
    <row r="9337" spans="24:41" x14ac:dyDescent="0.4">
      <c r="X9337"/>
      <c r="AO9337"/>
    </row>
    <row r="9338" spans="24:41" x14ac:dyDescent="0.4">
      <c r="X9338"/>
      <c r="AO9338"/>
    </row>
    <row r="9339" spans="24:41" x14ac:dyDescent="0.4">
      <c r="X9339"/>
      <c r="AO9339"/>
    </row>
    <row r="9340" spans="24:41" x14ac:dyDescent="0.4">
      <c r="X9340"/>
      <c r="AO9340"/>
    </row>
    <row r="9341" spans="24:41" x14ac:dyDescent="0.4">
      <c r="X9341"/>
      <c r="AO9341"/>
    </row>
    <row r="9342" spans="24:41" x14ac:dyDescent="0.4">
      <c r="X9342"/>
      <c r="AO9342"/>
    </row>
    <row r="9343" spans="24:41" x14ac:dyDescent="0.4">
      <c r="X9343"/>
      <c r="AO9343"/>
    </row>
    <row r="9344" spans="24:41" x14ac:dyDescent="0.4">
      <c r="X9344"/>
      <c r="AO9344"/>
    </row>
    <row r="9345" spans="24:41" x14ac:dyDescent="0.4">
      <c r="X9345"/>
      <c r="AO9345"/>
    </row>
    <row r="9346" spans="24:41" x14ac:dyDescent="0.4">
      <c r="X9346"/>
      <c r="AO9346"/>
    </row>
    <row r="9347" spans="24:41" x14ac:dyDescent="0.4">
      <c r="X9347"/>
      <c r="AO9347"/>
    </row>
    <row r="9348" spans="24:41" x14ac:dyDescent="0.4">
      <c r="X9348"/>
      <c r="AO9348"/>
    </row>
    <row r="9349" spans="24:41" x14ac:dyDescent="0.4">
      <c r="X9349"/>
      <c r="AO9349"/>
    </row>
    <row r="9350" spans="24:41" x14ac:dyDescent="0.4">
      <c r="X9350"/>
      <c r="AO9350"/>
    </row>
    <row r="9351" spans="24:41" x14ac:dyDescent="0.4">
      <c r="X9351"/>
      <c r="AO9351"/>
    </row>
    <row r="9352" spans="24:41" x14ac:dyDescent="0.4">
      <c r="X9352"/>
      <c r="AO9352"/>
    </row>
    <row r="9353" spans="24:41" x14ac:dyDescent="0.4">
      <c r="X9353"/>
      <c r="AO9353"/>
    </row>
    <row r="9354" spans="24:41" x14ac:dyDescent="0.4">
      <c r="X9354"/>
      <c r="AO9354"/>
    </row>
    <row r="9355" spans="24:41" x14ac:dyDescent="0.4">
      <c r="X9355"/>
      <c r="AO9355"/>
    </row>
    <row r="9356" spans="24:41" x14ac:dyDescent="0.4">
      <c r="X9356"/>
      <c r="AO9356"/>
    </row>
    <row r="9357" spans="24:41" x14ac:dyDescent="0.4">
      <c r="X9357"/>
      <c r="AO9357"/>
    </row>
    <row r="9358" spans="24:41" x14ac:dyDescent="0.4">
      <c r="X9358"/>
      <c r="AO9358"/>
    </row>
    <row r="9359" spans="24:41" x14ac:dyDescent="0.4">
      <c r="X9359"/>
      <c r="AO9359"/>
    </row>
    <row r="9360" spans="24:41" x14ac:dyDescent="0.4">
      <c r="X9360"/>
      <c r="AO9360"/>
    </row>
    <row r="9361" spans="24:41" x14ac:dyDescent="0.4">
      <c r="X9361"/>
      <c r="AO9361"/>
    </row>
    <row r="9362" spans="24:41" x14ac:dyDescent="0.4">
      <c r="X9362"/>
      <c r="AO9362"/>
    </row>
    <row r="9363" spans="24:41" x14ac:dyDescent="0.4">
      <c r="X9363"/>
      <c r="AO9363"/>
    </row>
    <row r="9364" spans="24:41" x14ac:dyDescent="0.4">
      <c r="X9364"/>
      <c r="AO9364"/>
    </row>
    <row r="9365" spans="24:41" x14ac:dyDescent="0.4">
      <c r="X9365"/>
      <c r="AO9365"/>
    </row>
    <row r="9366" spans="24:41" x14ac:dyDescent="0.4">
      <c r="X9366"/>
      <c r="AO9366"/>
    </row>
    <row r="9367" spans="24:41" x14ac:dyDescent="0.4">
      <c r="X9367"/>
      <c r="AO9367"/>
    </row>
    <row r="9368" spans="24:41" x14ac:dyDescent="0.4">
      <c r="X9368"/>
      <c r="AO9368"/>
    </row>
    <row r="9369" spans="24:41" x14ac:dyDescent="0.4">
      <c r="X9369"/>
      <c r="AO9369"/>
    </row>
    <row r="9370" spans="24:41" x14ac:dyDescent="0.4">
      <c r="X9370"/>
      <c r="AO9370"/>
    </row>
    <row r="9371" spans="24:41" x14ac:dyDescent="0.4">
      <c r="X9371"/>
      <c r="AO9371"/>
    </row>
    <row r="9372" spans="24:41" x14ac:dyDescent="0.4">
      <c r="X9372"/>
      <c r="AO9372"/>
    </row>
    <row r="9373" spans="24:41" x14ac:dyDescent="0.4">
      <c r="X9373"/>
      <c r="AO9373"/>
    </row>
    <row r="9374" spans="24:41" x14ac:dyDescent="0.4">
      <c r="X9374"/>
      <c r="AO9374"/>
    </row>
    <row r="9375" spans="24:41" x14ac:dyDescent="0.4">
      <c r="X9375"/>
      <c r="AO9375"/>
    </row>
    <row r="9376" spans="24:41" x14ac:dyDescent="0.4">
      <c r="X9376"/>
      <c r="AO9376"/>
    </row>
    <row r="9377" spans="24:41" x14ac:dyDescent="0.4">
      <c r="X9377"/>
      <c r="AO9377"/>
    </row>
    <row r="9378" spans="24:41" x14ac:dyDescent="0.4">
      <c r="X9378"/>
      <c r="AO9378"/>
    </row>
    <row r="9379" spans="24:41" x14ac:dyDescent="0.4">
      <c r="X9379"/>
      <c r="AO9379"/>
    </row>
    <row r="9380" spans="24:41" x14ac:dyDescent="0.4">
      <c r="X9380"/>
      <c r="AO9380"/>
    </row>
    <row r="9381" spans="24:41" x14ac:dyDescent="0.4">
      <c r="X9381"/>
      <c r="AO9381"/>
    </row>
    <row r="9382" spans="24:41" x14ac:dyDescent="0.4">
      <c r="X9382"/>
      <c r="AO9382"/>
    </row>
    <row r="9383" spans="24:41" x14ac:dyDescent="0.4">
      <c r="X9383"/>
      <c r="AO9383"/>
    </row>
    <row r="9384" spans="24:41" x14ac:dyDescent="0.4">
      <c r="X9384"/>
      <c r="AO9384"/>
    </row>
    <row r="9385" spans="24:41" x14ac:dyDescent="0.4">
      <c r="X9385"/>
      <c r="AO9385"/>
    </row>
    <row r="9386" spans="24:41" x14ac:dyDescent="0.4">
      <c r="X9386"/>
      <c r="AO9386"/>
    </row>
    <row r="9387" spans="24:41" x14ac:dyDescent="0.4">
      <c r="X9387"/>
      <c r="AO9387"/>
    </row>
    <row r="9388" spans="24:41" x14ac:dyDescent="0.4">
      <c r="X9388"/>
      <c r="AO9388"/>
    </row>
    <row r="9389" spans="24:41" x14ac:dyDescent="0.4">
      <c r="X9389"/>
      <c r="AO9389"/>
    </row>
    <row r="9390" spans="24:41" x14ac:dyDescent="0.4">
      <c r="X9390"/>
      <c r="AO9390"/>
    </row>
    <row r="9391" spans="24:41" x14ac:dyDescent="0.4">
      <c r="X9391"/>
      <c r="AO9391"/>
    </row>
    <row r="9392" spans="24:41" x14ac:dyDescent="0.4">
      <c r="X9392"/>
      <c r="AO9392"/>
    </row>
    <row r="9393" spans="24:41" x14ac:dyDescent="0.4">
      <c r="X9393"/>
      <c r="AO9393"/>
    </row>
    <row r="9394" spans="24:41" x14ac:dyDescent="0.4">
      <c r="X9394"/>
      <c r="AO9394"/>
    </row>
    <row r="9395" spans="24:41" x14ac:dyDescent="0.4">
      <c r="X9395"/>
      <c r="AO9395"/>
    </row>
    <row r="9396" spans="24:41" x14ac:dyDescent="0.4">
      <c r="X9396"/>
      <c r="AO9396"/>
    </row>
    <row r="9397" spans="24:41" x14ac:dyDescent="0.4">
      <c r="X9397"/>
      <c r="AO9397"/>
    </row>
    <row r="9398" spans="24:41" x14ac:dyDescent="0.4">
      <c r="X9398"/>
      <c r="AO9398"/>
    </row>
    <row r="9399" spans="24:41" x14ac:dyDescent="0.4">
      <c r="X9399"/>
      <c r="AO9399"/>
    </row>
    <row r="9400" spans="24:41" x14ac:dyDescent="0.4">
      <c r="X9400"/>
      <c r="AO9400"/>
    </row>
    <row r="9401" spans="24:41" x14ac:dyDescent="0.4">
      <c r="X9401"/>
      <c r="AO9401"/>
    </row>
    <row r="9402" spans="24:41" x14ac:dyDescent="0.4">
      <c r="X9402"/>
      <c r="AO9402"/>
    </row>
    <row r="9403" spans="24:41" x14ac:dyDescent="0.4">
      <c r="X9403"/>
      <c r="AO9403"/>
    </row>
    <row r="9404" spans="24:41" x14ac:dyDescent="0.4">
      <c r="X9404"/>
      <c r="AO9404"/>
    </row>
    <row r="9405" spans="24:41" x14ac:dyDescent="0.4">
      <c r="X9405"/>
      <c r="AO9405"/>
    </row>
    <row r="9406" spans="24:41" x14ac:dyDescent="0.4">
      <c r="X9406"/>
      <c r="AO9406"/>
    </row>
    <row r="9407" spans="24:41" x14ac:dyDescent="0.4">
      <c r="X9407"/>
      <c r="AO9407"/>
    </row>
    <row r="9408" spans="24:41" x14ac:dyDescent="0.4">
      <c r="X9408"/>
      <c r="AO9408"/>
    </row>
    <row r="9409" spans="24:41" x14ac:dyDescent="0.4">
      <c r="X9409"/>
      <c r="AO9409"/>
    </row>
    <row r="9410" spans="24:41" x14ac:dyDescent="0.4">
      <c r="X9410"/>
      <c r="AO9410"/>
    </row>
    <row r="9411" spans="24:41" x14ac:dyDescent="0.4">
      <c r="X9411"/>
      <c r="AO9411"/>
    </row>
    <row r="9412" spans="24:41" x14ac:dyDescent="0.4">
      <c r="X9412"/>
      <c r="AO9412"/>
    </row>
    <row r="9413" spans="24:41" x14ac:dyDescent="0.4">
      <c r="X9413"/>
      <c r="AO9413"/>
    </row>
    <row r="9414" spans="24:41" x14ac:dyDescent="0.4">
      <c r="X9414"/>
      <c r="AO9414"/>
    </row>
    <row r="9415" spans="24:41" x14ac:dyDescent="0.4">
      <c r="X9415"/>
      <c r="AO9415"/>
    </row>
    <row r="9416" spans="24:41" x14ac:dyDescent="0.4">
      <c r="X9416"/>
      <c r="AO9416"/>
    </row>
    <row r="9417" spans="24:41" x14ac:dyDescent="0.4">
      <c r="X9417"/>
      <c r="AO9417"/>
    </row>
    <row r="9418" spans="24:41" x14ac:dyDescent="0.4">
      <c r="X9418"/>
      <c r="AO9418"/>
    </row>
    <row r="9419" spans="24:41" x14ac:dyDescent="0.4">
      <c r="X9419"/>
      <c r="AO9419"/>
    </row>
    <row r="9420" spans="24:41" x14ac:dyDescent="0.4">
      <c r="X9420"/>
      <c r="AO9420"/>
    </row>
    <row r="9421" spans="24:41" x14ac:dyDescent="0.4">
      <c r="X9421"/>
      <c r="AO9421"/>
    </row>
    <row r="9422" spans="24:41" x14ac:dyDescent="0.4">
      <c r="X9422"/>
      <c r="AO9422"/>
    </row>
    <row r="9423" spans="24:41" x14ac:dyDescent="0.4">
      <c r="X9423"/>
      <c r="AO9423"/>
    </row>
    <row r="9424" spans="24:41" x14ac:dyDescent="0.4">
      <c r="X9424"/>
      <c r="AO9424"/>
    </row>
    <row r="9425" spans="24:41" x14ac:dyDescent="0.4">
      <c r="X9425"/>
      <c r="AO9425"/>
    </row>
    <row r="9426" spans="24:41" x14ac:dyDescent="0.4">
      <c r="X9426"/>
      <c r="AO9426"/>
    </row>
    <row r="9427" spans="24:41" x14ac:dyDescent="0.4">
      <c r="X9427"/>
      <c r="AO9427"/>
    </row>
    <row r="9428" spans="24:41" x14ac:dyDescent="0.4">
      <c r="X9428"/>
      <c r="AO9428"/>
    </row>
    <row r="9429" spans="24:41" x14ac:dyDescent="0.4">
      <c r="X9429"/>
      <c r="AO9429"/>
    </row>
    <row r="9430" spans="24:41" x14ac:dyDescent="0.4">
      <c r="X9430"/>
      <c r="AO9430"/>
    </row>
    <row r="9431" spans="24:41" x14ac:dyDescent="0.4">
      <c r="X9431"/>
      <c r="AO9431"/>
    </row>
    <row r="9432" spans="24:41" x14ac:dyDescent="0.4">
      <c r="X9432"/>
      <c r="AO9432"/>
    </row>
    <row r="9433" spans="24:41" x14ac:dyDescent="0.4">
      <c r="X9433"/>
      <c r="AO9433"/>
    </row>
    <row r="9434" spans="24:41" x14ac:dyDescent="0.4">
      <c r="X9434"/>
      <c r="AO9434"/>
    </row>
    <row r="9435" spans="24:41" x14ac:dyDescent="0.4">
      <c r="X9435"/>
      <c r="AO9435"/>
    </row>
    <row r="9436" spans="24:41" x14ac:dyDescent="0.4">
      <c r="X9436"/>
      <c r="AO9436"/>
    </row>
    <row r="9437" spans="24:41" x14ac:dyDescent="0.4">
      <c r="X9437"/>
      <c r="AO9437"/>
    </row>
    <row r="9438" spans="24:41" x14ac:dyDescent="0.4">
      <c r="X9438"/>
      <c r="AO9438"/>
    </row>
    <row r="9439" spans="24:41" x14ac:dyDescent="0.4">
      <c r="X9439"/>
      <c r="AO9439"/>
    </row>
    <row r="9440" spans="24:41" x14ac:dyDescent="0.4">
      <c r="X9440"/>
      <c r="AO9440"/>
    </row>
    <row r="9441" spans="24:41" x14ac:dyDescent="0.4">
      <c r="X9441"/>
      <c r="AO9441"/>
    </row>
    <row r="9442" spans="24:41" x14ac:dyDescent="0.4">
      <c r="X9442"/>
      <c r="AO9442"/>
    </row>
    <row r="9443" spans="24:41" x14ac:dyDescent="0.4">
      <c r="X9443"/>
      <c r="AO9443"/>
    </row>
    <row r="9444" spans="24:41" x14ac:dyDescent="0.4">
      <c r="X9444"/>
      <c r="AO9444"/>
    </row>
    <row r="9445" spans="24:41" x14ac:dyDescent="0.4">
      <c r="X9445"/>
      <c r="AO9445"/>
    </row>
    <row r="9446" spans="24:41" x14ac:dyDescent="0.4">
      <c r="X9446"/>
      <c r="AO9446"/>
    </row>
    <row r="9447" spans="24:41" x14ac:dyDescent="0.4">
      <c r="X9447"/>
      <c r="AO9447"/>
    </row>
    <row r="9448" spans="24:41" x14ac:dyDescent="0.4">
      <c r="X9448"/>
      <c r="AO9448"/>
    </row>
    <row r="9449" spans="24:41" x14ac:dyDescent="0.4">
      <c r="X9449"/>
      <c r="AO9449"/>
    </row>
    <row r="9450" spans="24:41" x14ac:dyDescent="0.4">
      <c r="X9450"/>
      <c r="AO9450"/>
    </row>
    <row r="9451" spans="24:41" x14ac:dyDescent="0.4">
      <c r="X9451"/>
      <c r="AO9451"/>
    </row>
    <row r="9452" spans="24:41" x14ac:dyDescent="0.4">
      <c r="X9452"/>
      <c r="AO9452"/>
    </row>
    <row r="9453" spans="24:41" x14ac:dyDescent="0.4">
      <c r="X9453"/>
      <c r="AO9453"/>
    </row>
    <row r="9454" spans="24:41" x14ac:dyDescent="0.4">
      <c r="X9454"/>
      <c r="AO9454"/>
    </row>
    <row r="9455" spans="24:41" x14ac:dyDescent="0.4">
      <c r="X9455"/>
      <c r="AO9455"/>
    </row>
    <row r="9456" spans="24:41" x14ac:dyDescent="0.4">
      <c r="X9456"/>
      <c r="AO9456"/>
    </row>
    <row r="9457" spans="24:41" x14ac:dyDescent="0.4">
      <c r="X9457"/>
      <c r="AO9457"/>
    </row>
    <row r="9458" spans="24:41" x14ac:dyDescent="0.4">
      <c r="X9458"/>
      <c r="AO9458"/>
    </row>
    <row r="9459" spans="24:41" x14ac:dyDescent="0.4">
      <c r="X9459"/>
      <c r="AO9459"/>
    </row>
    <row r="9460" spans="24:41" x14ac:dyDescent="0.4">
      <c r="X9460"/>
      <c r="AO9460"/>
    </row>
    <row r="9461" spans="24:41" x14ac:dyDescent="0.4">
      <c r="X9461"/>
      <c r="AO9461"/>
    </row>
    <row r="9462" spans="24:41" x14ac:dyDescent="0.4">
      <c r="X9462"/>
      <c r="AO9462"/>
    </row>
    <row r="9463" spans="24:41" x14ac:dyDescent="0.4">
      <c r="X9463"/>
      <c r="AO9463"/>
    </row>
    <row r="9464" spans="24:41" x14ac:dyDescent="0.4">
      <c r="X9464"/>
      <c r="AO9464"/>
    </row>
    <row r="9465" spans="24:41" x14ac:dyDescent="0.4">
      <c r="X9465"/>
      <c r="AO9465"/>
    </row>
    <row r="9466" spans="24:41" x14ac:dyDescent="0.4">
      <c r="X9466"/>
      <c r="AO9466"/>
    </row>
    <row r="9467" spans="24:41" x14ac:dyDescent="0.4">
      <c r="X9467"/>
      <c r="AO9467"/>
    </row>
    <row r="9468" spans="24:41" x14ac:dyDescent="0.4">
      <c r="X9468"/>
      <c r="AO9468"/>
    </row>
    <row r="9469" spans="24:41" x14ac:dyDescent="0.4">
      <c r="X9469"/>
      <c r="AO9469"/>
    </row>
    <row r="9470" spans="24:41" x14ac:dyDescent="0.4">
      <c r="X9470"/>
      <c r="AO9470"/>
    </row>
    <row r="9471" spans="24:41" x14ac:dyDescent="0.4">
      <c r="X9471"/>
      <c r="AO9471"/>
    </row>
    <row r="9472" spans="24:41" x14ac:dyDescent="0.4">
      <c r="X9472"/>
      <c r="AO9472"/>
    </row>
    <row r="9473" spans="24:41" x14ac:dyDescent="0.4">
      <c r="X9473"/>
      <c r="AO9473"/>
    </row>
    <row r="9474" spans="24:41" x14ac:dyDescent="0.4">
      <c r="X9474"/>
      <c r="AO9474"/>
    </row>
    <row r="9475" spans="24:41" x14ac:dyDescent="0.4">
      <c r="X9475"/>
      <c r="AO9475"/>
    </row>
    <row r="9476" spans="24:41" x14ac:dyDescent="0.4">
      <c r="X9476"/>
      <c r="AO9476"/>
    </row>
    <row r="9477" spans="24:41" x14ac:dyDescent="0.4">
      <c r="X9477"/>
      <c r="AO9477"/>
    </row>
    <row r="9478" spans="24:41" x14ac:dyDescent="0.4">
      <c r="X9478"/>
      <c r="AO9478"/>
    </row>
    <row r="9479" spans="24:41" x14ac:dyDescent="0.4">
      <c r="X9479"/>
      <c r="AO9479"/>
    </row>
    <row r="9480" spans="24:41" x14ac:dyDescent="0.4">
      <c r="X9480"/>
      <c r="AO9480"/>
    </row>
    <row r="9481" spans="24:41" x14ac:dyDescent="0.4">
      <c r="X9481"/>
      <c r="AO9481"/>
    </row>
    <row r="9482" spans="24:41" x14ac:dyDescent="0.4">
      <c r="X9482"/>
      <c r="AO9482"/>
    </row>
    <row r="9483" spans="24:41" x14ac:dyDescent="0.4">
      <c r="X9483"/>
      <c r="AO9483"/>
    </row>
    <row r="9484" spans="24:41" x14ac:dyDescent="0.4">
      <c r="X9484"/>
      <c r="AO9484"/>
    </row>
    <row r="9485" spans="24:41" x14ac:dyDescent="0.4">
      <c r="X9485"/>
      <c r="AO9485"/>
    </row>
    <row r="9486" spans="24:41" x14ac:dyDescent="0.4">
      <c r="X9486"/>
      <c r="AO9486"/>
    </row>
    <row r="9487" spans="24:41" x14ac:dyDescent="0.4">
      <c r="X9487"/>
      <c r="AO9487"/>
    </row>
    <row r="9488" spans="24:41" x14ac:dyDescent="0.4">
      <c r="X9488"/>
      <c r="AO9488"/>
    </row>
    <row r="9489" spans="24:41" x14ac:dyDescent="0.4">
      <c r="X9489"/>
      <c r="AO9489"/>
    </row>
    <row r="9490" spans="24:41" x14ac:dyDescent="0.4">
      <c r="X9490"/>
      <c r="AO9490"/>
    </row>
    <row r="9491" spans="24:41" x14ac:dyDescent="0.4">
      <c r="X9491"/>
      <c r="AO9491"/>
    </row>
    <row r="9492" spans="24:41" x14ac:dyDescent="0.4">
      <c r="X9492"/>
      <c r="AO9492"/>
    </row>
    <row r="9493" spans="24:41" x14ac:dyDescent="0.4">
      <c r="X9493"/>
      <c r="AO9493"/>
    </row>
    <row r="9494" spans="24:41" x14ac:dyDescent="0.4">
      <c r="X9494"/>
      <c r="AO9494"/>
    </row>
    <row r="9495" spans="24:41" x14ac:dyDescent="0.4">
      <c r="X9495"/>
      <c r="AO9495"/>
    </row>
    <row r="9496" spans="24:41" x14ac:dyDescent="0.4">
      <c r="X9496"/>
      <c r="AO9496"/>
    </row>
    <row r="9497" spans="24:41" x14ac:dyDescent="0.4">
      <c r="X9497"/>
      <c r="AO9497"/>
    </row>
    <row r="9498" spans="24:41" x14ac:dyDescent="0.4">
      <c r="X9498"/>
      <c r="AO9498"/>
    </row>
    <row r="9499" spans="24:41" x14ac:dyDescent="0.4">
      <c r="X9499"/>
      <c r="AO9499"/>
    </row>
    <row r="9500" spans="24:41" x14ac:dyDescent="0.4">
      <c r="X9500"/>
      <c r="AO9500"/>
    </row>
    <row r="9501" spans="24:41" x14ac:dyDescent="0.4">
      <c r="X9501"/>
      <c r="AO9501"/>
    </row>
    <row r="9502" spans="24:41" x14ac:dyDescent="0.4">
      <c r="X9502"/>
      <c r="AO9502"/>
    </row>
    <row r="9503" spans="24:41" x14ac:dyDescent="0.4">
      <c r="X9503"/>
      <c r="AO9503"/>
    </row>
    <row r="9504" spans="24:41" x14ac:dyDescent="0.4">
      <c r="X9504"/>
      <c r="AO9504"/>
    </row>
    <row r="9505" spans="24:41" x14ac:dyDescent="0.4">
      <c r="X9505"/>
      <c r="AO9505"/>
    </row>
    <row r="9506" spans="24:41" x14ac:dyDescent="0.4">
      <c r="X9506"/>
      <c r="AO9506"/>
    </row>
    <row r="9507" spans="24:41" x14ac:dyDescent="0.4">
      <c r="X9507"/>
      <c r="AO9507"/>
    </row>
    <row r="9508" spans="24:41" x14ac:dyDescent="0.4">
      <c r="X9508"/>
      <c r="AO9508"/>
    </row>
    <row r="9509" spans="24:41" x14ac:dyDescent="0.4">
      <c r="X9509"/>
      <c r="AO9509"/>
    </row>
    <row r="9510" spans="24:41" x14ac:dyDescent="0.4">
      <c r="X9510"/>
      <c r="AO9510"/>
    </row>
    <row r="9511" spans="24:41" x14ac:dyDescent="0.4">
      <c r="X9511"/>
      <c r="AO9511"/>
    </row>
    <row r="9512" spans="24:41" x14ac:dyDescent="0.4">
      <c r="X9512"/>
      <c r="AO9512"/>
    </row>
    <row r="9513" spans="24:41" x14ac:dyDescent="0.4">
      <c r="X9513"/>
      <c r="AO9513"/>
    </row>
    <row r="9514" spans="24:41" x14ac:dyDescent="0.4">
      <c r="X9514"/>
      <c r="AO9514"/>
    </row>
    <row r="9515" spans="24:41" x14ac:dyDescent="0.4">
      <c r="X9515"/>
      <c r="AO9515"/>
    </row>
    <row r="9516" spans="24:41" x14ac:dyDescent="0.4">
      <c r="X9516"/>
      <c r="AO9516"/>
    </row>
    <row r="9517" spans="24:41" x14ac:dyDescent="0.4">
      <c r="X9517"/>
      <c r="AO9517"/>
    </row>
    <row r="9518" spans="24:41" x14ac:dyDescent="0.4">
      <c r="X9518"/>
      <c r="AO9518"/>
    </row>
    <row r="9519" spans="24:41" x14ac:dyDescent="0.4">
      <c r="X9519"/>
      <c r="AO9519"/>
    </row>
    <row r="9520" spans="24:41" x14ac:dyDescent="0.4">
      <c r="X9520"/>
      <c r="AO9520"/>
    </row>
    <row r="9521" spans="24:41" x14ac:dyDescent="0.4">
      <c r="X9521"/>
      <c r="AO9521"/>
    </row>
    <row r="9522" spans="24:41" x14ac:dyDescent="0.4">
      <c r="X9522"/>
      <c r="AO9522"/>
    </row>
    <row r="9523" spans="24:41" x14ac:dyDescent="0.4">
      <c r="X9523"/>
      <c r="AO9523"/>
    </row>
    <row r="9524" spans="24:41" x14ac:dyDescent="0.4">
      <c r="X9524"/>
      <c r="AO9524"/>
    </row>
    <row r="9525" spans="24:41" x14ac:dyDescent="0.4">
      <c r="X9525"/>
      <c r="AO9525"/>
    </row>
    <row r="9526" spans="24:41" x14ac:dyDescent="0.4">
      <c r="X9526"/>
      <c r="AO9526"/>
    </row>
    <row r="9527" spans="24:41" x14ac:dyDescent="0.4">
      <c r="X9527"/>
      <c r="AO9527"/>
    </row>
    <row r="9528" spans="24:41" x14ac:dyDescent="0.4">
      <c r="X9528"/>
      <c r="AO9528"/>
    </row>
    <row r="9529" spans="24:41" x14ac:dyDescent="0.4">
      <c r="X9529"/>
      <c r="AO9529"/>
    </row>
    <row r="9530" spans="24:41" x14ac:dyDescent="0.4">
      <c r="X9530"/>
      <c r="AO9530"/>
    </row>
    <row r="9531" spans="24:41" x14ac:dyDescent="0.4">
      <c r="X9531"/>
      <c r="AO9531"/>
    </row>
    <row r="9532" spans="24:41" x14ac:dyDescent="0.4">
      <c r="X9532"/>
      <c r="AO9532"/>
    </row>
    <row r="9533" spans="24:41" x14ac:dyDescent="0.4">
      <c r="X9533"/>
      <c r="AO9533"/>
    </row>
    <row r="9534" spans="24:41" x14ac:dyDescent="0.4">
      <c r="X9534"/>
      <c r="AO9534"/>
    </row>
    <row r="9535" spans="24:41" x14ac:dyDescent="0.4">
      <c r="X9535"/>
      <c r="AO9535"/>
    </row>
    <row r="9536" spans="24:41" x14ac:dyDescent="0.4">
      <c r="X9536"/>
      <c r="AO9536"/>
    </row>
    <row r="9537" spans="24:41" x14ac:dyDescent="0.4">
      <c r="X9537"/>
      <c r="AO9537"/>
    </row>
    <row r="9538" spans="24:41" x14ac:dyDescent="0.4">
      <c r="X9538"/>
      <c r="AO9538"/>
    </row>
    <row r="9539" spans="24:41" x14ac:dyDescent="0.4">
      <c r="X9539"/>
      <c r="AO9539"/>
    </row>
    <row r="9540" spans="24:41" x14ac:dyDescent="0.4">
      <c r="X9540"/>
      <c r="AO9540"/>
    </row>
    <row r="9541" spans="24:41" x14ac:dyDescent="0.4">
      <c r="X9541"/>
      <c r="AO9541"/>
    </row>
    <row r="9542" spans="24:41" x14ac:dyDescent="0.4">
      <c r="X9542"/>
      <c r="AO9542"/>
    </row>
    <row r="9543" spans="24:41" x14ac:dyDescent="0.4">
      <c r="X9543"/>
      <c r="AO9543"/>
    </row>
    <row r="9544" spans="24:41" x14ac:dyDescent="0.4">
      <c r="X9544"/>
      <c r="AO9544"/>
    </row>
    <row r="9545" spans="24:41" x14ac:dyDescent="0.4">
      <c r="X9545"/>
      <c r="AO9545"/>
    </row>
    <row r="9546" spans="24:41" x14ac:dyDescent="0.4">
      <c r="X9546"/>
      <c r="AO9546"/>
    </row>
    <row r="9547" spans="24:41" x14ac:dyDescent="0.4">
      <c r="X9547"/>
      <c r="AO9547"/>
    </row>
    <row r="9548" spans="24:41" x14ac:dyDescent="0.4">
      <c r="X9548"/>
      <c r="AO9548"/>
    </row>
    <row r="9549" spans="24:41" x14ac:dyDescent="0.4">
      <c r="X9549"/>
      <c r="AO9549"/>
    </row>
    <row r="9550" spans="24:41" x14ac:dyDescent="0.4">
      <c r="X9550"/>
      <c r="AO9550"/>
    </row>
    <row r="9551" spans="24:41" x14ac:dyDescent="0.4">
      <c r="X9551"/>
      <c r="AO9551"/>
    </row>
    <row r="9552" spans="24:41" x14ac:dyDescent="0.4">
      <c r="X9552"/>
      <c r="AO9552"/>
    </row>
    <row r="9553" spans="24:41" x14ac:dyDescent="0.4">
      <c r="X9553"/>
      <c r="AO9553"/>
    </row>
    <row r="9554" spans="24:41" x14ac:dyDescent="0.4">
      <c r="X9554"/>
      <c r="AO9554"/>
    </row>
    <row r="9555" spans="24:41" x14ac:dyDescent="0.4">
      <c r="X9555"/>
      <c r="AO9555"/>
    </row>
    <row r="9556" spans="24:41" x14ac:dyDescent="0.4">
      <c r="X9556"/>
      <c r="AO9556"/>
    </row>
    <row r="9557" spans="24:41" x14ac:dyDescent="0.4">
      <c r="X9557"/>
      <c r="AO9557"/>
    </row>
    <row r="9558" spans="24:41" x14ac:dyDescent="0.4">
      <c r="X9558"/>
      <c r="AO9558"/>
    </row>
    <row r="9559" spans="24:41" x14ac:dyDescent="0.4">
      <c r="X9559"/>
      <c r="AO9559"/>
    </row>
    <row r="9560" spans="24:41" x14ac:dyDescent="0.4">
      <c r="X9560"/>
      <c r="AO9560"/>
    </row>
    <row r="9561" spans="24:41" x14ac:dyDescent="0.4">
      <c r="X9561"/>
      <c r="AO9561"/>
    </row>
    <row r="9562" spans="24:41" x14ac:dyDescent="0.4">
      <c r="X9562"/>
      <c r="AO9562"/>
    </row>
    <row r="9563" spans="24:41" x14ac:dyDescent="0.4">
      <c r="X9563"/>
      <c r="AO9563"/>
    </row>
    <row r="9564" spans="24:41" x14ac:dyDescent="0.4">
      <c r="X9564"/>
      <c r="AO9564"/>
    </row>
    <row r="9565" spans="24:41" x14ac:dyDescent="0.4">
      <c r="X9565"/>
      <c r="AO9565"/>
    </row>
    <row r="9566" spans="24:41" x14ac:dyDescent="0.4">
      <c r="X9566"/>
      <c r="AO9566"/>
    </row>
    <row r="9567" spans="24:41" x14ac:dyDescent="0.4">
      <c r="X9567"/>
      <c r="AO9567"/>
    </row>
    <row r="9568" spans="24:41" x14ac:dyDescent="0.4">
      <c r="X9568"/>
      <c r="AO9568"/>
    </row>
    <row r="9569" spans="24:41" x14ac:dyDescent="0.4">
      <c r="X9569"/>
      <c r="AO9569"/>
    </row>
    <row r="9570" spans="24:41" x14ac:dyDescent="0.4">
      <c r="X9570"/>
      <c r="AO9570"/>
    </row>
    <row r="9571" spans="24:41" x14ac:dyDescent="0.4">
      <c r="X9571"/>
      <c r="AO9571"/>
    </row>
    <row r="9572" spans="24:41" x14ac:dyDescent="0.4">
      <c r="X9572"/>
      <c r="AO9572"/>
    </row>
    <row r="9573" spans="24:41" x14ac:dyDescent="0.4">
      <c r="X9573"/>
      <c r="AO9573"/>
    </row>
    <row r="9574" spans="24:41" x14ac:dyDescent="0.4">
      <c r="X9574"/>
      <c r="AO9574"/>
    </row>
    <row r="9575" spans="24:41" x14ac:dyDescent="0.4">
      <c r="X9575"/>
      <c r="AO9575"/>
    </row>
    <row r="9576" spans="24:41" x14ac:dyDescent="0.4">
      <c r="X9576"/>
      <c r="AO9576"/>
    </row>
    <row r="9577" spans="24:41" x14ac:dyDescent="0.4">
      <c r="X9577"/>
      <c r="AO9577"/>
    </row>
    <row r="9578" spans="24:41" x14ac:dyDescent="0.4">
      <c r="X9578"/>
      <c r="AO9578"/>
    </row>
    <row r="9579" spans="24:41" x14ac:dyDescent="0.4">
      <c r="X9579"/>
      <c r="AO9579"/>
    </row>
    <row r="9580" spans="24:41" x14ac:dyDescent="0.4">
      <c r="X9580"/>
      <c r="AO9580"/>
    </row>
    <row r="9581" spans="24:41" x14ac:dyDescent="0.4">
      <c r="X9581"/>
      <c r="AO9581"/>
    </row>
    <row r="9582" spans="24:41" x14ac:dyDescent="0.4">
      <c r="X9582"/>
      <c r="AO9582"/>
    </row>
    <row r="9583" spans="24:41" x14ac:dyDescent="0.4">
      <c r="X9583"/>
      <c r="AO9583"/>
    </row>
    <row r="9584" spans="24:41" x14ac:dyDescent="0.4">
      <c r="X9584"/>
      <c r="AO9584"/>
    </row>
    <row r="9585" spans="24:41" x14ac:dyDescent="0.4">
      <c r="X9585"/>
      <c r="AO9585"/>
    </row>
    <row r="9586" spans="24:41" x14ac:dyDescent="0.4">
      <c r="X9586"/>
      <c r="AO9586"/>
    </row>
    <row r="9587" spans="24:41" x14ac:dyDescent="0.4">
      <c r="X9587"/>
      <c r="AO9587"/>
    </row>
    <row r="9588" spans="24:41" x14ac:dyDescent="0.4">
      <c r="X9588"/>
      <c r="AO9588"/>
    </row>
    <row r="9589" spans="24:41" x14ac:dyDescent="0.4">
      <c r="X9589"/>
      <c r="AO9589"/>
    </row>
    <row r="9590" spans="24:41" x14ac:dyDescent="0.4">
      <c r="X9590"/>
      <c r="AO9590"/>
    </row>
    <row r="9591" spans="24:41" x14ac:dyDescent="0.4">
      <c r="X9591"/>
      <c r="AO9591"/>
    </row>
    <row r="9592" spans="24:41" x14ac:dyDescent="0.4">
      <c r="X9592"/>
      <c r="AO9592"/>
    </row>
    <row r="9593" spans="24:41" x14ac:dyDescent="0.4">
      <c r="X9593"/>
      <c r="AO9593"/>
    </row>
    <row r="9594" spans="24:41" x14ac:dyDescent="0.4">
      <c r="X9594"/>
      <c r="AO9594"/>
    </row>
    <row r="9595" spans="24:41" x14ac:dyDescent="0.4">
      <c r="X9595"/>
      <c r="AO9595"/>
    </row>
    <row r="9596" spans="24:41" x14ac:dyDescent="0.4">
      <c r="X9596"/>
      <c r="AO9596"/>
    </row>
    <row r="9597" spans="24:41" x14ac:dyDescent="0.4">
      <c r="X9597"/>
      <c r="AO9597"/>
    </row>
    <row r="9598" spans="24:41" x14ac:dyDescent="0.4">
      <c r="X9598"/>
      <c r="AO9598"/>
    </row>
    <row r="9599" spans="24:41" x14ac:dyDescent="0.4">
      <c r="X9599"/>
      <c r="AO9599"/>
    </row>
    <row r="9600" spans="24:41" x14ac:dyDescent="0.4">
      <c r="X9600"/>
      <c r="AO9600"/>
    </row>
    <row r="9601" spans="24:41" x14ac:dyDescent="0.4">
      <c r="X9601"/>
      <c r="AO9601"/>
    </row>
    <row r="9602" spans="24:41" x14ac:dyDescent="0.4">
      <c r="X9602"/>
      <c r="AO9602"/>
    </row>
    <row r="9603" spans="24:41" x14ac:dyDescent="0.4">
      <c r="X9603"/>
      <c r="AO9603"/>
    </row>
    <row r="9604" spans="24:41" x14ac:dyDescent="0.4">
      <c r="X9604"/>
      <c r="AO9604"/>
    </row>
    <row r="9605" spans="24:41" x14ac:dyDescent="0.4">
      <c r="X9605"/>
      <c r="AO9605"/>
    </row>
    <row r="9606" spans="24:41" x14ac:dyDescent="0.4">
      <c r="X9606"/>
      <c r="AO9606"/>
    </row>
    <row r="9607" spans="24:41" x14ac:dyDescent="0.4">
      <c r="X9607"/>
      <c r="AO9607"/>
    </row>
    <row r="9608" spans="24:41" x14ac:dyDescent="0.4">
      <c r="X9608"/>
      <c r="AO9608"/>
    </row>
    <row r="9609" spans="24:41" x14ac:dyDescent="0.4">
      <c r="X9609"/>
      <c r="AO9609"/>
    </row>
    <row r="9610" spans="24:41" x14ac:dyDescent="0.4">
      <c r="X9610"/>
      <c r="AO9610"/>
    </row>
    <row r="9611" spans="24:41" x14ac:dyDescent="0.4">
      <c r="X9611"/>
      <c r="AO9611"/>
    </row>
    <row r="9612" spans="24:41" x14ac:dyDescent="0.4">
      <c r="X9612"/>
      <c r="AO9612"/>
    </row>
    <row r="9613" spans="24:41" x14ac:dyDescent="0.4">
      <c r="X9613"/>
      <c r="AO9613"/>
    </row>
    <row r="9614" spans="24:41" x14ac:dyDescent="0.4">
      <c r="X9614"/>
      <c r="AO9614"/>
    </row>
    <row r="9615" spans="24:41" x14ac:dyDescent="0.4">
      <c r="X9615"/>
      <c r="AO9615"/>
    </row>
    <row r="9616" spans="24:41" x14ac:dyDescent="0.4">
      <c r="X9616"/>
      <c r="AO9616"/>
    </row>
    <row r="9617" spans="24:41" x14ac:dyDescent="0.4">
      <c r="X9617"/>
      <c r="AO9617"/>
    </row>
    <row r="9618" spans="24:41" x14ac:dyDescent="0.4">
      <c r="X9618"/>
      <c r="AO9618"/>
    </row>
    <row r="9619" spans="24:41" x14ac:dyDescent="0.4">
      <c r="X9619"/>
      <c r="AO9619"/>
    </row>
    <row r="9620" spans="24:41" x14ac:dyDescent="0.4">
      <c r="X9620"/>
      <c r="AO9620"/>
    </row>
    <row r="9621" spans="24:41" x14ac:dyDescent="0.4">
      <c r="X9621"/>
      <c r="AO9621"/>
    </row>
    <row r="9622" spans="24:41" x14ac:dyDescent="0.4">
      <c r="X9622"/>
      <c r="AO9622"/>
    </row>
    <row r="9623" spans="24:41" x14ac:dyDescent="0.4">
      <c r="X9623"/>
      <c r="AO9623"/>
    </row>
    <row r="9624" spans="24:41" x14ac:dyDescent="0.4">
      <c r="X9624"/>
      <c r="AO9624"/>
    </row>
    <row r="9625" spans="24:41" x14ac:dyDescent="0.4">
      <c r="X9625"/>
      <c r="AO9625"/>
    </row>
    <row r="9626" spans="24:41" x14ac:dyDescent="0.4">
      <c r="X9626"/>
      <c r="AO9626"/>
    </row>
    <row r="9627" spans="24:41" x14ac:dyDescent="0.4">
      <c r="X9627"/>
      <c r="AO9627"/>
    </row>
    <row r="9628" spans="24:41" x14ac:dyDescent="0.4">
      <c r="X9628"/>
      <c r="AO9628"/>
    </row>
    <row r="9629" spans="24:41" x14ac:dyDescent="0.4">
      <c r="X9629"/>
      <c r="AO9629"/>
    </row>
    <row r="9630" spans="24:41" x14ac:dyDescent="0.4">
      <c r="X9630"/>
      <c r="AO9630"/>
    </row>
    <row r="9631" spans="24:41" x14ac:dyDescent="0.4">
      <c r="X9631"/>
      <c r="AO9631"/>
    </row>
    <row r="9632" spans="24:41" x14ac:dyDescent="0.4">
      <c r="X9632"/>
      <c r="AO9632"/>
    </row>
    <row r="9633" spans="24:41" x14ac:dyDescent="0.4">
      <c r="X9633"/>
      <c r="AO9633"/>
    </row>
    <row r="9634" spans="24:41" x14ac:dyDescent="0.4">
      <c r="X9634"/>
      <c r="AO9634"/>
    </row>
    <row r="9635" spans="24:41" x14ac:dyDescent="0.4">
      <c r="X9635"/>
      <c r="AO9635"/>
    </row>
    <row r="9636" spans="24:41" x14ac:dyDescent="0.4">
      <c r="X9636"/>
      <c r="AO9636"/>
    </row>
    <row r="9637" spans="24:41" x14ac:dyDescent="0.4">
      <c r="X9637"/>
      <c r="AO9637"/>
    </row>
    <row r="9638" spans="24:41" x14ac:dyDescent="0.4">
      <c r="X9638"/>
      <c r="AO9638"/>
    </row>
    <row r="9639" spans="24:41" x14ac:dyDescent="0.4">
      <c r="X9639"/>
      <c r="AO9639"/>
    </row>
    <row r="9640" spans="24:41" x14ac:dyDescent="0.4">
      <c r="X9640"/>
      <c r="AO9640"/>
    </row>
    <row r="9641" spans="24:41" x14ac:dyDescent="0.4">
      <c r="X9641"/>
      <c r="AO9641"/>
    </row>
    <row r="9642" spans="24:41" x14ac:dyDescent="0.4">
      <c r="X9642"/>
      <c r="AO9642"/>
    </row>
    <row r="9643" spans="24:41" x14ac:dyDescent="0.4">
      <c r="X9643"/>
      <c r="AO9643"/>
    </row>
    <row r="9644" spans="24:41" x14ac:dyDescent="0.4">
      <c r="X9644"/>
      <c r="AO9644"/>
    </row>
    <row r="9645" spans="24:41" x14ac:dyDescent="0.4">
      <c r="X9645"/>
      <c r="AO9645"/>
    </row>
    <row r="9646" spans="24:41" x14ac:dyDescent="0.4">
      <c r="X9646"/>
      <c r="AO9646"/>
    </row>
    <row r="9647" spans="24:41" x14ac:dyDescent="0.4">
      <c r="X9647"/>
      <c r="AO9647"/>
    </row>
    <row r="9648" spans="24:41" x14ac:dyDescent="0.4">
      <c r="X9648"/>
      <c r="AO9648"/>
    </row>
    <row r="9649" spans="24:41" x14ac:dyDescent="0.4">
      <c r="X9649"/>
      <c r="AO9649"/>
    </row>
    <row r="9650" spans="24:41" x14ac:dyDescent="0.4">
      <c r="X9650"/>
      <c r="AO9650"/>
    </row>
    <row r="9651" spans="24:41" x14ac:dyDescent="0.4">
      <c r="X9651"/>
      <c r="AO9651"/>
    </row>
    <row r="9652" spans="24:41" x14ac:dyDescent="0.4">
      <c r="X9652"/>
      <c r="AO9652"/>
    </row>
    <row r="9653" spans="24:41" x14ac:dyDescent="0.4">
      <c r="X9653"/>
      <c r="AO9653"/>
    </row>
    <row r="9654" spans="24:41" x14ac:dyDescent="0.4">
      <c r="X9654"/>
      <c r="AO9654"/>
    </row>
    <row r="9655" spans="24:41" x14ac:dyDescent="0.4">
      <c r="X9655"/>
      <c r="AO9655"/>
    </row>
    <row r="9656" spans="24:41" x14ac:dyDescent="0.4">
      <c r="X9656"/>
      <c r="AO9656"/>
    </row>
    <row r="9657" spans="24:41" x14ac:dyDescent="0.4">
      <c r="X9657"/>
      <c r="AO9657"/>
    </row>
    <row r="9658" spans="24:41" x14ac:dyDescent="0.4">
      <c r="X9658"/>
      <c r="AO9658"/>
    </row>
    <row r="9659" spans="24:41" x14ac:dyDescent="0.4">
      <c r="X9659"/>
      <c r="AO9659"/>
    </row>
    <row r="9660" spans="24:41" x14ac:dyDescent="0.4">
      <c r="X9660"/>
      <c r="AO9660"/>
    </row>
    <row r="9661" spans="24:41" x14ac:dyDescent="0.4">
      <c r="X9661"/>
      <c r="AO9661"/>
    </row>
    <row r="9662" spans="24:41" x14ac:dyDescent="0.4">
      <c r="X9662"/>
      <c r="AO9662"/>
    </row>
    <row r="9663" spans="24:41" x14ac:dyDescent="0.4">
      <c r="X9663"/>
      <c r="AO9663"/>
    </row>
    <row r="9664" spans="24:41" x14ac:dyDescent="0.4">
      <c r="X9664"/>
      <c r="AO9664"/>
    </row>
    <row r="9665" spans="24:41" x14ac:dyDescent="0.4">
      <c r="X9665"/>
      <c r="AO9665"/>
    </row>
    <row r="9666" spans="24:41" x14ac:dyDescent="0.4">
      <c r="X9666"/>
      <c r="AO9666"/>
    </row>
    <row r="9667" spans="24:41" x14ac:dyDescent="0.4">
      <c r="X9667"/>
      <c r="AO9667"/>
    </row>
    <row r="9668" spans="24:41" x14ac:dyDescent="0.4">
      <c r="X9668"/>
      <c r="AO9668"/>
    </row>
    <row r="9669" spans="24:41" x14ac:dyDescent="0.4">
      <c r="X9669"/>
      <c r="AO9669"/>
    </row>
    <row r="9670" spans="24:41" x14ac:dyDescent="0.4">
      <c r="X9670"/>
      <c r="AO9670"/>
    </row>
    <row r="9671" spans="24:41" x14ac:dyDescent="0.4">
      <c r="X9671"/>
      <c r="AO9671"/>
    </row>
    <row r="9672" spans="24:41" x14ac:dyDescent="0.4">
      <c r="X9672"/>
      <c r="AO9672"/>
    </row>
    <row r="9673" spans="24:41" x14ac:dyDescent="0.4">
      <c r="X9673"/>
      <c r="AO9673"/>
    </row>
    <row r="9674" spans="24:41" x14ac:dyDescent="0.4">
      <c r="X9674"/>
      <c r="AO9674"/>
    </row>
    <row r="9675" spans="24:41" x14ac:dyDescent="0.4">
      <c r="X9675"/>
      <c r="AO9675"/>
    </row>
    <row r="9676" spans="24:41" x14ac:dyDescent="0.4">
      <c r="X9676"/>
      <c r="AO9676"/>
    </row>
    <row r="9677" spans="24:41" x14ac:dyDescent="0.4">
      <c r="X9677"/>
      <c r="AO9677"/>
    </row>
    <row r="9678" spans="24:41" x14ac:dyDescent="0.4">
      <c r="X9678"/>
      <c r="AO9678"/>
    </row>
    <row r="9679" spans="24:41" x14ac:dyDescent="0.4">
      <c r="X9679"/>
      <c r="AO9679"/>
    </row>
    <row r="9680" spans="24:41" x14ac:dyDescent="0.4">
      <c r="X9680"/>
      <c r="AO9680"/>
    </row>
    <row r="9681" spans="24:41" x14ac:dyDescent="0.4">
      <c r="X9681"/>
      <c r="AO9681"/>
    </row>
    <row r="9682" spans="24:41" x14ac:dyDescent="0.4">
      <c r="X9682"/>
      <c r="AO9682"/>
    </row>
    <row r="9683" spans="24:41" x14ac:dyDescent="0.4">
      <c r="X9683"/>
      <c r="AO9683"/>
    </row>
    <row r="9684" spans="24:41" x14ac:dyDescent="0.4">
      <c r="X9684"/>
      <c r="AO9684"/>
    </row>
    <row r="9685" spans="24:41" x14ac:dyDescent="0.4">
      <c r="X9685"/>
      <c r="AO9685"/>
    </row>
    <row r="9686" spans="24:41" x14ac:dyDescent="0.4">
      <c r="X9686"/>
      <c r="AO9686"/>
    </row>
    <row r="9687" spans="24:41" x14ac:dyDescent="0.4">
      <c r="X9687"/>
      <c r="AO9687"/>
    </row>
    <row r="9688" spans="24:41" x14ac:dyDescent="0.4">
      <c r="X9688"/>
      <c r="AO9688"/>
    </row>
    <row r="9689" spans="24:41" x14ac:dyDescent="0.4">
      <c r="X9689"/>
      <c r="AO9689"/>
    </row>
    <row r="9690" spans="24:41" x14ac:dyDescent="0.4">
      <c r="X9690"/>
      <c r="AO9690"/>
    </row>
    <row r="9691" spans="24:41" x14ac:dyDescent="0.4">
      <c r="X9691"/>
      <c r="AO9691"/>
    </row>
    <row r="9692" spans="24:41" x14ac:dyDescent="0.4">
      <c r="X9692"/>
      <c r="AO9692"/>
    </row>
    <row r="9693" spans="24:41" x14ac:dyDescent="0.4">
      <c r="X9693"/>
      <c r="AO9693"/>
    </row>
    <row r="9694" spans="24:41" x14ac:dyDescent="0.4">
      <c r="X9694"/>
      <c r="AO9694"/>
    </row>
    <row r="9695" spans="24:41" x14ac:dyDescent="0.4">
      <c r="X9695"/>
      <c r="AO9695"/>
    </row>
    <row r="9696" spans="24:41" x14ac:dyDescent="0.4">
      <c r="X9696"/>
      <c r="AO9696"/>
    </row>
    <row r="9697" spans="24:41" x14ac:dyDescent="0.4">
      <c r="X9697"/>
      <c r="AO9697"/>
    </row>
    <row r="9698" spans="24:41" x14ac:dyDescent="0.4">
      <c r="X9698"/>
      <c r="AO9698"/>
    </row>
    <row r="9699" spans="24:41" x14ac:dyDescent="0.4">
      <c r="X9699"/>
      <c r="AO9699"/>
    </row>
    <row r="9700" spans="24:41" x14ac:dyDescent="0.4">
      <c r="X9700"/>
      <c r="AO9700"/>
    </row>
    <row r="9701" spans="24:41" x14ac:dyDescent="0.4">
      <c r="X9701"/>
      <c r="AO9701"/>
    </row>
    <row r="9702" spans="24:41" x14ac:dyDescent="0.4">
      <c r="X9702"/>
      <c r="AO9702"/>
    </row>
    <row r="9703" spans="24:41" x14ac:dyDescent="0.4">
      <c r="X9703"/>
      <c r="AO9703"/>
    </row>
    <row r="9704" spans="24:41" x14ac:dyDescent="0.4">
      <c r="X9704"/>
      <c r="AO9704"/>
    </row>
    <row r="9705" spans="24:41" x14ac:dyDescent="0.4">
      <c r="X9705"/>
      <c r="AO9705"/>
    </row>
    <row r="9706" spans="24:41" x14ac:dyDescent="0.4">
      <c r="X9706"/>
      <c r="AO9706"/>
    </row>
    <row r="9707" spans="24:41" x14ac:dyDescent="0.4">
      <c r="X9707"/>
      <c r="AO9707"/>
    </row>
    <row r="9708" spans="24:41" x14ac:dyDescent="0.4">
      <c r="X9708"/>
      <c r="AO9708"/>
    </row>
    <row r="9709" spans="24:41" x14ac:dyDescent="0.4">
      <c r="X9709"/>
      <c r="AO9709"/>
    </row>
    <row r="9710" spans="24:41" x14ac:dyDescent="0.4">
      <c r="X9710"/>
      <c r="AO9710"/>
    </row>
    <row r="9711" spans="24:41" x14ac:dyDescent="0.4">
      <c r="X9711"/>
      <c r="AO9711"/>
    </row>
    <row r="9712" spans="24:41" x14ac:dyDescent="0.4">
      <c r="X9712"/>
      <c r="AO9712"/>
    </row>
    <row r="9713" spans="24:41" x14ac:dyDescent="0.4">
      <c r="X9713"/>
      <c r="AO9713"/>
    </row>
    <row r="9714" spans="24:41" x14ac:dyDescent="0.4">
      <c r="X9714"/>
      <c r="AO9714"/>
    </row>
    <row r="9715" spans="24:41" x14ac:dyDescent="0.4">
      <c r="X9715"/>
      <c r="AO9715"/>
    </row>
    <row r="9716" spans="24:41" x14ac:dyDescent="0.4">
      <c r="X9716"/>
      <c r="AO9716"/>
    </row>
    <row r="9717" spans="24:41" x14ac:dyDescent="0.4">
      <c r="X9717"/>
      <c r="AO9717"/>
    </row>
    <row r="9718" spans="24:41" x14ac:dyDescent="0.4">
      <c r="X9718"/>
      <c r="AO9718"/>
    </row>
    <row r="9719" spans="24:41" x14ac:dyDescent="0.4">
      <c r="X9719"/>
      <c r="AO9719"/>
    </row>
    <row r="9720" spans="24:41" x14ac:dyDescent="0.4">
      <c r="X9720"/>
      <c r="AO9720"/>
    </row>
    <row r="9721" spans="24:41" x14ac:dyDescent="0.4">
      <c r="X9721"/>
      <c r="AO9721"/>
    </row>
    <row r="9722" spans="24:41" x14ac:dyDescent="0.4">
      <c r="X9722"/>
      <c r="AO9722"/>
    </row>
    <row r="9723" spans="24:41" x14ac:dyDescent="0.4">
      <c r="X9723"/>
      <c r="AO9723"/>
    </row>
    <row r="9724" spans="24:41" x14ac:dyDescent="0.4">
      <c r="X9724"/>
      <c r="AO9724"/>
    </row>
    <row r="9725" spans="24:41" x14ac:dyDescent="0.4">
      <c r="X9725"/>
      <c r="AO9725"/>
    </row>
    <row r="9726" spans="24:41" x14ac:dyDescent="0.4">
      <c r="X9726"/>
      <c r="AO9726"/>
    </row>
    <row r="9727" spans="24:41" x14ac:dyDescent="0.4">
      <c r="X9727"/>
      <c r="AO9727"/>
    </row>
    <row r="9728" spans="24:41" x14ac:dyDescent="0.4">
      <c r="X9728"/>
      <c r="AO9728"/>
    </row>
    <row r="9729" spans="24:41" x14ac:dyDescent="0.4">
      <c r="X9729"/>
      <c r="AO9729"/>
    </row>
    <row r="9730" spans="24:41" x14ac:dyDescent="0.4">
      <c r="X9730"/>
      <c r="AO9730"/>
    </row>
    <row r="9731" spans="24:41" x14ac:dyDescent="0.4">
      <c r="X9731"/>
      <c r="AO9731"/>
    </row>
    <row r="9732" spans="24:41" x14ac:dyDescent="0.4">
      <c r="X9732"/>
      <c r="AO9732"/>
    </row>
    <row r="9733" spans="24:41" x14ac:dyDescent="0.4">
      <c r="X9733"/>
      <c r="AO9733"/>
    </row>
    <row r="9734" spans="24:41" x14ac:dyDescent="0.4">
      <c r="X9734"/>
      <c r="AO9734"/>
    </row>
    <row r="9735" spans="24:41" x14ac:dyDescent="0.4">
      <c r="X9735"/>
      <c r="AO9735"/>
    </row>
    <row r="9736" spans="24:41" x14ac:dyDescent="0.4">
      <c r="X9736"/>
      <c r="AO9736"/>
    </row>
    <row r="9737" spans="24:41" x14ac:dyDescent="0.4">
      <c r="X9737"/>
      <c r="AO9737"/>
    </row>
    <row r="9738" spans="24:41" x14ac:dyDescent="0.4">
      <c r="X9738"/>
      <c r="AO9738"/>
    </row>
    <row r="9739" spans="24:41" x14ac:dyDescent="0.4">
      <c r="X9739"/>
      <c r="AO9739"/>
    </row>
    <row r="9740" spans="24:41" x14ac:dyDescent="0.4">
      <c r="X9740"/>
      <c r="AO9740"/>
    </row>
    <row r="9741" spans="24:41" x14ac:dyDescent="0.4">
      <c r="X9741"/>
      <c r="AO9741"/>
    </row>
    <row r="9742" spans="24:41" x14ac:dyDescent="0.4">
      <c r="X9742"/>
      <c r="AO9742"/>
    </row>
    <row r="9743" spans="24:41" x14ac:dyDescent="0.4">
      <c r="X9743"/>
      <c r="AO9743"/>
    </row>
    <row r="9744" spans="24:41" x14ac:dyDescent="0.4">
      <c r="X9744"/>
      <c r="AO9744"/>
    </row>
    <row r="9745" spans="24:41" x14ac:dyDescent="0.4">
      <c r="X9745"/>
      <c r="AO9745"/>
    </row>
    <row r="9746" spans="24:41" x14ac:dyDescent="0.4">
      <c r="X9746"/>
      <c r="AO9746"/>
    </row>
    <row r="9747" spans="24:41" x14ac:dyDescent="0.4">
      <c r="X9747"/>
      <c r="AO9747"/>
    </row>
    <row r="9748" spans="24:41" x14ac:dyDescent="0.4">
      <c r="X9748"/>
      <c r="AO9748"/>
    </row>
    <row r="9749" spans="24:41" x14ac:dyDescent="0.4">
      <c r="X9749"/>
      <c r="AO9749"/>
    </row>
    <row r="9750" spans="24:41" x14ac:dyDescent="0.4">
      <c r="X9750"/>
      <c r="AO9750"/>
    </row>
    <row r="9751" spans="24:41" x14ac:dyDescent="0.4">
      <c r="X9751"/>
      <c r="AO9751"/>
    </row>
    <row r="9752" spans="24:41" x14ac:dyDescent="0.4">
      <c r="X9752"/>
      <c r="AO9752"/>
    </row>
    <row r="9753" spans="24:41" x14ac:dyDescent="0.4">
      <c r="X9753"/>
      <c r="AO9753"/>
    </row>
    <row r="9754" spans="24:41" x14ac:dyDescent="0.4">
      <c r="X9754"/>
      <c r="AO9754"/>
    </row>
    <row r="9755" spans="24:41" x14ac:dyDescent="0.4">
      <c r="X9755"/>
      <c r="AO9755"/>
    </row>
    <row r="9756" spans="24:41" x14ac:dyDescent="0.4">
      <c r="X9756"/>
      <c r="AO9756"/>
    </row>
    <row r="9757" spans="24:41" x14ac:dyDescent="0.4">
      <c r="X9757"/>
      <c r="AO9757"/>
    </row>
    <row r="9758" spans="24:41" x14ac:dyDescent="0.4">
      <c r="X9758"/>
      <c r="AO9758"/>
    </row>
    <row r="9759" spans="24:41" x14ac:dyDescent="0.4">
      <c r="X9759"/>
      <c r="AO9759"/>
    </row>
    <row r="9760" spans="24:41" x14ac:dyDescent="0.4">
      <c r="X9760"/>
      <c r="AO9760"/>
    </row>
    <row r="9761" spans="24:41" x14ac:dyDescent="0.4">
      <c r="X9761"/>
      <c r="AO9761"/>
    </row>
    <row r="9762" spans="24:41" x14ac:dyDescent="0.4">
      <c r="X9762"/>
      <c r="AO9762"/>
    </row>
    <row r="9763" spans="24:41" x14ac:dyDescent="0.4">
      <c r="X9763"/>
      <c r="AO9763"/>
    </row>
    <row r="9764" spans="24:41" x14ac:dyDescent="0.4">
      <c r="X9764"/>
      <c r="AO9764"/>
    </row>
    <row r="9765" spans="24:41" x14ac:dyDescent="0.4">
      <c r="X9765"/>
      <c r="AO9765"/>
    </row>
    <row r="9766" spans="24:41" x14ac:dyDescent="0.4">
      <c r="X9766"/>
      <c r="AO9766"/>
    </row>
    <row r="9767" spans="24:41" x14ac:dyDescent="0.4">
      <c r="X9767"/>
      <c r="AO9767"/>
    </row>
    <row r="9768" spans="24:41" x14ac:dyDescent="0.4">
      <c r="X9768"/>
      <c r="AO9768"/>
    </row>
    <row r="9769" spans="24:41" x14ac:dyDescent="0.4">
      <c r="X9769"/>
      <c r="AO9769"/>
    </row>
    <row r="9770" spans="24:41" x14ac:dyDescent="0.4">
      <c r="X9770"/>
      <c r="AO9770"/>
    </row>
    <row r="9771" spans="24:41" x14ac:dyDescent="0.4">
      <c r="X9771"/>
      <c r="AO9771"/>
    </row>
    <row r="9772" spans="24:41" x14ac:dyDescent="0.4">
      <c r="X9772"/>
      <c r="AO9772"/>
    </row>
    <row r="9773" spans="24:41" x14ac:dyDescent="0.4">
      <c r="X9773"/>
      <c r="AO9773"/>
    </row>
    <row r="9774" spans="24:41" x14ac:dyDescent="0.4">
      <c r="X9774"/>
      <c r="AO9774"/>
    </row>
    <row r="9775" spans="24:41" x14ac:dyDescent="0.4">
      <c r="X9775"/>
      <c r="AO9775"/>
    </row>
    <row r="9776" spans="24:41" x14ac:dyDescent="0.4">
      <c r="X9776"/>
      <c r="AO9776"/>
    </row>
    <row r="9777" spans="24:41" x14ac:dyDescent="0.4">
      <c r="X9777"/>
      <c r="AO9777"/>
    </row>
    <row r="9778" spans="24:41" x14ac:dyDescent="0.4">
      <c r="X9778"/>
      <c r="AO9778"/>
    </row>
    <row r="9779" spans="24:41" x14ac:dyDescent="0.4">
      <c r="X9779"/>
      <c r="AO9779"/>
    </row>
    <row r="9780" spans="24:41" x14ac:dyDescent="0.4">
      <c r="X9780"/>
      <c r="AO9780"/>
    </row>
    <row r="9781" spans="24:41" x14ac:dyDescent="0.4">
      <c r="X9781"/>
      <c r="AO9781"/>
    </row>
    <row r="9782" spans="24:41" x14ac:dyDescent="0.4">
      <c r="X9782"/>
      <c r="AO9782"/>
    </row>
    <row r="9783" spans="24:41" x14ac:dyDescent="0.4">
      <c r="X9783"/>
      <c r="AO9783"/>
    </row>
    <row r="9784" spans="24:41" x14ac:dyDescent="0.4">
      <c r="X9784"/>
      <c r="AO9784"/>
    </row>
    <row r="9785" spans="24:41" x14ac:dyDescent="0.4">
      <c r="X9785"/>
      <c r="AO9785"/>
    </row>
    <row r="9786" spans="24:41" x14ac:dyDescent="0.4">
      <c r="X9786"/>
      <c r="AO9786"/>
    </row>
    <row r="9787" spans="24:41" x14ac:dyDescent="0.4">
      <c r="X9787"/>
      <c r="AO9787"/>
    </row>
    <row r="9788" spans="24:41" x14ac:dyDescent="0.4">
      <c r="X9788"/>
      <c r="AO9788"/>
    </row>
    <row r="9789" spans="24:41" x14ac:dyDescent="0.4">
      <c r="X9789"/>
      <c r="AO9789"/>
    </row>
    <row r="9790" spans="24:41" x14ac:dyDescent="0.4">
      <c r="X9790"/>
      <c r="AO9790"/>
    </row>
    <row r="9791" spans="24:41" x14ac:dyDescent="0.4">
      <c r="X9791"/>
      <c r="AO9791"/>
    </row>
    <row r="9792" spans="24:41" x14ac:dyDescent="0.4">
      <c r="X9792"/>
      <c r="AO9792"/>
    </row>
    <row r="9793" spans="24:41" x14ac:dyDescent="0.4">
      <c r="X9793"/>
      <c r="AO9793"/>
    </row>
    <row r="9794" spans="24:41" x14ac:dyDescent="0.4">
      <c r="X9794"/>
      <c r="AO9794"/>
    </row>
    <row r="9795" spans="24:41" x14ac:dyDescent="0.4">
      <c r="X9795"/>
      <c r="AO9795"/>
    </row>
    <row r="9796" spans="24:41" x14ac:dyDescent="0.4">
      <c r="X9796"/>
      <c r="AO9796"/>
    </row>
    <row r="9797" spans="24:41" x14ac:dyDescent="0.4">
      <c r="X9797"/>
      <c r="AO9797"/>
    </row>
    <row r="9798" spans="24:41" x14ac:dyDescent="0.4">
      <c r="X9798"/>
      <c r="AO9798"/>
    </row>
    <row r="9799" spans="24:41" x14ac:dyDescent="0.4">
      <c r="X9799"/>
      <c r="AO9799"/>
    </row>
    <row r="9800" spans="24:41" x14ac:dyDescent="0.4">
      <c r="X9800"/>
      <c r="AO9800"/>
    </row>
    <row r="9801" spans="24:41" x14ac:dyDescent="0.4">
      <c r="X9801"/>
      <c r="AO9801"/>
    </row>
    <row r="9802" spans="24:41" x14ac:dyDescent="0.4">
      <c r="X9802"/>
      <c r="AO9802"/>
    </row>
    <row r="9803" spans="24:41" x14ac:dyDescent="0.4">
      <c r="X9803"/>
      <c r="AO9803"/>
    </row>
    <row r="9804" spans="24:41" x14ac:dyDescent="0.4">
      <c r="X9804"/>
      <c r="AO9804"/>
    </row>
    <row r="9805" spans="24:41" x14ac:dyDescent="0.4">
      <c r="X9805"/>
      <c r="AO9805"/>
    </row>
    <row r="9806" spans="24:41" x14ac:dyDescent="0.4">
      <c r="X9806"/>
      <c r="AO9806"/>
    </row>
    <row r="9807" spans="24:41" x14ac:dyDescent="0.4">
      <c r="X9807"/>
      <c r="AO9807"/>
    </row>
    <row r="9808" spans="24:41" x14ac:dyDescent="0.4">
      <c r="X9808"/>
      <c r="AO9808"/>
    </row>
    <row r="9809" spans="24:41" x14ac:dyDescent="0.4">
      <c r="X9809"/>
      <c r="AO9809"/>
    </row>
    <row r="9810" spans="24:41" x14ac:dyDescent="0.4">
      <c r="X9810"/>
      <c r="AO9810"/>
    </row>
    <row r="9811" spans="24:41" x14ac:dyDescent="0.4">
      <c r="X9811"/>
      <c r="AO9811"/>
    </row>
    <row r="9812" spans="24:41" x14ac:dyDescent="0.4">
      <c r="X9812"/>
      <c r="AO9812"/>
    </row>
    <row r="9813" spans="24:41" x14ac:dyDescent="0.4">
      <c r="X9813"/>
      <c r="AO9813"/>
    </row>
    <row r="9814" spans="24:41" x14ac:dyDescent="0.4">
      <c r="X9814"/>
      <c r="AO9814"/>
    </row>
    <row r="9815" spans="24:41" x14ac:dyDescent="0.4">
      <c r="X9815"/>
      <c r="AO9815"/>
    </row>
    <row r="9816" spans="24:41" x14ac:dyDescent="0.4">
      <c r="X9816"/>
      <c r="AO9816"/>
    </row>
    <row r="9817" spans="24:41" x14ac:dyDescent="0.4">
      <c r="X9817"/>
      <c r="AO9817"/>
    </row>
    <row r="9818" spans="24:41" x14ac:dyDescent="0.4">
      <c r="X9818"/>
      <c r="AO9818"/>
    </row>
    <row r="9819" spans="24:41" x14ac:dyDescent="0.4">
      <c r="X9819"/>
      <c r="AO9819"/>
    </row>
    <row r="9820" spans="24:41" x14ac:dyDescent="0.4">
      <c r="X9820"/>
      <c r="AO9820"/>
    </row>
    <row r="9821" spans="24:41" x14ac:dyDescent="0.4">
      <c r="X9821"/>
      <c r="AO9821"/>
    </row>
    <row r="9822" spans="24:41" x14ac:dyDescent="0.4">
      <c r="X9822"/>
      <c r="AO9822"/>
    </row>
    <row r="9823" spans="24:41" x14ac:dyDescent="0.4">
      <c r="X9823"/>
      <c r="AO9823"/>
    </row>
    <row r="9824" spans="24:41" x14ac:dyDescent="0.4">
      <c r="X9824"/>
      <c r="AO9824"/>
    </row>
    <row r="9825" spans="24:41" x14ac:dyDescent="0.4">
      <c r="X9825"/>
      <c r="AO9825"/>
    </row>
    <row r="9826" spans="24:41" x14ac:dyDescent="0.4">
      <c r="X9826"/>
      <c r="AO9826"/>
    </row>
    <row r="9827" spans="24:41" x14ac:dyDescent="0.4">
      <c r="X9827"/>
      <c r="AO9827"/>
    </row>
    <row r="9828" spans="24:41" x14ac:dyDescent="0.4">
      <c r="X9828"/>
      <c r="AO9828"/>
    </row>
    <row r="9829" spans="24:41" x14ac:dyDescent="0.4">
      <c r="X9829"/>
      <c r="AO9829"/>
    </row>
    <row r="9830" spans="24:41" x14ac:dyDescent="0.4">
      <c r="X9830"/>
      <c r="AO9830"/>
    </row>
    <row r="9831" spans="24:41" x14ac:dyDescent="0.4">
      <c r="X9831"/>
      <c r="AO9831"/>
    </row>
    <row r="9832" spans="24:41" x14ac:dyDescent="0.4">
      <c r="X9832"/>
      <c r="AO9832"/>
    </row>
    <row r="9833" spans="24:41" x14ac:dyDescent="0.4">
      <c r="X9833"/>
      <c r="AO9833"/>
    </row>
    <row r="9834" spans="24:41" x14ac:dyDescent="0.4">
      <c r="X9834"/>
      <c r="AO9834"/>
    </row>
    <row r="9835" spans="24:41" x14ac:dyDescent="0.4">
      <c r="X9835"/>
      <c r="AO9835"/>
    </row>
    <row r="9836" spans="24:41" x14ac:dyDescent="0.4">
      <c r="X9836"/>
      <c r="AO9836"/>
    </row>
    <row r="9837" spans="24:41" x14ac:dyDescent="0.4">
      <c r="X9837"/>
      <c r="AO9837"/>
    </row>
    <row r="9838" spans="24:41" x14ac:dyDescent="0.4">
      <c r="X9838"/>
      <c r="AO9838"/>
    </row>
    <row r="9839" spans="24:41" x14ac:dyDescent="0.4">
      <c r="X9839"/>
      <c r="AO9839"/>
    </row>
    <row r="9840" spans="24:41" x14ac:dyDescent="0.4">
      <c r="X9840"/>
      <c r="AO9840"/>
    </row>
    <row r="9841" spans="24:41" x14ac:dyDescent="0.4">
      <c r="X9841"/>
      <c r="AO9841"/>
    </row>
    <row r="9842" spans="24:41" x14ac:dyDescent="0.4">
      <c r="X9842"/>
      <c r="AO9842"/>
    </row>
    <row r="9843" spans="24:41" x14ac:dyDescent="0.4">
      <c r="X9843"/>
      <c r="AO9843"/>
    </row>
    <row r="9844" spans="24:41" x14ac:dyDescent="0.4">
      <c r="X9844"/>
      <c r="AO9844"/>
    </row>
    <row r="9845" spans="24:41" x14ac:dyDescent="0.4">
      <c r="X9845"/>
      <c r="AO9845"/>
    </row>
    <row r="9846" spans="24:41" x14ac:dyDescent="0.4">
      <c r="X9846"/>
      <c r="AO9846"/>
    </row>
    <row r="9847" spans="24:41" x14ac:dyDescent="0.4">
      <c r="X9847"/>
      <c r="AO9847"/>
    </row>
    <row r="9848" spans="24:41" x14ac:dyDescent="0.4">
      <c r="X9848"/>
      <c r="AO9848"/>
    </row>
    <row r="9849" spans="24:41" x14ac:dyDescent="0.4">
      <c r="X9849"/>
      <c r="AO9849"/>
    </row>
    <row r="9850" spans="24:41" x14ac:dyDescent="0.4">
      <c r="X9850"/>
      <c r="AO9850"/>
    </row>
    <row r="9851" spans="24:41" x14ac:dyDescent="0.4">
      <c r="X9851"/>
      <c r="AO9851"/>
    </row>
    <row r="9852" spans="24:41" x14ac:dyDescent="0.4">
      <c r="X9852"/>
      <c r="AO9852"/>
    </row>
    <row r="9853" spans="24:41" x14ac:dyDescent="0.4">
      <c r="X9853"/>
      <c r="AO9853"/>
    </row>
    <row r="9854" spans="24:41" x14ac:dyDescent="0.4">
      <c r="X9854"/>
      <c r="AO9854"/>
    </row>
    <row r="9855" spans="24:41" x14ac:dyDescent="0.4">
      <c r="X9855"/>
      <c r="AO9855"/>
    </row>
    <row r="9856" spans="24:41" x14ac:dyDescent="0.4">
      <c r="X9856"/>
      <c r="AO9856"/>
    </row>
    <row r="9857" spans="24:41" x14ac:dyDescent="0.4">
      <c r="X9857"/>
      <c r="AO9857"/>
    </row>
    <row r="9858" spans="24:41" x14ac:dyDescent="0.4">
      <c r="X9858"/>
      <c r="AO9858"/>
    </row>
    <row r="9859" spans="24:41" x14ac:dyDescent="0.4">
      <c r="X9859"/>
      <c r="AO9859"/>
    </row>
    <row r="9860" spans="24:41" x14ac:dyDescent="0.4">
      <c r="X9860"/>
      <c r="AO9860"/>
    </row>
    <row r="9861" spans="24:41" x14ac:dyDescent="0.4">
      <c r="X9861"/>
      <c r="AO9861"/>
    </row>
    <row r="9862" spans="24:41" x14ac:dyDescent="0.4">
      <c r="X9862"/>
      <c r="AO9862"/>
    </row>
    <row r="9863" spans="24:41" x14ac:dyDescent="0.4">
      <c r="X9863"/>
      <c r="AO9863"/>
    </row>
    <row r="9864" spans="24:41" x14ac:dyDescent="0.4">
      <c r="X9864"/>
      <c r="AO9864"/>
    </row>
    <row r="9865" spans="24:41" x14ac:dyDescent="0.4">
      <c r="X9865"/>
      <c r="AO9865"/>
    </row>
    <row r="9866" spans="24:41" x14ac:dyDescent="0.4">
      <c r="X9866"/>
      <c r="AO9866"/>
    </row>
    <row r="9867" spans="24:41" x14ac:dyDescent="0.4">
      <c r="X9867"/>
      <c r="AO9867"/>
    </row>
    <row r="9868" spans="24:41" x14ac:dyDescent="0.4">
      <c r="X9868"/>
      <c r="AO9868"/>
    </row>
    <row r="9869" spans="24:41" x14ac:dyDescent="0.4">
      <c r="X9869"/>
      <c r="AO9869"/>
    </row>
    <row r="9870" spans="24:41" x14ac:dyDescent="0.4">
      <c r="X9870"/>
      <c r="AO9870"/>
    </row>
    <row r="9871" spans="24:41" x14ac:dyDescent="0.4">
      <c r="X9871"/>
      <c r="AO9871"/>
    </row>
    <row r="9872" spans="24:41" x14ac:dyDescent="0.4">
      <c r="X9872"/>
      <c r="AO9872"/>
    </row>
    <row r="9873" spans="24:41" x14ac:dyDescent="0.4">
      <c r="X9873"/>
      <c r="AO9873"/>
    </row>
    <row r="9874" spans="24:41" x14ac:dyDescent="0.4">
      <c r="X9874"/>
      <c r="AO9874"/>
    </row>
    <row r="9875" spans="24:41" x14ac:dyDescent="0.4">
      <c r="X9875"/>
      <c r="AO9875"/>
    </row>
    <row r="9876" spans="24:41" x14ac:dyDescent="0.4">
      <c r="X9876"/>
      <c r="AO9876"/>
    </row>
    <row r="9877" spans="24:41" x14ac:dyDescent="0.4">
      <c r="X9877"/>
      <c r="AO9877"/>
    </row>
    <row r="9878" spans="24:41" x14ac:dyDescent="0.4">
      <c r="X9878"/>
      <c r="AO9878"/>
    </row>
    <row r="9879" spans="24:41" x14ac:dyDescent="0.4">
      <c r="X9879"/>
      <c r="AO9879"/>
    </row>
    <row r="9880" spans="24:41" x14ac:dyDescent="0.4">
      <c r="X9880"/>
      <c r="AO9880"/>
    </row>
    <row r="9881" spans="24:41" x14ac:dyDescent="0.4">
      <c r="X9881"/>
      <c r="AO9881"/>
    </row>
    <row r="9882" spans="24:41" x14ac:dyDescent="0.4">
      <c r="X9882"/>
      <c r="AO9882"/>
    </row>
    <row r="9883" spans="24:41" x14ac:dyDescent="0.4">
      <c r="X9883"/>
      <c r="AO9883"/>
    </row>
    <row r="9884" spans="24:41" x14ac:dyDescent="0.4">
      <c r="X9884"/>
      <c r="AO9884"/>
    </row>
    <row r="9885" spans="24:41" x14ac:dyDescent="0.4">
      <c r="X9885"/>
      <c r="AO9885"/>
    </row>
    <row r="9886" spans="24:41" x14ac:dyDescent="0.4">
      <c r="X9886"/>
      <c r="AO9886"/>
    </row>
    <row r="9887" spans="24:41" x14ac:dyDescent="0.4">
      <c r="X9887"/>
      <c r="AO9887"/>
    </row>
    <row r="9888" spans="24:41" x14ac:dyDescent="0.4">
      <c r="X9888"/>
      <c r="AO9888"/>
    </row>
    <row r="9889" spans="24:41" x14ac:dyDescent="0.4">
      <c r="X9889"/>
      <c r="AO9889"/>
    </row>
    <row r="9890" spans="24:41" x14ac:dyDescent="0.4">
      <c r="X9890"/>
      <c r="AO9890"/>
    </row>
    <row r="9891" spans="24:41" x14ac:dyDescent="0.4">
      <c r="X9891"/>
      <c r="AO9891"/>
    </row>
    <row r="9892" spans="24:41" x14ac:dyDescent="0.4">
      <c r="X9892"/>
      <c r="AO9892"/>
    </row>
    <row r="9893" spans="24:41" x14ac:dyDescent="0.4">
      <c r="X9893"/>
      <c r="AO9893"/>
    </row>
    <row r="9894" spans="24:41" x14ac:dyDescent="0.4">
      <c r="X9894"/>
      <c r="AO9894"/>
    </row>
    <row r="9895" spans="24:41" x14ac:dyDescent="0.4">
      <c r="X9895"/>
      <c r="AO9895"/>
    </row>
    <row r="9896" spans="24:41" x14ac:dyDescent="0.4">
      <c r="X9896"/>
      <c r="AO9896"/>
    </row>
    <row r="9897" spans="24:41" x14ac:dyDescent="0.4">
      <c r="X9897"/>
      <c r="AO9897"/>
    </row>
    <row r="9898" spans="24:41" x14ac:dyDescent="0.4">
      <c r="X9898"/>
      <c r="AO9898"/>
    </row>
    <row r="9899" spans="24:41" x14ac:dyDescent="0.4">
      <c r="X9899"/>
      <c r="AO9899"/>
    </row>
    <row r="9900" spans="24:41" x14ac:dyDescent="0.4">
      <c r="X9900"/>
      <c r="AO9900"/>
    </row>
    <row r="9901" spans="24:41" x14ac:dyDescent="0.4">
      <c r="X9901"/>
      <c r="AO9901"/>
    </row>
    <row r="9902" spans="24:41" x14ac:dyDescent="0.4">
      <c r="X9902"/>
      <c r="AO9902"/>
    </row>
    <row r="9903" spans="24:41" x14ac:dyDescent="0.4">
      <c r="X9903"/>
      <c r="AO9903"/>
    </row>
    <row r="9904" spans="24:41" x14ac:dyDescent="0.4">
      <c r="X9904"/>
      <c r="AO9904"/>
    </row>
    <row r="9905" spans="24:41" x14ac:dyDescent="0.4">
      <c r="X9905"/>
      <c r="AO9905"/>
    </row>
    <row r="9906" spans="24:41" x14ac:dyDescent="0.4">
      <c r="X9906"/>
      <c r="AO9906"/>
    </row>
    <row r="9907" spans="24:41" x14ac:dyDescent="0.4">
      <c r="X9907"/>
      <c r="AO9907"/>
    </row>
    <row r="9908" spans="24:41" x14ac:dyDescent="0.4">
      <c r="X9908"/>
      <c r="AO9908"/>
    </row>
    <row r="9909" spans="24:41" x14ac:dyDescent="0.4">
      <c r="X9909"/>
      <c r="AO9909"/>
    </row>
    <row r="9910" spans="24:41" x14ac:dyDescent="0.4">
      <c r="X9910"/>
      <c r="AO9910"/>
    </row>
    <row r="9911" spans="24:41" x14ac:dyDescent="0.4">
      <c r="X9911"/>
      <c r="AO9911"/>
    </row>
    <row r="9912" spans="24:41" x14ac:dyDescent="0.4">
      <c r="X9912"/>
      <c r="AO9912"/>
    </row>
    <row r="9913" spans="24:41" x14ac:dyDescent="0.4">
      <c r="X9913"/>
      <c r="AO9913"/>
    </row>
    <row r="9914" spans="24:41" x14ac:dyDescent="0.4">
      <c r="X9914"/>
      <c r="AO9914"/>
    </row>
    <row r="9915" spans="24:41" x14ac:dyDescent="0.4">
      <c r="X9915"/>
      <c r="AO9915"/>
    </row>
    <row r="9916" spans="24:41" x14ac:dyDescent="0.4">
      <c r="X9916"/>
      <c r="AO9916"/>
    </row>
    <row r="9917" spans="24:41" x14ac:dyDescent="0.4">
      <c r="X9917"/>
      <c r="AO9917"/>
    </row>
    <row r="9918" spans="24:41" x14ac:dyDescent="0.4">
      <c r="X9918"/>
      <c r="AO9918"/>
    </row>
    <row r="9919" spans="24:41" x14ac:dyDescent="0.4">
      <c r="X9919"/>
      <c r="AO9919"/>
    </row>
    <row r="9920" spans="24:41" x14ac:dyDescent="0.4">
      <c r="X9920"/>
      <c r="AO9920"/>
    </row>
    <row r="9921" spans="24:41" x14ac:dyDescent="0.4">
      <c r="X9921"/>
      <c r="AO9921"/>
    </row>
    <row r="9922" spans="24:41" x14ac:dyDescent="0.4">
      <c r="X9922"/>
      <c r="AO9922"/>
    </row>
    <row r="9923" spans="24:41" x14ac:dyDescent="0.4">
      <c r="X9923"/>
      <c r="AO9923"/>
    </row>
    <row r="9924" spans="24:41" x14ac:dyDescent="0.4">
      <c r="X9924"/>
      <c r="AO9924"/>
    </row>
    <row r="9925" spans="24:41" x14ac:dyDescent="0.4">
      <c r="X9925"/>
      <c r="AO9925"/>
    </row>
    <row r="9926" spans="24:41" x14ac:dyDescent="0.4">
      <c r="X9926"/>
      <c r="AO9926"/>
    </row>
    <row r="9927" spans="24:41" x14ac:dyDescent="0.4">
      <c r="X9927"/>
      <c r="AO9927"/>
    </row>
    <row r="9928" spans="24:41" x14ac:dyDescent="0.4">
      <c r="X9928"/>
      <c r="AO9928"/>
    </row>
    <row r="9929" spans="24:41" x14ac:dyDescent="0.4">
      <c r="X9929"/>
      <c r="AO9929"/>
    </row>
    <row r="9930" spans="24:41" x14ac:dyDescent="0.4">
      <c r="X9930"/>
      <c r="AO9930"/>
    </row>
    <row r="9931" spans="24:41" x14ac:dyDescent="0.4">
      <c r="X9931"/>
      <c r="AO9931"/>
    </row>
    <row r="9932" spans="24:41" x14ac:dyDescent="0.4">
      <c r="X9932"/>
      <c r="AO9932"/>
    </row>
    <row r="9933" spans="24:41" x14ac:dyDescent="0.4">
      <c r="X9933"/>
      <c r="AO9933"/>
    </row>
    <row r="9934" spans="24:41" x14ac:dyDescent="0.4">
      <c r="X9934"/>
      <c r="AO9934"/>
    </row>
    <row r="9935" spans="24:41" x14ac:dyDescent="0.4">
      <c r="X9935"/>
      <c r="AO9935"/>
    </row>
    <row r="9936" spans="24:41" x14ac:dyDescent="0.4">
      <c r="X9936"/>
      <c r="AO9936"/>
    </row>
    <row r="9937" spans="24:41" x14ac:dyDescent="0.4">
      <c r="X9937"/>
      <c r="AO9937"/>
    </row>
    <row r="9938" spans="24:41" x14ac:dyDescent="0.4">
      <c r="X9938"/>
      <c r="AO9938"/>
    </row>
    <row r="9939" spans="24:41" x14ac:dyDescent="0.4">
      <c r="X9939"/>
      <c r="AO9939"/>
    </row>
    <row r="9940" spans="24:41" x14ac:dyDescent="0.4">
      <c r="X9940"/>
      <c r="AO9940"/>
    </row>
    <row r="9941" spans="24:41" x14ac:dyDescent="0.4">
      <c r="X9941"/>
      <c r="AO9941"/>
    </row>
    <row r="9942" spans="24:41" x14ac:dyDescent="0.4">
      <c r="X9942"/>
      <c r="AO9942"/>
    </row>
    <row r="9943" spans="24:41" x14ac:dyDescent="0.4">
      <c r="X9943"/>
      <c r="AO9943"/>
    </row>
    <row r="9944" spans="24:41" x14ac:dyDescent="0.4">
      <c r="X9944"/>
      <c r="AO9944"/>
    </row>
    <row r="9945" spans="24:41" x14ac:dyDescent="0.4">
      <c r="X9945"/>
      <c r="AO9945"/>
    </row>
    <row r="9946" spans="24:41" x14ac:dyDescent="0.4">
      <c r="X9946"/>
      <c r="AO9946"/>
    </row>
    <row r="9947" spans="24:41" x14ac:dyDescent="0.4">
      <c r="X9947"/>
      <c r="AO9947"/>
    </row>
    <row r="9948" spans="24:41" x14ac:dyDescent="0.4">
      <c r="X9948"/>
      <c r="AO9948"/>
    </row>
    <row r="9949" spans="24:41" x14ac:dyDescent="0.4">
      <c r="X9949"/>
      <c r="AO9949"/>
    </row>
    <row r="9950" spans="24:41" x14ac:dyDescent="0.4">
      <c r="X9950"/>
      <c r="AO9950"/>
    </row>
    <row r="9951" spans="24:41" x14ac:dyDescent="0.4">
      <c r="X9951"/>
      <c r="AO9951"/>
    </row>
    <row r="9952" spans="24:41" x14ac:dyDescent="0.4">
      <c r="X9952"/>
      <c r="AO9952"/>
    </row>
    <row r="9953" spans="24:41" x14ac:dyDescent="0.4">
      <c r="X9953"/>
      <c r="AO9953"/>
    </row>
    <row r="9954" spans="24:41" x14ac:dyDescent="0.4">
      <c r="X9954"/>
      <c r="AO9954"/>
    </row>
    <row r="9955" spans="24:41" x14ac:dyDescent="0.4">
      <c r="X9955"/>
      <c r="AO9955"/>
    </row>
    <row r="9956" spans="24:41" x14ac:dyDescent="0.4">
      <c r="X9956"/>
      <c r="AO9956"/>
    </row>
    <row r="9957" spans="24:41" x14ac:dyDescent="0.4">
      <c r="X9957"/>
      <c r="AO9957"/>
    </row>
    <row r="9958" spans="24:41" x14ac:dyDescent="0.4">
      <c r="X9958"/>
      <c r="AO9958"/>
    </row>
    <row r="9959" spans="24:41" x14ac:dyDescent="0.4">
      <c r="X9959"/>
      <c r="AO9959"/>
    </row>
    <row r="9960" spans="24:41" x14ac:dyDescent="0.4">
      <c r="X9960"/>
      <c r="AO9960"/>
    </row>
    <row r="9961" spans="24:41" x14ac:dyDescent="0.4">
      <c r="X9961"/>
      <c r="AO9961"/>
    </row>
    <row r="9962" spans="24:41" x14ac:dyDescent="0.4">
      <c r="X9962"/>
      <c r="AO9962"/>
    </row>
    <row r="9963" spans="24:41" x14ac:dyDescent="0.4">
      <c r="X9963"/>
      <c r="AO9963"/>
    </row>
    <row r="9964" spans="24:41" x14ac:dyDescent="0.4">
      <c r="X9964"/>
      <c r="AO9964"/>
    </row>
    <row r="9965" spans="24:41" x14ac:dyDescent="0.4">
      <c r="X9965"/>
      <c r="AO9965"/>
    </row>
    <row r="9966" spans="24:41" x14ac:dyDescent="0.4">
      <c r="X9966"/>
      <c r="AO9966"/>
    </row>
    <row r="9967" spans="24:41" x14ac:dyDescent="0.4">
      <c r="X9967"/>
      <c r="AO9967"/>
    </row>
    <row r="9968" spans="24:41" x14ac:dyDescent="0.4">
      <c r="X9968"/>
      <c r="AO9968"/>
    </row>
    <row r="9969" spans="24:41" x14ac:dyDescent="0.4">
      <c r="X9969"/>
      <c r="AO9969"/>
    </row>
    <row r="9970" spans="24:41" x14ac:dyDescent="0.4">
      <c r="X9970"/>
      <c r="AO9970"/>
    </row>
    <row r="9971" spans="24:41" x14ac:dyDescent="0.4">
      <c r="X9971"/>
      <c r="AO9971"/>
    </row>
    <row r="9972" spans="24:41" x14ac:dyDescent="0.4">
      <c r="X9972"/>
      <c r="AO9972"/>
    </row>
    <row r="9973" spans="24:41" x14ac:dyDescent="0.4">
      <c r="X9973"/>
      <c r="AO9973"/>
    </row>
    <row r="9974" spans="24:41" x14ac:dyDescent="0.4">
      <c r="X9974"/>
      <c r="AO9974"/>
    </row>
    <row r="9975" spans="24:41" x14ac:dyDescent="0.4">
      <c r="X9975"/>
      <c r="AO9975"/>
    </row>
    <row r="9976" spans="24:41" x14ac:dyDescent="0.4">
      <c r="X9976"/>
      <c r="AO9976"/>
    </row>
    <row r="9977" spans="24:41" x14ac:dyDescent="0.4">
      <c r="X9977"/>
      <c r="AO9977"/>
    </row>
    <row r="9978" spans="24:41" x14ac:dyDescent="0.4">
      <c r="X9978"/>
      <c r="AO9978"/>
    </row>
    <row r="9979" spans="24:41" x14ac:dyDescent="0.4">
      <c r="X9979"/>
      <c r="AO9979"/>
    </row>
    <row r="9980" spans="24:41" x14ac:dyDescent="0.4">
      <c r="X9980"/>
      <c r="AO9980"/>
    </row>
    <row r="9981" spans="24:41" x14ac:dyDescent="0.4">
      <c r="X9981"/>
      <c r="AO9981"/>
    </row>
    <row r="9982" spans="24:41" x14ac:dyDescent="0.4">
      <c r="X9982"/>
      <c r="AO9982"/>
    </row>
    <row r="9983" spans="24:41" x14ac:dyDescent="0.4">
      <c r="X9983"/>
      <c r="AO9983"/>
    </row>
    <row r="9984" spans="24:41" x14ac:dyDescent="0.4">
      <c r="X9984"/>
      <c r="AO9984"/>
    </row>
    <row r="9985" spans="24:41" x14ac:dyDescent="0.4">
      <c r="X9985"/>
      <c r="AO9985"/>
    </row>
    <row r="9986" spans="24:41" x14ac:dyDescent="0.4">
      <c r="X9986"/>
      <c r="AO9986"/>
    </row>
    <row r="9987" spans="24:41" x14ac:dyDescent="0.4">
      <c r="X9987"/>
      <c r="AO9987"/>
    </row>
    <row r="9988" spans="24:41" x14ac:dyDescent="0.4">
      <c r="X9988"/>
      <c r="AO9988"/>
    </row>
    <row r="9989" spans="24:41" x14ac:dyDescent="0.4">
      <c r="X9989"/>
      <c r="AO9989"/>
    </row>
    <row r="9990" spans="24:41" x14ac:dyDescent="0.4">
      <c r="X9990"/>
      <c r="AO9990"/>
    </row>
    <row r="9991" spans="24:41" x14ac:dyDescent="0.4">
      <c r="X9991"/>
      <c r="AO9991"/>
    </row>
    <row r="9992" spans="24:41" x14ac:dyDescent="0.4">
      <c r="X9992"/>
      <c r="AO9992"/>
    </row>
    <row r="9993" spans="24:41" x14ac:dyDescent="0.4">
      <c r="X9993"/>
      <c r="AO9993"/>
    </row>
    <row r="9994" spans="24:41" x14ac:dyDescent="0.4">
      <c r="X9994"/>
      <c r="AO9994"/>
    </row>
    <row r="9995" spans="24:41" x14ac:dyDescent="0.4">
      <c r="X9995"/>
      <c r="AO9995"/>
    </row>
    <row r="9996" spans="24:41" x14ac:dyDescent="0.4">
      <c r="X9996"/>
      <c r="AO9996"/>
    </row>
    <row r="9997" spans="24:41" x14ac:dyDescent="0.4">
      <c r="X9997"/>
      <c r="AO9997"/>
    </row>
    <row r="9998" spans="24:41" x14ac:dyDescent="0.4">
      <c r="X9998"/>
      <c r="AO9998"/>
    </row>
    <row r="9999" spans="24:41" x14ac:dyDescent="0.4">
      <c r="X9999"/>
      <c r="AO9999"/>
    </row>
    <row r="10000" spans="24:41" x14ac:dyDescent="0.4">
      <c r="X10000"/>
      <c r="AO10000"/>
    </row>
    <row r="10001" spans="24:41" x14ac:dyDescent="0.4">
      <c r="X10001"/>
      <c r="AO10001"/>
    </row>
    <row r="10002" spans="24:41" x14ac:dyDescent="0.4">
      <c r="X10002"/>
      <c r="AO10002"/>
    </row>
    <row r="10003" spans="24:41" x14ac:dyDescent="0.4">
      <c r="X10003"/>
      <c r="AO10003"/>
    </row>
    <row r="10004" spans="24:41" x14ac:dyDescent="0.4">
      <c r="X10004"/>
      <c r="AO10004"/>
    </row>
    <row r="10005" spans="24:41" x14ac:dyDescent="0.4">
      <c r="X10005"/>
      <c r="AO10005"/>
    </row>
    <row r="10006" spans="24:41" x14ac:dyDescent="0.4">
      <c r="X10006"/>
      <c r="AO10006"/>
    </row>
    <row r="10007" spans="24:41" x14ac:dyDescent="0.4">
      <c r="X10007"/>
      <c r="AO10007"/>
    </row>
    <row r="10008" spans="24:41" x14ac:dyDescent="0.4">
      <c r="X10008"/>
      <c r="AO10008"/>
    </row>
    <row r="10009" spans="24:41" x14ac:dyDescent="0.4">
      <c r="X10009"/>
      <c r="AO10009"/>
    </row>
    <row r="10010" spans="24:41" x14ac:dyDescent="0.4">
      <c r="X10010"/>
      <c r="AO10010"/>
    </row>
    <row r="10011" spans="24:41" x14ac:dyDescent="0.4">
      <c r="X10011"/>
      <c r="AO10011"/>
    </row>
    <row r="10012" spans="24:41" x14ac:dyDescent="0.4">
      <c r="X10012"/>
      <c r="AO10012"/>
    </row>
    <row r="10013" spans="24:41" x14ac:dyDescent="0.4">
      <c r="X10013"/>
      <c r="AO10013"/>
    </row>
    <row r="10014" spans="24:41" x14ac:dyDescent="0.4">
      <c r="X10014"/>
      <c r="AO10014"/>
    </row>
    <row r="10015" spans="24:41" x14ac:dyDescent="0.4">
      <c r="X10015"/>
      <c r="AO10015"/>
    </row>
    <row r="10016" spans="24:41" x14ac:dyDescent="0.4">
      <c r="X10016"/>
      <c r="AO10016"/>
    </row>
    <row r="10017" spans="24:41" x14ac:dyDescent="0.4">
      <c r="X10017"/>
      <c r="AO10017"/>
    </row>
    <row r="10018" spans="24:41" x14ac:dyDescent="0.4">
      <c r="X10018"/>
      <c r="AO10018"/>
    </row>
    <row r="10019" spans="24:41" x14ac:dyDescent="0.4">
      <c r="X10019"/>
      <c r="AO10019"/>
    </row>
    <row r="10020" spans="24:41" x14ac:dyDescent="0.4">
      <c r="X10020"/>
      <c r="AO10020"/>
    </row>
    <row r="10021" spans="24:41" x14ac:dyDescent="0.4">
      <c r="X10021"/>
      <c r="AO10021"/>
    </row>
    <row r="10022" spans="24:41" x14ac:dyDescent="0.4">
      <c r="X10022"/>
      <c r="AO10022"/>
    </row>
    <row r="10023" spans="24:41" x14ac:dyDescent="0.4">
      <c r="X10023"/>
      <c r="AO10023"/>
    </row>
    <row r="10024" spans="24:41" x14ac:dyDescent="0.4">
      <c r="X10024"/>
      <c r="AO10024"/>
    </row>
    <row r="10025" spans="24:41" x14ac:dyDescent="0.4">
      <c r="X10025"/>
      <c r="AO10025"/>
    </row>
    <row r="10026" spans="24:41" x14ac:dyDescent="0.4">
      <c r="X10026"/>
      <c r="AO10026"/>
    </row>
    <row r="10027" spans="24:41" x14ac:dyDescent="0.4">
      <c r="X10027"/>
      <c r="AO10027"/>
    </row>
    <row r="10028" spans="24:41" x14ac:dyDescent="0.4">
      <c r="X10028"/>
      <c r="AO10028"/>
    </row>
  </sheetData>
  <phoneticPr fontId="3"/>
  <dataValidations count="1">
    <dataValidation allowBlank="1" showInputMessage="1" sqref="B5"/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C53"/>
  <sheetViews>
    <sheetView topLeftCell="A34" workbookViewId="0">
      <selection activeCell="F20" sqref="F20"/>
    </sheetView>
  </sheetViews>
  <sheetFormatPr defaultRowHeight="18.75" x14ac:dyDescent="0.4"/>
  <cols>
    <col min="1" max="1" width="41.5" bestFit="1" customWidth="1"/>
    <col min="2" max="2" width="23" bestFit="1" customWidth="1"/>
    <col min="3" max="3" width="6.5" bestFit="1" customWidth="1"/>
  </cols>
  <sheetData>
    <row r="2" spans="1:3" x14ac:dyDescent="0.4">
      <c r="A2" s="32" t="s">
        <v>73</v>
      </c>
      <c r="B2" s="31"/>
      <c r="C2" s="51" t="s">
        <v>177</v>
      </c>
    </row>
    <row r="3" spans="1:3" x14ac:dyDescent="0.4">
      <c r="A3" s="33" t="s">
        <v>178</v>
      </c>
      <c r="B3" s="34"/>
      <c r="C3" s="26">
        <v>2</v>
      </c>
    </row>
    <row r="4" spans="1:3" x14ac:dyDescent="0.4">
      <c r="A4" s="35" t="s">
        <v>179</v>
      </c>
      <c r="B4" s="36"/>
      <c r="C4" s="25">
        <v>3</v>
      </c>
    </row>
    <row r="5" spans="1:3" x14ac:dyDescent="0.4">
      <c r="A5" s="35" t="s">
        <v>180</v>
      </c>
      <c r="B5" s="36"/>
      <c r="C5" s="25">
        <v>4</v>
      </c>
    </row>
    <row r="6" spans="1:3" x14ac:dyDescent="0.4">
      <c r="A6" s="35" t="s">
        <v>181</v>
      </c>
      <c r="B6" s="36"/>
      <c r="C6" s="25">
        <v>3</v>
      </c>
    </row>
    <row r="7" spans="1:3" x14ac:dyDescent="0.4">
      <c r="A7" s="35" t="s">
        <v>182</v>
      </c>
      <c r="B7" s="36"/>
      <c r="C7" s="25">
        <v>3</v>
      </c>
    </row>
    <row r="8" spans="1:3" x14ac:dyDescent="0.4">
      <c r="A8" s="37" t="s">
        <v>183</v>
      </c>
      <c r="B8" s="38"/>
      <c r="C8" s="23">
        <v>4</v>
      </c>
    </row>
    <row r="9" spans="1:3" x14ac:dyDescent="0.4">
      <c r="A9" s="39"/>
      <c r="B9" s="40"/>
      <c r="C9" s="21"/>
    </row>
    <row r="10" spans="1:3" x14ac:dyDescent="0.4">
      <c r="A10" s="39"/>
      <c r="B10" s="40"/>
      <c r="C10" s="21"/>
    </row>
    <row r="11" spans="1:3" x14ac:dyDescent="0.4">
      <c r="A11" s="32" t="s">
        <v>184</v>
      </c>
      <c r="B11" s="20" t="s">
        <v>185</v>
      </c>
      <c r="C11" s="51" t="s">
        <v>177</v>
      </c>
    </row>
    <row r="12" spans="1:3" x14ac:dyDescent="0.4">
      <c r="A12" s="41" t="s">
        <v>186</v>
      </c>
      <c r="B12" s="49" t="s">
        <v>187</v>
      </c>
      <c r="C12" s="24">
        <v>0</v>
      </c>
    </row>
    <row r="13" spans="1:3" x14ac:dyDescent="0.4">
      <c r="A13" s="42"/>
      <c r="B13" s="43" t="s">
        <v>188</v>
      </c>
      <c r="C13" s="25">
        <v>0.13</v>
      </c>
    </row>
    <row r="14" spans="1:3" x14ac:dyDescent="0.4">
      <c r="A14" s="42"/>
      <c r="B14" s="43" t="s">
        <v>189</v>
      </c>
      <c r="C14" s="25">
        <v>0.03</v>
      </c>
    </row>
    <row r="15" spans="1:3" x14ac:dyDescent="0.4">
      <c r="A15" s="42"/>
      <c r="B15" s="43" t="s">
        <v>190</v>
      </c>
      <c r="C15" s="25">
        <v>0.28000000000000003</v>
      </c>
    </row>
    <row r="16" spans="1:3" x14ac:dyDescent="0.4">
      <c r="A16" s="42"/>
      <c r="B16" s="43" t="s">
        <v>191</v>
      </c>
      <c r="C16" s="25">
        <v>0.09</v>
      </c>
    </row>
    <row r="17" spans="1:3" x14ac:dyDescent="0.4">
      <c r="A17" s="42"/>
      <c r="B17" s="44" t="s">
        <v>192</v>
      </c>
      <c r="C17" s="25">
        <v>0.32</v>
      </c>
    </row>
    <row r="18" spans="1:3" x14ac:dyDescent="0.4">
      <c r="A18" s="42"/>
      <c r="B18" s="43" t="s">
        <v>193</v>
      </c>
      <c r="C18" s="25">
        <v>0.11</v>
      </c>
    </row>
    <row r="19" spans="1:3" x14ac:dyDescent="0.4">
      <c r="A19" s="42"/>
      <c r="B19" s="43" t="s">
        <v>194</v>
      </c>
      <c r="C19" s="25">
        <v>0.44</v>
      </c>
    </row>
    <row r="20" spans="1:3" x14ac:dyDescent="0.4">
      <c r="A20" s="42"/>
      <c r="B20" s="43" t="s">
        <v>195</v>
      </c>
      <c r="C20" s="25">
        <v>0.18</v>
      </c>
    </row>
    <row r="21" spans="1:3" x14ac:dyDescent="0.4">
      <c r="A21" s="42"/>
      <c r="B21" s="43" t="s">
        <v>150</v>
      </c>
      <c r="C21" s="25">
        <v>0.54</v>
      </c>
    </row>
    <row r="22" spans="1:3" x14ac:dyDescent="0.4">
      <c r="A22" s="42"/>
      <c r="B22" s="43" t="s">
        <v>196</v>
      </c>
      <c r="C22" s="25">
        <v>0.24</v>
      </c>
    </row>
    <row r="23" spans="1:3" x14ac:dyDescent="0.4">
      <c r="A23" s="45"/>
      <c r="B23" s="43" t="s">
        <v>197</v>
      </c>
      <c r="C23" s="25">
        <v>4</v>
      </c>
    </row>
    <row r="24" spans="1:3" x14ac:dyDescent="0.4">
      <c r="A24" s="41" t="s">
        <v>198</v>
      </c>
      <c r="B24" s="46" t="s">
        <v>152</v>
      </c>
      <c r="C24" s="26">
        <v>0.22</v>
      </c>
    </row>
    <row r="25" spans="1:3" x14ac:dyDescent="0.4">
      <c r="A25" s="42"/>
      <c r="B25" s="44" t="s">
        <v>189</v>
      </c>
      <c r="C25" s="25">
        <v>0.06</v>
      </c>
    </row>
    <row r="26" spans="1:3" x14ac:dyDescent="0.4">
      <c r="A26" s="42"/>
      <c r="B26" s="44" t="s">
        <v>190</v>
      </c>
      <c r="C26" s="25">
        <v>0.28000000000000003</v>
      </c>
    </row>
    <row r="27" spans="1:3" x14ac:dyDescent="0.4">
      <c r="A27" s="42"/>
      <c r="B27" s="44" t="s">
        <v>191</v>
      </c>
      <c r="C27" s="25">
        <v>0.09</v>
      </c>
    </row>
    <row r="28" spans="1:3" x14ac:dyDescent="0.4">
      <c r="A28" s="42"/>
      <c r="B28" s="44" t="s">
        <v>192</v>
      </c>
      <c r="C28" s="25">
        <v>0.32</v>
      </c>
    </row>
    <row r="29" spans="1:3" x14ac:dyDescent="0.4">
      <c r="A29" s="42"/>
      <c r="B29" s="44" t="s">
        <v>193</v>
      </c>
      <c r="C29" s="52">
        <v>0.11</v>
      </c>
    </row>
    <row r="30" spans="1:3" x14ac:dyDescent="0.4">
      <c r="A30" s="42"/>
      <c r="B30" s="44" t="s">
        <v>194</v>
      </c>
      <c r="C30" s="52">
        <v>0.44</v>
      </c>
    </row>
    <row r="31" spans="1:3" x14ac:dyDescent="0.4">
      <c r="A31" s="42"/>
      <c r="B31" s="44" t="s">
        <v>195</v>
      </c>
      <c r="C31" s="52">
        <v>0.18</v>
      </c>
    </row>
    <row r="32" spans="1:3" x14ac:dyDescent="0.4">
      <c r="A32" s="42"/>
      <c r="B32" s="44" t="s">
        <v>150</v>
      </c>
      <c r="C32" s="52">
        <v>0.54</v>
      </c>
    </row>
    <row r="33" spans="1:3" x14ac:dyDescent="0.4">
      <c r="A33" s="48"/>
      <c r="B33" s="44" t="s">
        <v>196</v>
      </c>
      <c r="C33" s="53">
        <v>0.24</v>
      </c>
    </row>
    <row r="34" spans="1:3" x14ac:dyDescent="0.4">
      <c r="A34" s="45"/>
      <c r="B34" s="47" t="s">
        <v>197</v>
      </c>
      <c r="C34" s="22">
        <v>4</v>
      </c>
    </row>
    <row r="35" spans="1:3" x14ac:dyDescent="0.4">
      <c r="A35" s="42" t="s">
        <v>199</v>
      </c>
      <c r="B35" s="46" t="s">
        <v>152</v>
      </c>
      <c r="C35" s="26">
        <v>0.3</v>
      </c>
    </row>
    <row r="36" spans="1:3" x14ac:dyDescent="0.4">
      <c r="A36" s="42"/>
      <c r="B36" s="44" t="s">
        <v>189</v>
      </c>
      <c r="C36" s="25">
        <v>0.09</v>
      </c>
    </row>
    <row r="37" spans="1:3" x14ac:dyDescent="0.4">
      <c r="A37" s="42"/>
      <c r="B37" s="44" t="s">
        <v>190</v>
      </c>
      <c r="C37" s="25">
        <v>0.38</v>
      </c>
    </row>
    <row r="38" spans="1:3" x14ac:dyDescent="0.4">
      <c r="A38" s="42"/>
      <c r="B38" s="44" t="s">
        <v>191</v>
      </c>
      <c r="C38" s="25">
        <v>0.12</v>
      </c>
    </row>
    <row r="39" spans="1:3" x14ac:dyDescent="0.4">
      <c r="A39" s="42"/>
      <c r="B39" s="54" t="s">
        <v>192</v>
      </c>
      <c r="C39" s="55">
        <v>0.44</v>
      </c>
    </row>
    <row r="40" spans="1:3" x14ac:dyDescent="0.4">
      <c r="A40" s="42"/>
      <c r="B40" s="54" t="s">
        <v>193</v>
      </c>
      <c r="C40" s="56">
        <v>0.15</v>
      </c>
    </row>
    <row r="41" spans="1:3" x14ac:dyDescent="0.4">
      <c r="A41" s="42"/>
      <c r="B41" s="44" t="s">
        <v>194</v>
      </c>
      <c r="C41" s="52">
        <v>0.6</v>
      </c>
    </row>
    <row r="42" spans="1:3" x14ac:dyDescent="0.4">
      <c r="A42" s="42"/>
      <c r="B42" s="44" t="s">
        <v>195</v>
      </c>
      <c r="C42" s="52">
        <v>0.24</v>
      </c>
    </row>
    <row r="43" spans="1:3" x14ac:dyDescent="0.4">
      <c r="A43" s="42"/>
      <c r="B43" s="44" t="s">
        <v>150</v>
      </c>
      <c r="C43" s="52">
        <v>0.73</v>
      </c>
    </row>
    <row r="44" spans="1:3" x14ac:dyDescent="0.4">
      <c r="A44" s="42"/>
      <c r="B44" s="44" t="s">
        <v>196</v>
      </c>
      <c r="C44" s="53">
        <v>0.32</v>
      </c>
    </row>
    <row r="45" spans="1:3" x14ac:dyDescent="0.4">
      <c r="A45" s="42"/>
      <c r="B45" s="47" t="s">
        <v>197</v>
      </c>
      <c r="C45" s="22">
        <v>4</v>
      </c>
    </row>
    <row r="46" spans="1:3" x14ac:dyDescent="0.4">
      <c r="A46" s="49" t="s">
        <v>200</v>
      </c>
      <c r="B46" s="46" t="s">
        <v>152</v>
      </c>
      <c r="C46" s="24">
        <v>0.2</v>
      </c>
    </row>
    <row r="47" spans="1:3" x14ac:dyDescent="0.4">
      <c r="A47" s="42"/>
      <c r="B47" s="44" t="s">
        <v>190</v>
      </c>
      <c r="C47" s="25">
        <v>0.25</v>
      </c>
    </row>
    <row r="48" spans="1:3" x14ac:dyDescent="0.4">
      <c r="A48" s="42"/>
      <c r="B48" s="44" t="s">
        <v>192</v>
      </c>
      <c r="C48" s="25">
        <v>0.35</v>
      </c>
    </row>
    <row r="49" spans="1:3" x14ac:dyDescent="0.4">
      <c r="A49" s="42"/>
      <c r="B49" s="43" t="s">
        <v>201</v>
      </c>
      <c r="C49" s="25">
        <v>0.5</v>
      </c>
    </row>
    <row r="50" spans="1:3" x14ac:dyDescent="0.4">
      <c r="A50" s="42"/>
      <c r="B50" s="43" t="s">
        <v>202</v>
      </c>
      <c r="C50" s="25">
        <v>0.75</v>
      </c>
    </row>
    <row r="51" spans="1:3" x14ac:dyDescent="0.4">
      <c r="A51" s="42"/>
      <c r="B51" s="43" t="s">
        <v>203</v>
      </c>
      <c r="C51" s="25">
        <v>1</v>
      </c>
    </row>
    <row r="52" spans="1:3" x14ac:dyDescent="0.4">
      <c r="A52" s="45"/>
      <c r="B52" s="50" t="s">
        <v>197</v>
      </c>
      <c r="C52" s="22">
        <v>12.5</v>
      </c>
    </row>
    <row r="53" spans="1:3" x14ac:dyDescent="0.4">
      <c r="A53" s="39"/>
      <c r="B53" s="39"/>
      <c r="C53" s="21"/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2"/>
  <sheetViews>
    <sheetView workbookViewId="0">
      <selection activeCell="E3" sqref="E3"/>
    </sheetView>
  </sheetViews>
  <sheetFormatPr defaultRowHeight="18.75" x14ac:dyDescent="0.4"/>
  <cols>
    <col min="1" max="1" width="25.375" customWidth="1"/>
    <col min="2" max="2" width="18.25" customWidth="1"/>
    <col min="3" max="3" width="12.25" customWidth="1"/>
    <col min="4" max="5" width="14.75" customWidth="1"/>
  </cols>
  <sheetData>
    <row r="1" spans="1:5" x14ac:dyDescent="0.4">
      <c r="A1" t="s">
        <v>9</v>
      </c>
      <c r="B1" t="s">
        <v>8</v>
      </c>
      <c r="C1" t="s">
        <v>2</v>
      </c>
      <c r="D1" t="s">
        <v>11</v>
      </c>
      <c r="E1" t="s">
        <v>10</v>
      </c>
    </row>
    <row r="2" spans="1:5" x14ac:dyDescent="0.4">
      <c r="A2" t="s">
        <v>16</v>
      </c>
      <c r="B2" s="9" t="s">
        <v>351</v>
      </c>
      <c r="C2" s="10">
        <v>1</v>
      </c>
      <c r="D2" t="s">
        <v>646</v>
      </c>
      <c r="E2" s="11">
        <v>2601101093.02</v>
      </c>
    </row>
    <row r="3" spans="1:5" x14ac:dyDescent="0.4">
      <c r="A3" t="s">
        <v>55</v>
      </c>
      <c r="B3" s="9" t="s">
        <v>339</v>
      </c>
      <c r="C3" s="10">
        <v>0.3</v>
      </c>
    </row>
    <row r="4" spans="1:5" x14ac:dyDescent="0.4">
      <c r="A4" t="s">
        <v>54</v>
      </c>
      <c r="C4" s="10">
        <v>0.2</v>
      </c>
    </row>
    <row r="5" spans="1:5" x14ac:dyDescent="0.4">
      <c r="A5" t="s">
        <v>297</v>
      </c>
      <c r="C5" s="10">
        <v>0.11</v>
      </c>
    </row>
    <row r="6" spans="1:5" x14ac:dyDescent="0.4">
      <c r="A6" t="s">
        <v>26</v>
      </c>
      <c r="C6" s="10">
        <v>0.1</v>
      </c>
    </row>
    <row r="7" spans="1:5" x14ac:dyDescent="0.4">
      <c r="A7" t="s">
        <v>32</v>
      </c>
    </row>
    <row r="8" spans="1:5" x14ac:dyDescent="0.4">
      <c r="A8" t="s">
        <v>85</v>
      </c>
    </row>
    <row r="9" spans="1:5" x14ac:dyDescent="0.4">
      <c r="A9" t="s">
        <v>67</v>
      </c>
    </row>
    <row r="10" spans="1:5" x14ac:dyDescent="0.4">
      <c r="A10" t="s">
        <v>60</v>
      </c>
    </row>
    <row r="11" spans="1:5" x14ac:dyDescent="0.4">
      <c r="A11" t="s">
        <v>38</v>
      </c>
    </row>
    <row r="12" spans="1:5" x14ac:dyDescent="0.4">
      <c r="A12" t="s">
        <v>51</v>
      </c>
    </row>
    <row r="13" spans="1:5" x14ac:dyDescent="0.4">
      <c r="A13" t="s">
        <v>36</v>
      </c>
    </row>
    <row r="14" spans="1:5" x14ac:dyDescent="0.4">
      <c r="A14" t="s">
        <v>44</v>
      </c>
    </row>
    <row r="15" spans="1:5" x14ac:dyDescent="0.4">
      <c r="A15" t="s">
        <v>33</v>
      </c>
    </row>
    <row r="16" spans="1:5" x14ac:dyDescent="0.4">
      <c r="A16" t="s">
        <v>49</v>
      </c>
    </row>
    <row r="17" spans="1:1" x14ac:dyDescent="0.4">
      <c r="A17" t="s">
        <v>27</v>
      </c>
    </row>
    <row r="18" spans="1:1" x14ac:dyDescent="0.4">
      <c r="A18" t="s">
        <v>337</v>
      </c>
    </row>
    <row r="19" spans="1:1" x14ac:dyDescent="0.4">
      <c r="A19" t="s">
        <v>86</v>
      </c>
    </row>
    <row r="20" spans="1:1" x14ac:dyDescent="0.4">
      <c r="A20" t="s">
        <v>327</v>
      </c>
    </row>
    <row r="21" spans="1:1" x14ac:dyDescent="0.4">
      <c r="A21" t="s">
        <v>328</v>
      </c>
    </row>
    <row r="22" spans="1:1" x14ac:dyDescent="0.4">
      <c r="A22" t="s">
        <v>17</v>
      </c>
    </row>
    <row r="23" spans="1:1" x14ac:dyDescent="0.4">
      <c r="A23" t="s">
        <v>87</v>
      </c>
    </row>
    <row r="24" spans="1:1" x14ac:dyDescent="0.4">
      <c r="A24" t="s">
        <v>31</v>
      </c>
    </row>
    <row r="25" spans="1:1" x14ac:dyDescent="0.4">
      <c r="A25" t="s">
        <v>23</v>
      </c>
    </row>
    <row r="26" spans="1:1" x14ac:dyDescent="0.4">
      <c r="A26" t="s">
        <v>345</v>
      </c>
    </row>
    <row r="27" spans="1:1" x14ac:dyDescent="0.4">
      <c r="A27" t="s">
        <v>329</v>
      </c>
    </row>
    <row r="28" spans="1:1" x14ac:dyDescent="0.4">
      <c r="A28" t="s">
        <v>82</v>
      </c>
    </row>
    <row r="29" spans="1:1" x14ac:dyDescent="0.4">
      <c r="A29" t="s">
        <v>53</v>
      </c>
    </row>
    <row r="30" spans="1:1" x14ac:dyDescent="0.4">
      <c r="A30" t="s">
        <v>330</v>
      </c>
    </row>
    <row r="31" spans="1:1" x14ac:dyDescent="0.4">
      <c r="A31" t="s">
        <v>338</v>
      </c>
    </row>
    <row r="32" spans="1:1" x14ac:dyDescent="0.4">
      <c r="A32" t="s">
        <v>65</v>
      </c>
    </row>
    <row r="33" spans="1:1" x14ac:dyDescent="0.4">
      <c r="A33" t="s">
        <v>312</v>
      </c>
    </row>
    <row r="34" spans="1:1" x14ac:dyDescent="0.4">
      <c r="A34" t="s">
        <v>12</v>
      </c>
    </row>
    <row r="35" spans="1:1" x14ac:dyDescent="0.4">
      <c r="A35" t="s">
        <v>57</v>
      </c>
    </row>
    <row r="36" spans="1:1" x14ac:dyDescent="0.4">
      <c r="A36" t="s">
        <v>18</v>
      </c>
    </row>
    <row r="37" spans="1:1" x14ac:dyDescent="0.4">
      <c r="A37" t="s">
        <v>341</v>
      </c>
    </row>
    <row r="38" spans="1:1" x14ac:dyDescent="0.4">
      <c r="A38" t="s">
        <v>58</v>
      </c>
    </row>
    <row r="39" spans="1:1" x14ac:dyDescent="0.4">
      <c r="A39" t="s">
        <v>75</v>
      </c>
    </row>
    <row r="40" spans="1:1" x14ac:dyDescent="0.4">
      <c r="A40" t="s">
        <v>45</v>
      </c>
    </row>
    <row r="41" spans="1:1" x14ac:dyDescent="0.4">
      <c r="A41" t="s">
        <v>331</v>
      </c>
    </row>
    <row r="42" spans="1:1" x14ac:dyDescent="0.4">
      <c r="A42" t="s">
        <v>30</v>
      </c>
    </row>
    <row r="43" spans="1:1" x14ac:dyDescent="0.4">
      <c r="A43" t="s">
        <v>28</v>
      </c>
    </row>
    <row r="44" spans="1:1" x14ac:dyDescent="0.4">
      <c r="A44" t="s">
        <v>98</v>
      </c>
    </row>
    <row r="45" spans="1:1" x14ac:dyDescent="0.4">
      <c r="A45" t="s">
        <v>80</v>
      </c>
    </row>
    <row r="46" spans="1:1" x14ac:dyDescent="0.4">
      <c r="A46" t="s">
        <v>40</v>
      </c>
    </row>
    <row r="47" spans="1:1" x14ac:dyDescent="0.4">
      <c r="A47" t="s">
        <v>21</v>
      </c>
    </row>
    <row r="48" spans="1:1" x14ac:dyDescent="0.4">
      <c r="A48" t="s">
        <v>20</v>
      </c>
    </row>
    <row r="49" spans="1:1" x14ac:dyDescent="0.4">
      <c r="A49" t="s">
        <v>22</v>
      </c>
    </row>
    <row r="50" spans="1:1" x14ac:dyDescent="0.4">
      <c r="A50" t="s">
        <v>41</v>
      </c>
    </row>
    <row r="51" spans="1:1" x14ac:dyDescent="0.4">
      <c r="A51" t="s">
        <v>88</v>
      </c>
    </row>
    <row r="52" spans="1:1" x14ac:dyDescent="0.4">
      <c r="A52" t="s">
        <v>62</v>
      </c>
    </row>
    <row r="53" spans="1:1" x14ac:dyDescent="0.4">
      <c r="A53" t="s">
        <v>298</v>
      </c>
    </row>
    <row r="54" spans="1:1" x14ac:dyDescent="0.4">
      <c r="A54" t="s">
        <v>299</v>
      </c>
    </row>
    <row r="55" spans="1:1" x14ac:dyDescent="0.4">
      <c r="A55" t="s">
        <v>300</v>
      </c>
    </row>
    <row r="56" spans="1:1" x14ac:dyDescent="0.4">
      <c r="A56" t="s">
        <v>301</v>
      </c>
    </row>
    <row r="57" spans="1:1" x14ac:dyDescent="0.4">
      <c r="A57" t="s">
        <v>302</v>
      </c>
    </row>
    <row r="58" spans="1:1" x14ac:dyDescent="0.4">
      <c r="A58" t="s">
        <v>352</v>
      </c>
    </row>
    <row r="59" spans="1:1" x14ac:dyDescent="0.4">
      <c r="A59" t="s">
        <v>59</v>
      </c>
    </row>
    <row r="60" spans="1:1" x14ac:dyDescent="0.4">
      <c r="A60" t="s">
        <v>303</v>
      </c>
    </row>
    <row r="61" spans="1:1" x14ac:dyDescent="0.4">
      <c r="A61" t="s">
        <v>632</v>
      </c>
    </row>
    <row r="62" spans="1:1" x14ac:dyDescent="0.4">
      <c r="A62" t="s">
        <v>0</v>
      </c>
    </row>
    <row r="63" spans="1:1" x14ac:dyDescent="0.4">
      <c r="A63" t="s">
        <v>89</v>
      </c>
    </row>
    <row r="64" spans="1:1" x14ac:dyDescent="0.4">
      <c r="A64" t="s">
        <v>304</v>
      </c>
    </row>
    <row r="65" spans="1:1" x14ac:dyDescent="0.4">
      <c r="A65" t="s">
        <v>1</v>
      </c>
    </row>
    <row r="66" spans="1:1" x14ac:dyDescent="0.4">
      <c r="A66" t="s">
        <v>83</v>
      </c>
    </row>
    <row r="67" spans="1:1" x14ac:dyDescent="0.4">
      <c r="A67" t="s">
        <v>13</v>
      </c>
    </row>
    <row r="68" spans="1:1" x14ac:dyDescent="0.4">
      <c r="A68" t="s">
        <v>46</v>
      </c>
    </row>
    <row r="69" spans="1:1" x14ac:dyDescent="0.4">
      <c r="A69" t="s">
        <v>47</v>
      </c>
    </row>
    <row r="70" spans="1:1" x14ac:dyDescent="0.4">
      <c r="A70" t="s">
        <v>48</v>
      </c>
    </row>
    <row r="71" spans="1:1" x14ac:dyDescent="0.4">
      <c r="A71" t="s">
        <v>81</v>
      </c>
    </row>
    <row r="72" spans="1:1" x14ac:dyDescent="0.4">
      <c r="A72" t="s">
        <v>347</v>
      </c>
    </row>
    <row r="73" spans="1:1" x14ac:dyDescent="0.4">
      <c r="A73" t="s">
        <v>84</v>
      </c>
    </row>
    <row r="74" spans="1:1" x14ac:dyDescent="0.4">
      <c r="A74" t="s">
        <v>344</v>
      </c>
    </row>
    <row r="75" spans="1:1" x14ac:dyDescent="0.4">
      <c r="A75" t="s">
        <v>346</v>
      </c>
    </row>
    <row r="76" spans="1:1" x14ac:dyDescent="0.4">
      <c r="A76" t="s">
        <v>15</v>
      </c>
    </row>
    <row r="77" spans="1:1" x14ac:dyDescent="0.4">
      <c r="A77" t="s">
        <v>90</v>
      </c>
    </row>
    <row r="78" spans="1:1" x14ac:dyDescent="0.4">
      <c r="A78" t="s">
        <v>43</v>
      </c>
    </row>
    <row r="79" spans="1:1" x14ac:dyDescent="0.4">
      <c r="A79" t="s">
        <v>39</v>
      </c>
    </row>
    <row r="80" spans="1:1" x14ac:dyDescent="0.4">
      <c r="A80" t="s">
        <v>64</v>
      </c>
    </row>
    <row r="81" spans="1:1" x14ac:dyDescent="0.4">
      <c r="A81" t="s">
        <v>56</v>
      </c>
    </row>
    <row r="82" spans="1:1" x14ac:dyDescent="0.4">
      <c r="A82" t="s">
        <v>42</v>
      </c>
    </row>
    <row r="83" spans="1:1" x14ac:dyDescent="0.4">
      <c r="A83" t="s">
        <v>19</v>
      </c>
    </row>
    <row r="84" spans="1:1" x14ac:dyDescent="0.4">
      <c r="A84" t="s">
        <v>63</v>
      </c>
    </row>
    <row r="85" spans="1:1" x14ac:dyDescent="0.4">
      <c r="A85" t="s">
        <v>305</v>
      </c>
    </row>
    <row r="86" spans="1:1" x14ac:dyDescent="0.4">
      <c r="A86" t="s">
        <v>348</v>
      </c>
    </row>
    <row r="87" spans="1:1" x14ac:dyDescent="0.4">
      <c r="A87" t="s">
        <v>50</v>
      </c>
    </row>
    <row r="88" spans="1:1" x14ac:dyDescent="0.4">
      <c r="A88" t="s">
        <v>96</v>
      </c>
    </row>
    <row r="89" spans="1:1" x14ac:dyDescent="0.4">
      <c r="A89" t="s">
        <v>66</v>
      </c>
    </row>
    <row r="90" spans="1:1" x14ac:dyDescent="0.4">
      <c r="A90" t="s">
        <v>37</v>
      </c>
    </row>
    <row r="91" spans="1:1" x14ac:dyDescent="0.4">
      <c r="A91" t="s">
        <v>306</v>
      </c>
    </row>
    <row r="92" spans="1:1" x14ac:dyDescent="0.4">
      <c r="A92" t="s">
        <v>14</v>
      </c>
    </row>
    <row r="93" spans="1:1" x14ac:dyDescent="0.4">
      <c r="A93" s="27" t="s">
        <v>34</v>
      </c>
    </row>
    <row r="94" spans="1:1" x14ac:dyDescent="0.4">
      <c r="A94" s="27" t="s">
        <v>25</v>
      </c>
    </row>
    <row r="95" spans="1:1" x14ac:dyDescent="0.4">
      <c r="A95" s="27" t="s">
        <v>342</v>
      </c>
    </row>
    <row r="96" spans="1:1" x14ac:dyDescent="0.4">
      <c r="A96" s="27" t="s">
        <v>61</v>
      </c>
    </row>
    <row r="97" spans="1:1" x14ac:dyDescent="0.4">
      <c r="A97" s="27" t="s">
        <v>35</v>
      </c>
    </row>
    <row r="98" spans="1:1" x14ac:dyDescent="0.4">
      <c r="A98" s="27" t="s">
        <v>24</v>
      </c>
    </row>
    <row r="99" spans="1:1" x14ac:dyDescent="0.4">
      <c r="A99" s="27" t="s">
        <v>353</v>
      </c>
    </row>
    <row r="100" spans="1:1" x14ac:dyDescent="0.4">
      <c r="A100" s="27" t="s">
        <v>52</v>
      </c>
    </row>
    <row r="101" spans="1:1" x14ac:dyDescent="0.4">
      <c r="A101" s="27" t="s">
        <v>76</v>
      </c>
    </row>
    <row r="102" spans="1:1" x14ac:dyDescent="0.4">
      <c r="A102" s="27" t="s">
        <v>29</v>
      </c>
    </row>
  </sheetData>
  <phoneticPr fontId="3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68"/>
  <sheetViews>
    <sheetView workbookViewId="0">
      <selection activeCell="C8" sqref="C8"/>
    </sheetView>
  </sheetViews>
  <sheetFormatPr defaultRowHeight="18.75" x14ac:dyDescent="0.4"/>
  <cols>
    <col min="1" max="1" width="21.25" bestFit="1" customWidth="1"/>
    <col min="6" max="6" width="13" bestFit="1" customWidth="1"/>
    <col min="9" max="9" width="28.125" bestFit="1" customWidth="1"/>
  </cols>
  <sheetData>
    <row r="1" spans="1:13" x14ac:dyDescent="0.4">
      <c r="A1" s="77" t="s">
        <v>157</v>
      </c>
      <c r="B1" s="28" t="s">
        <v>158</v>
      </c>
      <c r="C1" s="29">
        <v>0.01</v>
      </c>
      <c r="F1" s="57" t="s">
        <v>210</v>
      </c>
      <c r="G1" s="57">
        <v>4</v>
      </c>
      <c r="I1" s="57" t="s">
        <v>151</v>
      </c>
      <c r="J1" s="57">
        <v>3</v>
      </c>
      <c r="L1" s="57" t="s">
        <v>269</v>
      </c>
      <c r="M1" s="58">
        <v>7.0000000000000001E-3</v>
      </c>
    </row>
    <row r="2" spans="1:13" x14ac:dyDescent="0.4">
      <c r="A2" s="77"/>
      <c r="B2" s="28" t="s">
        <v>159</v>
      </c>
      <c r="C2" s="29">
        <v>0.05</v>
      </c>
      <c r="F2" s="57" t="s">
        <v>211</v>
      </c>
      <c r="G2" s="57">
        <v>4</v>
      </c>
      <c r="I2" s="57" t="s">
        <v>332</v>
      </c>
      <c r="J2" s="57">
        <v>3</v>
      </c>
      <c r="L2" s="57" t="s">
        <v>270</v>
      </c>
      <c r="M2" s="58">
        <v>7.0000000000000001E-3</v>
      </c>
    </row>
    <row r="3" spans="1:13" x14ac:dyDescent="0.4">
      <c r="A3" s="77"/>
      <c r="B3" s="28" t="s">
        <v>160</v>
      </c>
      <c r="C3" s="30">
        <v>7.4999999999999997E-2</v>
      </c>
      <c r="F3" s="57" t="s">
        <v>212</v>
      </c>
      <c r="G3" s="57">
        <v>4</v>
      </c>
      <c r="I3" s="57" t="s">
        <v>223</v>
      </c>
      <c r="J3" s="57">
        <v>2</v>
      </c>
      <c r="L3" s="57" t="s">
        <v>271</v>
      </c>
      <c r="M3" s="58">
        <v>7.0000000000000001E-3</v>
      </c>
    </row>
    <row r="4" spans="1:13" x14ac:dyDescent="0.4">
      <c r="A4" s="77" t="s">
        <v>161</v>
      </c>
      <c r="B4" s="28" t="s">
        <v>162</v>
      </c>
      <c r="C4" s="29">
        <v>0</v>
      </c>
      <c r="F4" s="57" t="s">
        <v>213</v>
      </c>
      <c r="G4" s="57">
        <v>4</v>
      </c>
      <c r="I4" s="57" t="s">
        <v>155</v>
      </c>
      <c r="J4" s="57">
        <v>2</v>
      </c>
      <c r="L4" s="57" t="s">
        <v>272</v>
      </c>
      <c r="M4" s="58">
        <v>7.0000000000000001E-3</v>
      </c>
    </row>
    <row r="5" spans="1:13" x14ac:dyDescent="0.4">
      <c r="A5" s="77"/>
      <c r="B5" s="28" t="s">
        <v>163</v>
      </c>
      <c r="C5" s="30">
        <v>5.0000000000000001E-3</v>
      </c>
      <c r="F5" s="57" t="s">
        <v>288</v>
      </c>
      <c r="G5" s="57">
        <v>4</v>
      </c>
      <c r="I5" s="57" t="s">
        <v>224</v>
      </c>
      <c r="J5" s="57">
        <v>2</v>
      </c>
      <c r="L5" s="57" t="s">
        <v>273</v>
      </c>
      <c r="M5" s="58">
        <v>8.0000000000000002E-3</v>
      </c>
    </row>
    <row r="6" spans="1:13" x14ac:dyDescent="0.4">
      <c r="A6" s="77"/>
      <c r="B6" s="28" t="s">
        <v>164</v>
      </c>
      <c r="C6" s="30">
        <v>1.4999999999999999E-2</v>
      </c>
      <c r="F6" s="57" t="s">
        <v>214</v>
      </c>
      <c r="G6" s="57">
        <v>4</v>
      </c>
      <c r="I6" s="57" t="s">
        <v>225</v>
      </c>
      <c r="J6" s="57">
        <v>2</v>
      </c>
      <c r="L6" s="57" t="s">
        <v>274</v>
      </c>
      <c r="M6" s="59">
        <v>0.01</v>
      </c>
    </row>
    <row r="7" spans="1:13" x14ac:dyDescent="0.4">
      <c r="A7" s="77" t="s">
        <v>165</v>
      </c>
      <c r="B7" s="28" t="s">
        <v>166</v>
      </c>
      <c r="C7" s="29">
        <v>0.06</v>
      </c>
      <c r="F7" s="57" t="s">
        <v>215</v>
      </c>
      <c r="G7" s="57">
        <v>4</v>
      </c>
      <c r="I7" s="57" t="s">
        <v>226</v>
      </c>
      <c r="J7" s="57">
        <v>1</v>
      </c>
      <c r="L7" s="57" t="s">
        <v>275</v>
      </c>
      <c r="M7" s="59">
        <v>0.01</v>
      </c>
    </row>
    <row r="8" spans="1:13" x14ac:dyDescent="0.4">
      <c r="A8" s="77"/>
      <c r="B8" s="28" t="s">
        <v>167</v>
      </c>
      <c r="C8" s="29">
        <v>0.08</v>
      </c>
      <c r="F8" s="57" t="s">
        <v>216</v>
      </c>
      <c r="G8" s="57">
        <v>4</v>
      </c>
      <c r="I8" s="57" t="s">
        <v>227</v>
      </c>
      <c r="J8" s="57">
        <v>6</v>
      </c>
      <c r="L8" s="57" t="s">
        <v>276</v>
      </c>
      <c r="M8" s="59">
        <v>0.02</v>
      </c>
    </row>
    <row r="9" spans="1:13" x14ac:dyDescent="0.4">
      <c r="A9" s="77"/>
      <c r="B9" s="28" t="s">
        <v>168</v>
      </c>
      <c r="C9" s="29">
        <v>0.1</v>
      </c>
      <c r="F9" s="57" t="s">
        <v>217</v>
      </c>
      <c r="G9" s="57">
        <v>4</v>
      </c>
      <c r="I9" s="57" t="s">
        <v>317</v>
      </c>
      <c r="J9" s="57">
        <v>6</v>
      </c>
      <c r="L9" s="57" t="s">
        <v>280</v>
      </c>
      <c r="M9" s="59">
        <v>0.02</v>
      </c>
    </row>
    <row r="10" spans="1:13" x14ac:dyDescent="0.4">
      <c r="A10" s="77" t="s">
        <v>169</v>
      </c>
      <c r="B10" s="28" t="s">
        <v>170</v>
      </c>
      <c r="C10" s="29">
        <v>7.0000000000000007E-2</v>
      </c>
      <c r="F10" s="57" t="s">
        <v>218</v>
      </c>
      <c r="G10" s="57">
        <v>1</v>
      </c>
      <c r="I10" s="57" t="s">
        <v>318</v>
      </c>
      <c r="J10" s="57">
        <v>6</v>
      </c>
      <c r="L10" s="57" t="s">
        <v>277</v>
      </c>
      <c r="M10" s="59">
        <v>0.03</v>
      </c>
    </row>
    <row r="11" spans="1:13" x14ac:dyDescent="0.4">
      <c r="A11" s="77"/>
      <c r="B11" s="28" t="s">
        <v>171</v>
      </c>
      <c r="C11" s="29">
        <v>7.0000000000000007E-2</v>
      </c>
      <c r="F11" s="57" t="s">
        <v>219</v>
      </c>
      <c r="G11" s="57">
        <v>4</v>
      </c>
      <c r="I11" s="57" t="s">
        <v>228</v>
      </c>
      <c r="J11" s="57">
        <v>6</v>
      </c>
      <c r="L11" s="57" t="s">
        <v>278</v>
      </c>
      <c r="M11" s="59">
        <v>0.1</v>
      </c>
    </row>
    <row r="12" spans="1:13" x14ac:dyDescent="0.4">
      <c r="A12" s="77"/>
      <c r="B12" s="28" t="s">
        <v>172</v>
      </c>
      <c r="C12" s="29">
        <v>0.08</v>
      </c>
      <c r="F12" s="57" t="s">
        <v>220</v>
      </c>
      <c r="G12" s="57">
        <v>4</v>
      </c>
      <c r="I12" s="57" t="s">
        <v>229</v>
      </c>
      <c r="J12" s="57">
        <v>6</v>
      </c>
      <c r="L12" s="57" t="s">
        <v>279</v>
      </c>
      <c r="M12" s="59">
        <v>0.1</v>
      </c>
    </row>
    <row r="13" spans="1:13" x14ac:dyDescent="0.4">
      <c r="A13" s="77" t="s">
        <v>173</v>
      </c>
      <c r="B13" s="28" t="s">
        <v>174</v>
      </c>
      <c r="C13" s="29">
        <v>0.1</v>
      </c>
      <c r="F13" s="57" t="s">
        <v>221</v>
      </c>
      <c r="G13" s="57">
        <v>4</v>
      </c>
      <c r="I13" s="57" t="s">
        <v>206</v>
      </c>
      <c r="J13" s="57">
        <v>6</v>
      </c>
      <c r="L13" s="60" t="s">
        <v>284</v>
      </c>
      <c r="M13" s="61">
        <v>0.15</v>
      </c>
    </row>
    <row r="14" spans="1:13" x14ac:dyDescent="0.4">
      <c r="A14" s="77"/>
      <c r="B14" s="28" t="s">
        <v>175</v>
      </c>
      <c r="C14" s="29">
        <v>0.12</v>
      </c>
      <c r="I14" s="57" t="s">
        <v>230</v>
      </c>
      <c r="J14" s="57">
        <v>6</v>
      </c>
      <c r="L14" s="62" t="s">
        <v>286</v>
      </c>
      <c r="M14" s="61">
        <v>0.2</v>
      </c>
    </row>
    <row r="15" spans="1:13" x14ac:dyDescent="0.4">
      <c r="A15" s="77"/>
      <c r="B15" s="28" t="s">
        <v>176</v>
      </c>
      <c r="C15" s="29">
        <v>0.15</v>
      </c>
      <c r="I15" s="57" t="s">
        <v>231</v>
      </c>
      <c r="J15" s="57">
        <v>6</v>
      </c>
      <c r="L15" s="27"/>
    </row>
    <row r="16" spans="1:13" x14ac:dyDescent="0.4">
      <c r="A16" s="74" t="s">
        <v>316</v>
      </c>
      <c r="B16" s="69" t="s">
        <v>313</v>
      </c>
      <c r="C16" s="59">
        <v>0.1</v>
      </c>
      <c r="I16" s="57" t="s">
        <v>232</v>
      </c>
      <c r="J16" s="57">
        <v>6</v>
      </c>
      <c r="L16" s="27"/>
    </row>
    <row r="17" spans="1:10" x14ac:dyDescent="0.4">
      <c r="A17" s="75"/>
      <c r="B17" s="69" t="s">
        <v>314</v>
      </c>
      <c r="C17" s="59">
        <v>0.1</v>
      </c>
      <c r="I17" s="57" t="s">
        <v>233</v>
      </c>
      <c r="J17" s="57">
        <v>4</v>
      </c>
    </row>
    <row r="18" spans="1:10" x14ac:dyDescent="0.4">
      <c r="A18" s="76"/>
      <c r="B18" s="69" t="s">
        <v>315</v>
      </c>
      <c r="C18" s="59">
        <v>0.1</v>
      </c>
      <c r="I18" s="57" t="s">
        <v>204</v>
      </c>
      <c r="J18" s="57">
        <v>4</v>
      </c>
    </row>
    <row r="19" spans="1:10" x14ac:dyDescent="0.4">
      <c r="I19" s="57" t="s">
        <v>319</v>
      </c>
      <c r="J19" s="57">
        <v>4</v>
      </c>
    </row>
    <row r="20" spans="1:10" x14ac:dyDescent="0.4">
      <c r="I20" s="57" t="s">
        <v>320</v>
      </c>
      <c r="J20" s="57">
        <v>4</v>
      </c>
    </row>
    <row r="21" spans="1:10" x14ac:dyDescent="0.4">
      <c r="I21" s="57" t="s">
        <v>361</v>
      </c>
      <c r="J21" s="57">
        <v>4</v>
      </c>
    </row>
    <row r="22" spans="1:10" x14ac:dyDescent="0.4">
      <c r="I22" s="57" t="s">
        <v>321</v>
      </c>
      <c r="J22" s="57">
        <v>4</v>
      </c>
    </row>
    <row r="23" spans="1:10" x14ac:dyDescent="0.4">
      <c r="I23" s="57" t="s">
        <v>205</v>
      </c>
      <c r="J23" s="57">
        <v>4</v>
      </c>
    </row>
    <row r="24" spans="1:10" x14ac:dyDescent="0.4">
      <c r="I24" s="57" t="s">
        <v>322</v>
      </c>
      <c r="J24" s="57">
        <v>4</v>
      </c>
    </row>
    <row r="25" spans="1:10" x14ac:dyDescent="0.4">
      <c r="I25" s="57" t="s">
        <v>234</v>
      </c>
      <c r="J25" s="57">
        <v>4</v>
      </c>
    </row>
    <row r="26" spans="1:10" x14ac:dyDescent="0.4">
      <c r="I26" s="57" t="s">
        <v>235</v>
      </c>
      <c r="J26" s="57">
        <v>4</v>
      </c>
    </row>
    <row r="27" spans="1:10" x14ac:dyDescent="0.4">
      <c r="I27" s="57" t="s">
        <v>343</v>
      </c>
      <c r="J27" s="57">
        <v>4</v>
      </c>
    </row>
    <row r="28" spans="1:10" x14ac:dyDescent="0.4">
      <c r="I28" s="57" t="s">
        <v>335</v>
      </c>
      <c r="J28" s="57">
        <v>4</v>
      </c>
    </row>
    <row r="29" spans="1:10" x14ac:dyDescent="0.4">
      <c r="I29" s="57" t="s">
        <v>237</v>
      </c>
      <c r="J29" s="57">
        <v>1</v>
      </c>
    </row>
    <row r="30" spans="1:10" x14ac:dyDescent="0.4">
      <c r="I30" s="57" t="s">
        <v>323</v>
      </c>
      <c r="J30" s="57">
        <v>1</v>
      </c>
    </row>
    <row r="31" spans="1:10" x14ac:dyDescent="0.4">
      <c r="I31" s="57" t="s">
        <v>238</v>
      </c>
      <c r="J31" s="57">
        <v>1</v>
      </c>
    </row>
    <row r="32" spans="1:10" x14ac:dyDescent="0.4">
      <c r="I32" s="57" t="s">
        <v>239</v>
      </c>
      <c r="J32" s="57">
        <v>3</v>
      </c>
    </row>
    <row r="33" spans="9:10" x14ac:dyDescent="0.4">
      <c r="I33" s="57" t="s">
        <v>240</v>
      </c>
      <c r="J33" s="57">
        <v>3</v>
      </c>
    </row>
    <row r="34" spans="9:10" x14ac:dyDescent="0.4">
      <c r="I34" s="57" t="s">
        <v>241</v>
      </c>
      <c r="J34" s="57">
        <v>3</v>
      </c>
    </row>
    <row r="35" spans="9:10" x14ac:dyDescent="0.4">
      <c r="I35" s="57" t="s">
        <v>242</v>
      </c>
      <c r="J35" s="57">
        <v>3</v>
      </c>
    </row>
    <row r="36" spans="9:10" x14ac:dyDescent="0.4">
      <c r="I36" s="57" t="s">
        <v>243</v>
      </c>
      <c r="J36" s="57">
        <v>3</v>
      </c>
    </row>
    <row r="37" spans="9:10" x14ac:dyDescent="0.4">
      <c r="I37" s="57" t="s">
        <v>100</v>
      </c>
      <c r="J37" s="57">
        <v>3</v>
      </c>
    </row>
    <row r="38" spans="9:10" x14ac:dyDescent="0.4">
      <c r="I38" s="57" t="s">
        <v>244</v>
      </c>
      <c r="J38" s="57">
        <v>3</v>
      </c>
    </row>
    <row r="39" spans="9:10" x14ac:dyDescent="0.4">
      <c r="I39" s="57" t="s">
        <v>153</v>
      </c>
      <c r="J39" s="57">
        <v>3</v>
      </c>
    </row>
    <row r="40" spans="9:10" x14ac:dyDescent="0.4">
      <c r="I40" s="57" t="s">
        <v>154</v>
      </c>
      <c r="J40" s="57">
        <v>3</v>
      </c>
    </row>
    <row r="41" spans="9:10" x14ac:dyDescent="0.4">
      <c r="I41" s="57" t="s">
        <v>245</v>
      </c>
      <c r="J41" s="57">
        <v>3</v>
      </c>
    </row>
    <row r="42" spans="9:10" x14ac:dyDescent="0.4">
      <c r="I42" s="57" t="s">
        <v>246</v>
      </c>
      <c r="J42" s="57">
        <v>3</v>
      </c>
    </row>
    <row r="43" spans="9:10" x14ac:dyDescent="0.4">
      <c r="I43" s="57" t="s">
        <v>247</v>
      </c>
      <c r="J43" s="57">
        <v>2</v>
      </c>
    </row>
    <row r="44" spans="9:10" x14ac:dyDescent="0.4">
      <c r="I44" s="57" t="s">
        <v>99</v>
      </c>
      <c r="J44" s="57">
        <v>1</v>
      </c>
    </row>
    <row r="45" spans="9:10" x14ac:dyDescent="0.4">
      <c r="I45" s="57" t="s">
        <v>248</v>
      </c>
      <c r="J45" s="57">
        <v>1</v>
      </c>
    </row>
    <row r="46" spans="9:10" x14ac:dyDescent="0.4">
      <c r="I46" s="57" t="s">
        <v>209</v>
      </c>
      <c r="J46" s="57">
        <v>1</v>
      </c>
    </row>
    <row r="47" spans="9:10" x14ac:dyDescent="0.4">
      <c r="I47" s="57" t="s">
        <v>249</v>
      </c>
      <c r="J47" s="57">
        <v>1</v>
      </c>
    </row>
    <row r="48" spans="9:10" x14ac:dyDescent="0.4">
      <c r="I48" s="57" t="s">
        <v>250</v>
      </c>
      <c r="J48" s="57">
        <v>1</v>
      </c>
    </row>
    <row r="49" spans="9:10" x14ac:dyDescent="0.4">
      <c r="I49" s="57" t="s">
        <v>324</v>
      </c>
      <c r="J49" s="57">
        <v>2</v>
      </c>
    </row>
    <row r="50" spans="9:10" x14ac:dyDescent="0.4">
      <c r="I50" s="57" t="s">
        <v>251</v>
      </c>
      <c r="J50" s="57">
        <v>2</v>
      </c>
    </row>
    <row r="51" spans="9:10" x14ac:dyDescent="0.4">
      <c r="I51" s="57" t="s">
        <v>207</v>
      </c>
      <c r="J51" s="57">
        <v>2</v>
      </c>
    </row>
    <row r="52" spans="9:10" x14ac:dyDescent="0.4">
      <c r="I52" s="57" t="s">
        <v>252</v>
      </c>
      <c r="J52" s="57">
        <v>2</v>
      </c>
    </row>
    <row r="53" spans="9:10" x14ac:dyDescent="0.4">
      <c r="I53" s="57" t="s">
        <v>208</v>
      </c>
      <c r="J53" s="57">
        <v>2</v>
      </c>
    </row>
    <row r="54" spans="9:10" x14ac:dyDescent="0.4">
      <c r="I54" s="57" t="s">
        <v>253</v>
      </c>
      <c r="J54" s="57">
        <v>2</v>
      </c>
    </row>
    <row r="55" spans="9:10" x14ac:dyDescent="0.4">
      <c r="I55" s="57" t="s">
        <v>254</v>
      </c>
      <c r="J55" s="57">
        <v>2</v>
      </c>
    </row>
    <row r="56" spans="9:10" x14ac:dyDescent="0.4">
      <c r="I56" s="57" t="s">
        <v>255</v>
      </c>
      <c r="J56" s="57">
        <v>2</v>
      </c>
    </row>
    <row r="57" spans="9:10" x14ac:dyDescent="0.4">
      <c r="I57" s="57" t="s">
        <v>256</v>
      </c>
      <c r="J57" s="57">
        <v>2</v>
      </c>
    </row>
    <row r="58" spans="9:10" x14ac:dyDescent="0.4">
      <c r="I58" s="57" t="s">
        <v>257</v>
      </c>
      <c r="J58" s="57">
        <v>2</v>
      </c>
    </row>
    <row r="59" spans="9:10" x14ac:dyDescent="0.4">
      <c r="I59" s="57" t="s">
        <v>258</v>
      </c>
      <c r="J59" s="57">
        <v>1</v>
      </c>
    </row>
    <row r="60" spans="9:10" x14ac:dyDescent="0.4">
      <c r="I60" s="57" t="s">
        <v>259</v>
      </c>
      <c r="J60" s="57">
        <v>3</v>
      </c>
    </row>
    <row r="61" spans="9:10" x14ac:dyDescent="0.4">
      <c r="I61" s="57" t="s">
        <v>325</v>
      </c>
      <c r="J61" s="57">
        <v>3</v>
      </c>
    </row>
    <row r="62" spans="9:10" x14ac:dyDescent="0.4">
      <c r="I62" s="57" t="s">
        <v>326</v>
      </c>
      <c r="J62" s="57">
        <v>3</v>
      </c>
    </row>
    <row r="63" spans="9:10" x14ac:dyDescent="0.4">
      <c r="I63" s="57" t="s">
        <v>260</v>
      </c>
      <c r="J63" s="57">
        <v>6</v>
      </c>
    </row>
    <row r="64" spans="9:10" x14ac:dyDescent="0.4">
      <c r="I64" s="57" t="s">
        <v>261</v>
      </c>
      <c r="J64" s="57">
        <v>5</v>
      </c>
    </row>
    <row r="65" spans="9:10" x14ac:dyDescent="0.4">
      <c r="I65" s="57" t="s">
        <v>262</v>
      </c>
      <c r="J65" s="57">
        <v>5</v>
      </c>
    </row>
    <row r="66" spans="9:10" x14ac:dyDescent="0.4">
      <c r="I66" s="57" t="s">
        <v>263</v>
      </c>
      <c r="J66" s="57">
        <v>5</v>
      </c>
    </row>
    <row r="67" spans="9:10" x14ac:dyDescent="0.4">
      <c r="I67" s="57" t="s">
        <v>264</v>
      </c>
      <c r="J67" s="57">
        <v>5</v>
      </c>
    </row>
    <row r="68" spans="9:10" x14ac:dyDescent="0.4">
      <c r="I68" s="57" t="s">
        <v>236</v>
      </c>
      <c r="J68" s="57">
        <v>5</v>
      </c>
    </row>
  </sheetData>
  <mergeCells count="6">
    <mergeCell ref="A16:A18"/>
    <mergeCell ref="A1:A3"/>
    <mergeCell ref="A4:A6"/>
    <mergeCell ref="A7:A9"/>
    <mergeCell ref="A10:A12"/>
    <mergeCell ref="A13:A15"/>
  </mergeCells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5:F31"/>
  <sheetViews>
    <sheetView workbookViewId="0">
      <selection activeCell="B10" sqref="B10"/>
    </sheetView>
  </sheetViews>
  <sheetFormatPr defaultRowHeight="18.75" x14ac:dyDescent="0.4"/>
  <cols>
    <col min="2" max="2" width="30.375" customWidth="1"/>
    <col min="3" max="3" width="15.125" style="11" bestFit="1" customWidth="1"/>
    <col min="4" max="4" width="10" style="11" customWidth="1"/>
    <col min="5" max="5" width="24.25" style="11" bestFit="1" customWidth="1"/>
    <col min="6" max="6" width="11.375" customWidth="1"/>
  </cols>
  <sheetData>
    <row r="5" spans="2:6" x14ac:dyDescent="0.4">
      <c r="B5" s="66" t="s">
        <v>307</v>
      </c>
      <c r="C5" s="27" t="s">
        <v>309</v>
      </c>
      <c r="D5" s="27" t="s">
        <v>310</v>
      </c>
      <c r="E5" s="27" t="s">
        <v>311</v>
      </c>
      <c r="F5" s="27" t="s">
        <v>336</v>
      </c>
    </row>
    <row r="6" spans="2:6" x14ac:dyDescent="0.4">
      <c r="B6" s="67" t="s">
        <v>367</v>
      </c>
      <c r="C6" s="68">
        <v>0</v>
      </c>
      <c r="D6" s="68">
        <v>0.75599033563907292</v>
      </c>
      <c r="E6" s="68">
        <v>0.20902633032897788</v>
      </c>
      <c r="F6" s="68">
        <v>0</v>
      </c>
    </row>
    <row r="7" spans="2:6" x14ac:dyDescent="0.4">
      <c r="B7" s="67" t="s">
        <v>634</v>
      </c>
      <c r="C7" s="68">
        <v>0</v>
      </c>
      <c r="D7" s="68">
        <v>9.896162415314786E-3</v>
      </c>
      <c r="E7" s="68">
        <v>2.736223489238335E-3</v>
      </c>
      <c r="F7" s="68">
        <v>0</v>
      </c>
    </row>
    <row r="8" spans="2:6" x14ac:dyDescent="0.4">
      <c r="B8" s="67" t="s">
        <v>74</v>
      </c>
      <c r="C8" s="68">
        <v>0</v>
      </c>
      <c r="D8" s="68">
        <v>8.0739106917114542E-2</v>
      </c>
      <c r="E8" s="68">
        <v>0.63563695663196085</v>
      </c>
      <c r="F8" s="68">
        <v>0</v>
      </c>
    </row>
    <row r="9" spans="2:6" x14ac:dyDescent="0.4">
      <c r="B9" s="67" t="s">
        <v>99</v>
      </c>
      <c r="C9" s="68">
        <v>0.15031048787528897</v>
      </c>
      <c r="D9" s="68">
        <v>2.258864645388351E-3</v>
      </c>
      <c r="E9" s="68">
        <v>9.45523038073302E-3</v>
      </c>
      <c r="F9" s="68">
        <v>3.3466724197966917E-2</v>
      </c>
    </row>
    <row r="10" spans="2:6" x14ac:dyDescent="0.4">
      <c r="B10" s="67" t="s">
        <v>380</v>
      </c>
      <c r="C10" s="68">
        <v>0</v>
      </c>
      <c r="D10" s="68">
        <v>5.5702051153893622E-2</v>
      </c>
      <c r="E10" s="68">
        <v>0.13016158986628806</v>
      </c>
      <c r="F10" s="68">
        <v>0</v>
      </c>
    </row>
    <row r="11" spans="2:6" x14ac:dyDescent="0.4">
      <c r="B11" s="67" t="s">
        <v>350</v>
      </c>
      <c r="C11" s="68">
        <v>0</v>
      </c>
      <c r="D11" s="68">
        <v>2.4878602746040281E-2</v>
      </c>
      <c r="E11" s="68">
        <v>2.2012061437568283E-3</v>
      </c>
      <c r="F11" s="68">
        <v>0</v>
      </c>
    </row>
    <row r="12" spans="2:6" x14ac:dyDescent="0.4">
      <c r="B12" s="67" t="s">
        <v>349</v>
      </c>
      <c r="C12" s="68">
        <v>0</v>
      </c>
      <c r="D12" s="68">
        <v>0</v>
      </c>
      <c r="E12" s="68">
        <v>-1.7577498027243108E-2</v>
      </c>
      <c r="F12" s="68">
        <v>0</v>
      </c>
    </row>
    <row r="13" spans="2:6" x14ac:dyDescent="0.4">
      <c r="B13" s="67" t="s">
        <v>155</v>
      </c>
      <c r="C13" s="68">
        <v>0</v>
      </c>
      <c r="D13" s="68">
        <v>0</v>
      </c>
      <c r="E13" s="68">
        <v>-5.0028718663541508E-5</v>
      </c>
      <c r="F13" s="68">
        <v>1.3789599832651248E-3</v>
      </c>
    </row>
    <row r="14" spans="2:6" x14ac:dyDescent="0.4">
      <c r="B14" s="67" t="s">
        <v>388</v>
      </c>
      <c r="C14" s="68">
        <v>0</v>
      </c>
      <c r="D14" s="68">
        <v>3.7452988482603242E-2</v>
      </c>
      <c r="E14" s="68">
        <v>1.0355503732404341E-2</v>
      </c>
      <c r="F14" s="68">
        <v>0</v>
      </c>
    </row>
    <row r="15" spans="2:6" x14ac:dyDescent="0.4">
      <c r="B15" s="67" t="s">
        <v>227</v>
      </c>
      <c r="C15" s="68">
        <v>0.45227478449645581</v>
      </c>
      <c r="D15" s="68">
        <v>1.3151236205969323E-2</v>
      </c>
      <c r="E15" s="68">
        <v>4.4156178680920862E-3</v>
      </c>
      <c r="F15" s="68">
        <v>0.51477722377748114</v>
      </c>
    </row>
    <row r="16" spans="2:6" x14ac:dyDescent="0.4">
      <c r="B16" s="67" t="s">
        <v>683</v>
      </c>
      <c r="C16" s="68">
        <v>0.39565694101915844</v>
      </c>
      <c r="D16" s="68">
        <v>1.4358272605790869E-2</v>
      </c>
      <c r="E16" s="68">
        <v>1.3699525346461528E-2</v>
      </c>
      <c r="F16" s="68">
        <v>0.45033503668106678</v>
      </c>
    </row>
    <row r="17" spans="2:6" x14ac:dyDescent="0.4">
      <c r="B17" s="67" t="s">
        <v>154</v>
      </c>
      <c r="C17" s="68">
        <v>1.757786609096789E-3</v>
      </c>
      <c r="D17" s="68">
        <v>5.5723791888120221E-3</v>
      </c>
      <c r="E17" s="68">
        <v>-6.0657042006284992E-5</v>
      </c>
      <c r="F17" s="68">
        <v>4.2055360220010772E-5</v>
      </c>
    </row>
    <row r="18" spans="2:6" x14ac:dyDescent="0.4">
      <c r="B18" s="67" t="s">
        <v>308</v>
      </c>
      <c r="C18" s="68">
        <v>1</v>
      </c>
      <c r="D18" s="68">
        <v>1</v>
      </c>
      <c r="E18" s="68">
        <v>1</v>
      </c>
      <c r="F18" s="68">
        <v>1</v>
      </c>
    </row>
    <row r="19" spans="2:6" x14ac:dyDescent="0.4">
      <c r="C19"/>
      <c r="D19"/>
      <c r="E19"/>
    </row>
    <row r="20" spans="2:6" x14ac:dyDescent="0.4">
      <c r="C20"/>
      <c r="D20"/>
      <c r="E20"/>
    </row>
    <row r="21" spans="2:6" x14ac:dyDescent="0.4">
      <c r="C21"/>
      <c r="E21"/>
    </row>
    <row r="22" spans="2:6" x14ac:dyDescent="0.4">
      <c r="C22"/>
      <c r="E22"/>
    </row>
    <row r="23" spans="2:6" x14ac:dyDescent="0.4">
      <c r="C23"/>
      <c r="E23"/>
    </row>
    <row r="24" spans="2:6" x14ac:dyDescent="0.4">
      <c r="C24"/>
      <c r="E24"/>
    </row>
    <row r="25" spans="2:6" x14ac:dyDescent="0.4">
      <c r="C25"/>
      <c r="E25"/>
    </row>
    <row r="26" spans="2:6" x14ac:dyDescent="0.4">
      <c r="C26"/>
      <c r="E26"/>
    </row>
    <row r="27" spans="2:6" x14ac:dyDescent="0.4">
      <c r="C27"/>
      <c r="E27"/>
    </row>
    <row r="28" spans="2:6" x14ac:dyDescent="0.4">
      <c r="C28"/>
      <c r="E28"/>
    </row>
    <row r="29" spans="2:6" x14ac:dyDescent="0.4">
      <c r="C29"/>
      <c r="E29"/>
    </row>
    <row r="30" spans="2:6" x14ac:dyDescent="0.4">
      <c r="C30"/>
      <c r="E30"/>
    </row>
    <row r="31" spans="2:6" x14ac:dyDescent="0.4">
      <c r="C31"/>
      <c r="E31"/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41"/>
  <sheetViews>
    <sheetView topLeftCell="A16" workbookViewId="0">
      <selection activeCell="C52" sqref="C52"/>
    </sheetView>
  </sheetViews>
  <sheetFormatPr defaultRowHeight="18.75" x14ac:dyDescent="0.4"/>
  <cols>
    <col min="1" max="1" width="49.5" bestFit="1" customWidth="1"/>
    <col min="2" max="2" width="27" bestFit="1" customWidth="1"/>
    <col min="3" max="3" width="12.75" bestFit="1" customWidth="1"/>
  </cols>
  <sheetData>
    <row r="1" spans="1:3" x14ac:dyDescent="0.4">
      <c r="A1" s="66" t="s">
        <v>77</v>
      </c>
      <c r="B1" s="67">
        <v>50</v>
      </c>
    </row>
    <row r="3" spans="1:3" x14ac:dyDescent="0.4">
      <c r="A3" s="66" t="s">
        <v>307</v>
      </c>
      <c r="B3" t="s">
        <v>366</v>
      </c>
    </row>
    <row r="4" spans="1:3" x14ac:dyDescent="0.4">
      <c r="A4" s="67" t="s">
        <v>395</v>
      </c>
      <c r="B4" s="71">
        <v>0</v>
      </c>
      <c r="C4" s="11">
        <f>IF(B4&gt;0,B4,0)</f>
        <v>0</v>
      </c>
    </row>
    <row r="5" spans="1:3" x14ac:dyDescent="0.4">
      <c r="A5" s="67" t="s">
        <v>396</v>
      </c>
      <c r="B5" s="71">
        <v>0</v>
      </c>
      <c r="C5" s="11">
        <f t="shared" ref="C5:C51" si="0">IF(B5&gt;0,B5,0)</f>
        <v>0</v>
      </c>
    </row>
    <row r="6" spans="1:3" x14ac:dyDescent="0.4">
      <c r="A6" s="67" t="s">
        <v>397</v>
      </c>
      <c r="B6" s="71">
        <v>0</v>
      </c>
      <c r="C6" s="11">
        <f t="shared" si="0"/>
        <v>0</v>
      </c>
    </row>
    <row r="7" spans="1:3" x14ac:dyDescent="0.4">
      <c r="A7" s="67" t="s">
        <v>398</v>
      </c>
      <c r="B7" s="71">
        <v>0</v>
      </c>
      <c r="C7" s="11">
        <f t="shared" si="0"/>
        <v>0</v>
      </c>
    </row>
    <row r="8" spans="1:3" x14ac:dyDescent="0.4">
      <c r="A8" s="67" t="s">
        <v>399</v>
      </c>
      <c r="B8" s="71">
        <v>0</v>
      </c>
      <c r="C8" s="11">
        <f t="shared" si="0"/>
        <v>0</v>
      </c>
    </row>
    <row r="9" spans="1:3" x14ac:dyDescent="0.4">
      <c r="A9" s="67" t="s">
        <v>400</v>
      </c>
      <c r="B9" s="71">
        <v>0</v>
      </c>
      <c r="C9" s="11">
        <f t="shared" si="0"/>
        <v>0</v>
      </c>
    </row>
    <row r="10" spans="1:3" x14ac:dyDescent="0.4">
      <c r="A10" s="67" t="s">
        <v>401</v>
      </c>
      <c r="B10" s="71">
        <v>0</v>
      </c>
      <c r="C10" s="11">
        <f t="shared" si="0"/>
        <v>0</v>
      </c>
    </row>
    <row r="11" spans="1:3" x14ac:dyDescent="0.4">
      <c r="A11" s="67" t="s">
        <v>402</v>
      </c>
      <c r="B11" s="71">
        <v>0</v>
      </c>
      <c r="C11" s="11">
        <f t="shared" si="0"/>
        <v>0</v>
      </c>
    </row>
    <row r="12" spans="1:3" x14ac:dyDescent="0.4">
      <c r="A12" s="67" t="s">
        <v>403</v>
      </c>
      <c r="B12" s="71">
        <v>0</v>
      </c>
      <c r="C12" s="11">
        <f t="shared" si="0"/>
        <v>0</v>
      </c>
    </row>
    <row r="13" spans="1:3" x14ac:dyDescent="0.4">
      <c r="A13" s="67" t="s">
        <v>404</v>
      </c>
      <c r="B13" s="71">
        <v>0</v>
      </c>
      <c r="C13" s="11">
        <f t="shared" si="0"/>
        <v>0</v>
      </c>
    </row>
    <row r="14" spans="1:3" x14ac:dyDescent="0.4">
      <c r="A14" s="67" t="s">
        <v>405</v>
      </c>
      <c r="B14" s="71">
        <v>0</v>
      </c>
      <c r="C14" s="11">
        <f t="shared" si="0"/>
        <v>0</v>
      </c>
    </row>
    <row r="15" spans="1:3" x14ac:dyDescent="0.4">
      <c r="A15" s="67" t="s">
        <v>406</v>
      </c>
      <c r="B15" s="71">
        <v>0</v>
      </c>
      <c r="C15" s="11">
        <f t="shared" si="0"/>
        <v>0</v>
      </c>
    </row>
    <row r="16" spans="1:3" x14ac:dyDescent="0.4">
      <c r="A16" s="67" t="s">
        <v>407</v>
      </c>
      <c r="B16" s="71">
        <v>0</v>
      </c>
      <c r="C16" s="11">
        <f t="shared" si="0"/>
        <v>0</v>
      </c>
    </row>
    <row r="17" spans="1:3" x14ac:dyDescent="0.4">
      <c r="A17" s="67" t="s">
        <v>408</v>
      </c>
      <c r="B17" s="71">
        <v>0</v>
      </c>
      <c r="C17" s="11">
        <f t="shared" si="0"/>
        <v>0</v>
      </c>
    </row>
    <row r="18" spans="1:3" x14ac:dyDescent="0.4">
      <c r="A18" s="67" t="s">
        <v>409</v>
      </c>
      <c r="B18" s="71">
        <v>0</v>
      </c>
      <c r="C18" s="11">
        <f t="shared" si="0"/>
        <v>0</v>
      </c>
    </row>
    <row r="19" spans="1:3" x14ac:dyDescent="0.4">
      <c r="A19" s="67" t="s">
        <v>410</v>
      </c>
      <c r="B19" s="71">
        <v>0</v>
      </c>
      <c r="C19" s="11">
        <f t="shared" si="0"/>
        <v>0</v>
      </c>
    </row>
    <row r="20" spans="1:3" x14ac:dyDescent="0.4">
      <c r="A20" s="67" t="s">
        <v>411</v>
      </c>
      <c r="B20" s="71">
        <v>0</v>
      </c>
      <c r="C20" s="11">
        <f t="shared" si="0"/>
        <v>0</v>
      </c>
    </row>
    <row r="21" spans="1:3" x14ac:dyDescent="0.4">
      <c r="A21" s="67" t="s">
        <v>412</v>
      </c>
      <c r="B21" s="71">
        <v>0</v>
      </c>
      <c r="C21" s="11">
        <f t="shared" si="0"/>
        <v>0</v>
      </c>
    </row>
    <row r="22" spans="1:3" x14ac:dyDescent="0.4">
      <c r="A22" s="67" t="s">
        <v>413</v>
      </c>
      <c r="B22" s="71">
        <v>0</v>
      </c>
      <c r="C22" s="11">
        <f t="shared" si="0"/>
        <v>0</v>
      </c>
    </row>
    <row r="23" spans="1:3" x14ac:dyDescent="0.4">
      <c r="A23" s="67" t="s">
        <v>414</v>
      </c>
      <c r="B23" s="71">
        <v>0</v>
      </c>
      <c r="C23" s="11">
        <f t="shared" si="0"/>
        <v>0</v>
      </c>
    </row>
    <row r="24" spans="1:3" x14ac:dyDescent="0.4">
      <c r="A24" s="67" t="s">
        <v>415</v>
      </c>
      <c r="B24" s="71">
        <v>0</v>
      </c>
      <c r="C24" s="11">
        <f t="shared" si="0"/>
        <v>0</v>
      </c>
    </row>
    <row r="25" spans="1:3" x14ac:dyDescent="0.4">
      <c r="A25" s="67" t="s">
        <v>416</v>
      </c>
      <c r="B25" s="71">
        <v>0</v>
      </c>
      <c r="C25" s="11">
        <f t="shared" si="0"/>
        <v>0</v>
      </c>
    </row>
    <row r="26" spans="1:3" x14ac:dyDescent="0.4">
      <c r="A26" s="67" t="s">
        <v>417</v>
      </c>
      <c r="B26" s="71">
        <v>0</v>
      </c>
      <c r="C26" s="11">
        <f t="shared" si="0"/>
        <v>0</v>
      </c>
    </row>
    <row r="27" spans="1:3" x14ac:dyDescent="0.4">
      <c r="A27" s="67" t="s">
        <v>418</v>
      </c>
      <c r="B27" s="71">
        <v>0</v>
      </c>
      <c r="C27" s="11">
        <f t="shared" si="0"/>
        <v>0</v>
      </c>
    </row>
    <row r="28" spans="1:3" x14ac:dyDescent="0.4">
      <c r="A28" s="67" t="s">
        <v>419</v>
      </c>
      <c r="B28" s="71">
        <v>0</v>
      </c>
      <c r="C28" s="11">
        <f t="shared" si="0"/>
        <v>0</v>
      </c>
    </row>
    <row r="29" spans="1:3" x14ac:dyDescent="0.4">
      <c r="A29" s="67" t="s">
        <v>420</v>
      </c>
      <c r="B29" s="71">
        <v>0</v>
      </c>
      <c r="C29" s="11">
        <f t="shared" si="0"/>
        <v>0</v>
      </c>
    </row>
    <row r="30" spans="1:3" x14ac:dyDescent="0.4">
      <c r="A30" s="67" t="s">
        <v>421</v>
      </c>
      <c r="B30" s="71">
        <v>0</v>
      </c>
      <c r="C30" s="11">
        <f t="shared" si="0"/>
        <v>0</v>
      </c>
    </row>
    <row r="31" spans="1:3" x14ac:dyDescent="0.4">
      <c r="A31" s="67" t="s">
        <v>422</v>
      </c>
      <c r="B31" s="71">
        <v>0</v>
      </c>
      <c r="C31" s="11">
        <f t="shared" si="0"/>
        <v>0</v>
      </c>
    </row>
    <row r="32" spans="1:3" x14ac:dyDescent="0.4">
      <c r="A32" s="67" t="s">
        <v>423</v>
      </c>
      <c r="B32" s="71">
        <v>0</v>
      </c>
      <c r="C32" s="11">
        <f t="shared" si="0"/>
        <v>0</v>
      </c>
    </row>
    <row r="33" spans="1:3" x14ac:dyDescent="0.4">
      <c r="A33" s="67" t="s">
        <v>424</v>
      </c>
      <c r="B33" s="71">
        <v>0</v>
      </c>
      <c r="C33" s="11">
        <f t="shared" si="0"/>
        <v>0</v>
      </c>
    </row>
    <row r="34" spans="1:3" x14ac:dyDescent="0.4">
      <c r="A34" s="67" t="s">
        <v>425</v>
      </c>
      <c r="B34" s="71">
        <v>0</v>
      </c>
      <c r="C34" s="11">
        <f t="shared" si="0"/>
        <v>0</v>
      </c>
    </row>
    <row r="35" spans="1:3" x14ac:dyDescent="0.4">
      <c r="A35" s="67" t="s">
        <v>426</v>
      </c>
      <c r="B35" s="71">
        <v>0</v>
      </c>
      <c r="C35" s="11">
        <f t="shared" si="0"/>
        <v>0</v>
      </c>
    </row>
    <row r="36" spans="1:3" x14ac:dyDescent="0.4">
      <c r="A36" s="67" t="s">
        <v>427</v>
      </c>
      <c r="B36" s="71">
        <v>0</v>
      </c>
      <c r="C36" s="11">
        <f t="shared" si="0"/>
        <v>0</v>
      </c>
    </row>
    <row r="37" spans="1:3" x14ac:dyDescent="0.4">
      <c r="A37" s="67" t="s">
        <v>428</v>
      </c>
      <c r="B37" s="71">
        <v>0</v>
      </c>
      <c r="C37" s="11">
        <f t="shared" si="0"/>
        <v>0</v>
      </c>
    </row>
    <row r="38" spans="1:3" x14ac:dyDescent="0.4">
      <c r="A38" s="67" t="s">
        <v>429</v>
      </c>
      <c r="B38" s="71">
        <v>0</v>
      </c>
      <c r="C38" s="11">
        <f t="shared" si="0"/>
        <v>0</v>
      </c>
    </row>
    <row r="39" spans="1:3" x14ac:dyDescent="0.4">
      <c r="A39" s="67" t="s">
        <v>430</v>
      </c>
      <c r="B39" s="71">
        <v>0</v>
      </c>
      <c r="C39" s="11">
        <f t="shared" si="0"/>
        <v>0</v>
      </c>
    </row>
    <row r="40" spans="1:3" x14ac:dyDescent="0.4">
      <c r="A40" s="67" t="s">
        <v>431</v>
      </c>
      <c r="B40" s="71">
        <v>0</v>
      </c>
      <c r="C40" s="11">
        <f t="shared" si="0"/>
        <v>0</v>
      </c>
    </row>
    <row r="41" spans="1:3" x14ac:dyDescent="0.4">
      <c r="A41" s="67" t="s">
        <v>432</v>
      </c>
      <c r="B41" s="71">
        <v>0</v>
      </c>
      <c r="C41" s="11">
        <f t="shared" si="0"/>
        <v>0</v>
      </c>
    </row>
    <row r="42" spans="1:3" x14ac:dyDescent="0.4">
      <c r="A42" s="67" t="s">
        <v>433</v>
      </c>
      <c r="B42" s="71">
        <v>0</v>
      </c>
      <c r="C42" s="11">
        <f t="shared" si="0"/>
        <v>0</v>
      </c>
    </row>
    <row r="43" spans="1:3" x14ac:dyDescent="0.4">
      <c r="A43" s="67" t="s">
        <v>434</v>
      </c>
      <c r="B43" s="71">
        <v>0</v>
      </c>
      <c r="C43" s="11">
        <f t="shared" si="0"/>
        <v>0</v>
      </c>
    </row>
    <row r="44" spans="1:3" x14ac:dyDescent="0.4">
      <c r="A44" s="67" t="s">
        <v>435</v>
      </c>
      <c r="B44" s="71">
        <v>0</v>
      </c>
      <c r="C44" s="11">
        <f t="shared" si="0"/>
        <v>0</v>
      </c>
    </row>
    <row r="45" spans="1:3" x14ac:dyDescent="0.4">
      <c r="A45" s="67" t="s">
        <v>436</v>
      </c>
      <c r="B45" s="71">
        <v>0</v>
      </c>
      <c r="C45" s="11">
        <f t="shared" si="0"/>
        <v>0</v>
      </c>
    </row>
    <row r="46" spans="1:3" x14ac:dyDescent="0.4">
      <c r="A46" s="67" t="s">
        <v>437</v>
      </c>
      <c r="B46" s="71">
        <v>0</v>
      </c>
      <c r="C46" s="11">
        <f t="shared" si="0"/>
        <v>0</v>
      </c>
    </row>
    <row r="47" spans="1:3" x14ac:dyDescent="0.4">
      <c r="A47" s="67" t="s">
        <v>438</v>
      </c>
      <c r="B47" s="71">
        <v>0</v>
      </c>
      <c r="C47" s="11">
        <f t="shared" si="0"/>
        <v>0</v>
      </c>
    </row>
    <row r="48" spans="1:3" x14ac:dyDescent="0.4">
      <c r="A48" s="67" t="s">
        <v>439</v>
      </c>
      <c r="B48" s="71">
        <v>0</v>
      </c>
      <c r="C48" s="11">
        <f t="shared" si="0"/>
        <v>0</v>
      </c>
    </row>
    <row r="49" spans="1:3" x14ac:dyDescent="0.4">
      <c r="A49" s="67" t="s">
        <v>440</v>
      </c>
      <c r="B49" s="71">
        <v>0</v>
      </c>
      <c r="C49" s="11">
        <f t="shared" si="0"/>
        <v>0</v>
      </c>
    </row>
    <row r="50" spans="1:3" x14ac:dyDescent="0.4">
      <c r="A50" s="67" t="s">
        <v>441</v>
      </c>
      <c r="B50" s="71">
        <v>0</v>
      </c>
      <c r="C50" s="11">
        <f t="shared" si="0"/>
        <v>0</v>
      </c>
    </row>
    <row r="51" spans="1:3" x14ac:dyDescent="0.4">
      <c r="A51" s="67" t="s">
        <v>442</v>
      </c>
      <c r="B51" s="71">
        <v>0</v>
      </c>
      <c r="C51" s="11">
        <f t="shared" si="0"/>
        <v>0</v>
      </c>
    </row>
    <row r="52" spans="1:3" x14ac:dyDescent="0.4">
      <c r="A52" s="67" t="s">
        <v>443</v>
      </c>
      <c r="B52" s="71">
        <v>0</v>
      </c>
      <c r="C52" s="11">
        <f>SUM(C4:C51)</f>
        <v>0</v>
      </c>
    </row>
    <row r="53" spans="1:3" x14ac:dyDescent="0.4">
      <c r="A53" s="67" t="s">
        <v>444</v>
      </c>
      <c r="B53" s="71">
        <v>0</v>
      </c>
    </row>
    <row r="54" spans="1:3" x14ac:dyDescent="0.4">
      <c r="A54" s="67" t="s">
        <v>445</v>
      </c>
      <c r="B54" s="71">
        <v>0</v>
      </c>
    </row>
    <row r="55" spans="1:3" x14ac:dyDescent="0.4">
      <c r="A55" s="67" t="s">
        <v>446</v>
      </c>
      <c r="B55" s="71">
        <v>0</v>
      </c>
    </row>
    <row r="56" spans="1:3" x14ac:dyDescent="0.4">
      <c r="A56" s="67" t="s">
        <v>447</v>
      </c>
      <c r="B56" s="71">
        <v>0</v>
      </c>
    </row>
    <row r="57" spans="1:3" x14ac:dyDescent="0.4">
      <c r="A57" s="67" t="s">
        <v>448</v>
      </c>
      <c r="B57" s="71">
        <v>0</v>
      </c>
    </row>
    <row r="58" spans="1:3" x14ac:dyDescent="0.4">
      <c r="A58" s="67" t="s">
        <v>449</v>
      </c>
      <c r="B58" s="71">
        <v>0</v>
      </c>
    </row>
    <row r="59" spans="1:3" x14ac:dyDescent="0.4">
      <c r="A59" s="67" t="s">
        <v>450</v>
      </c>
      <c r="B59" s="71">
        <v>0</v>
      </c>
    </row>
    <row r="60" spans="1:3" x14ac:dyDescent="0.4">
      <c r="A60" s="67" t="s">
        <v>451</v>
      </c>
      <c r="B60" s="71">
        <v>0</v>
      </c>
    </row>
    <row r="61" spans="1:3" x14ac:dyDescent="0.4">
      <c r="A61" s="67" t="s">
        <v>452</v>
      </c>
      <c r="B61" s="71">
        <v>0</v>
      </c>
    </row>
    <row r="62" spans="1:3" x14ac:dyDescent="0.4">
      <c r="A62" s="67" t="s">
        <v>453</v>
      </c>
      <c r="B62" s="71">
        <v>0</v>
      </c>
    </row>
    <row r="63" spans="1:3" x14ac:dyDescent="0.4">
      <c r="A63" s="67" t="s">
        <v>454</v>
      </c>
      <c r="B63" s="71">
        <v>0</v>
      </c>
    </row>
    <row r="64" spans="1:3" x14ac:dyDescent="0.4">
      <c r="A64" s="67" t="s">
        <v>455</v>
      </c>
      <c r="B64" s="71">
        <v>0</v>
      </c>
    </row>
    <row r="65" spans="1:2" x14ac:dyDescent="0.4">
      <c r="A65" s="67" t="s">
        <v>456</v>
      </c>
      <c r="B65" s="71">
        <v>0</v>
      </c>
    </row>
    <row r="66" spans="1:2" x14ac:dyDescent="0.4">
      <c r="A66" s="67" t="s">
        <v>457</v>
      </c>
      <c r="B66" s="71">
        <v>0</v>
      </c>
    </row>
    <row r="67" spans="1:2" x14ac:dyDescent="0.4">
      <c r="A67" s="67" t="s">
        <v>458</v>
      </c>
      <c r="B67" s="71">
        <v>0</v>
      </c>
    </row>
    <row r="68" spans="1:2" x14ac:dyDescent="0.4">
      <c r="A68" s="67" t="s">
        <v>459</v>
      </c>
      <c r="B68" s="71">
        <v>0</v>
      </c>
    </row>
    <row r="69" spans="1:2" x14ac:dyDescent="0.4">
      <c r="A69" s="67" t="s">
        <v>460</v>
      </c>
      <c r="B69" s="71">
        <v>0</v>
      </c>
    </row>
    <row r="70" spans="1:2" x14ac:dyDescent="0.4">
      <c r="A70" s="67" t="s">
        <v>461</v>
      </c>
      <c r="B70" s="71">
        <v>0</v>
      </c>
    </row>
    <row r="71" spans="1:2" x14ac:dyDescent="0.4">
      <c r="A71" s="67" t="s">
        <v>462</v>
      </c>
      <c r="B71" s="71">
        <v>0</v>
      </c>
    </row>
    <row r="72" spans="1:2" x14ac:dyDescent="0.4">
      <c r="A72" s="67" t="s">
        <v>463</v>
      </c>
      <c r="B72" s="71">
        <v>0</v>
      </c>
    </row>
    <row r="73" spans="1:2" x14ac:dyDescent="0.4">
      <c r="A73" s="67" t="s">
        <v>464</v>
      </c>
      <c r="B73" s="71">
        <v>0</v>
      </c>
    </row>
    <row r="74" spans="1:2" x14ac:dyDescent="0.4">
      <c r="A74" s="67" t="s">
        <v>465</v>
      </c>
      <c r="B74" s="71">
        <v>0</v>
      </c>
    </row>
    <row r="75" spans="1:2" x14ac:dyDescent="0.4">
      <c r="A75" s="67" t="s">
        <v>466</v>
      </c>
      <c r="B75" s="71">
        <v>0</v>
      </c>
    </row>
    <row r="76" spans="1:2" x14ac:dyDescent="0.4">
      <c r="A76" s="67" t="s">
        <v>467</v>
      </c>
      <c r="B76" s="71">
        <v>0</v>
      </c>
    </row>
    <row r="77" spans="1:2" x14ac:dyDescent="0.4">
      <c r="A77" s="67" t="s">
        <v>468</v>
      </c>
      <c r="B77" s="71">
        <v>0</v>
      </c>
    </row>
    <row r="78" spans="1:2" x14ac:dyDescent="0.4">
      <c r="A78" s="67" t="s">
        <v>469</v>
      </c>
      <c r="B78" s="71">
        <v>0</v>
      </c>
    </row>
    <row r="79" spans="1:2" x14ac:dyDescent="0.4">
      <c r="A79" s="67" t="s">
        <v>470</v>
      </c>
      <c r="B79" s="71">
        <v>0</v>
      </c>
    </row>
    <row r="80" spans="1:2" x14ac:dyDescent="0.4">
      <c r="A80" s="67" t="s">
        <v>471</v>
      </c>
      <c r="B80" s="71">
        <v>0</v>
      </c>
    </row>
    <row r="81" spans="1:2" x14ac:dyDescent="0.4">
      <c r="A81" s="67" t="s">
        <v>472</v>
      </c>
      <c r="B81" s="71">
        <v>0</v>
      </c>
    </row>
    <row r="82" spans="1:2" x14ac:dyDescent="0.4">
      <c r="A82" s="67" t="s">
        <v>473</v>
      </c>
      <c r="B82" s="71">
        <v>0</v>
      </c>
    </row>
    <row r="83" spans="1:2" x14ac:dyDescent="0.4">
      <c r="A83" s="67" t="s">
        <v>474</v>
      </c>
      <c r="B83" s="71">
        <v>0</v>
      </c>
    </row>
    <row r="84" spans="1:2" x14ac:dyDescent="0.4">
      <c r="A84" s="67" t="s">
        <v>475</v>
      </c>
      <c r="B84" s="71">
        <v>0</v>
      </c>
    </row>
    <row r="85" spans="1:2" x14ac:dyDescent="0.4">
      <c r="A85" s="67" t="s">
        <v>476</v>
      </c>
      <c r="B85" s="71">
        <v>0</v>
      </c>
    </row>
    <row r="86" spans="1:2" x14ac:dyDescent="0.4">
      <c r="A86" s="67" t="s">
        <v>477</v>
      </c>
      <c r="B86" s="71">
        <v>0</v>
      </c>
    </row>
    <row r="87" spans="1:2" x14ac:dyDescent="0.4">
      <c r="A87" s="67" t="s">
        <v>478</v>
      </c>
      <c r="B87" s="71">
        <v>0</v>
      </c>
    </row>
    <row r="88" spans="1:2" x14ac:dyDescent="0.4">
      <c r="A88" s="67" t="s">
        <v>479</v>
      </c>
      <c r="B88" s="71">
        <v>0</v>
      </c>
    </row>
    <row r="89" spans="1:2" x14ac:dyDescent="0.4">
      <c r="A89" s="67" t="s">
        <v>480</v>
      </c>
      <c r="B89" s="71">
        <v>0</v>
      </c>
    </row>
    <row r="90" spans="1:2" x14ac:dyDescent="0.4">
      <c r="A90" s="67" t="s">
        <v>481</v>
      </c>
      <c r="B90" s="71">
        <v>0</v>
      </c>
    </row>
    <row r="91" spans="1:2" x14ac:dyDescent="0.4">
      <c r="A91" s="67" t="s">
        <v>482</v>
      </c>
      <c r="B91" s="71">
        <v>0</v>
      </c>
    </row>
    <row r="92" spans="1:2" x14ac:dyDescent="0.4">
      <c r="A92" s="67" t="s">
        <v>483</v>
      </c>
      <c r="B92" s="71">
        <v>0</v>
      </c>
    </row>
    <row r="93" spans="1:2" x14ac:dyDescent="0.4">
      <c r="A93" s="67" t="s">
        <v>484</v>
      </c>
      <c r="B93" s="71">
        <v>0</v>
      </c>
    </row>
    <row r="94" spans="1:2" x14ac:dyDescent="0.4">
      <c r="A94" s="67" t="s">
        <v>485</v>
      </c>
      <c r="B94" s="71">
        <v>0</v>
      </c>
    </row>
    <row r="95" spans="1:2" x14ac:dyDescent="0.4">
      <c r="A95" s="67" t="s">
        <v>486</v>
      </c>
      <c r="B95" s="71">
        <v>0</v>
      </c>
    </row>
    <row r="96" spans="1:2" x14ac:dyDescent="0.4">
      <c r="A96" s="67" t="s">
        <v>487</v>
      </c>
      <c r="B96" s="71">
        <v>0</v>
      </c>
    </row>
    <row r="97" spans="1:2" x14ac:dyDescent="0.4">
      <c r="A97" s="67" t="s">
        <v>488</v>
      </c>
      <c r="B97" s="71">
        <v>0</v>
      </c>
    </row>
    <row r="98" spans="1:2" x14ac:dyDescent="0.4">
      <c r="A98" s="67" t="s">
        <v>489</v>
      </c>
      <c r="B98" s="71">
        <v>0</v>
      </c>
    </row>
    <row r="99" spans="1:2" x14ac:dyDescent="0.4">
      <c r="A99" s="67" t="s">
        <v>490</v>
      </c>
      <c r="B99" s="71">
        <v>0</v>
      </c>
    </row>
    <row r="100" spans="1:2" x14ac:dyDescent="0.4">
      <c r="A100" s="67" t="s">
        <v>491</v>
      </c>
      <c r="B100" s="71">
        <v>0</v>
      </c>
    </row>
    <row r="101" spans="1:2" x14ac:dyDescent="0.4">
      <c r="A101" s="67" t="s">
        <v>492</v>
      </c>
      <c r="B101" s="71">
        <v>0</v>
      </c>
    </row>
    <row r="102" spans="1:2" x14ac:dyDescent="0.4">
      <c r="A102" s="67" t="s">
        <v>493</v>
      </c>
      <c r="B102" s="71">
        <v>0</v>
      </c>
    </row>
    <row r="103" spans="1:2" x14ac:dyDescent="0.4">
      <c r="A103" s="67" t="s">
        <v>494</v>
      </c>
      <c r="B103" s="71">
        <v>0</v>
      </c>
    </row>
    <row r="104" spans="1:2" x14ac:dyDescent="0.4">
      <c r="A104" s="67" t="s">
        <v>495</v>
      </c>
      <c r="B104" s="71">
        <v>0</v>
      </c>
    </row>
    <row r="105" spans="1:2" x14ac:dyDescent="0.4">
      <c r="A105" s="67" t="s">
        <v>496</v>
      </c>
      <c r="B105" s="71">
        <v>0</v>
      </c>
    </row>
    <row r="106" spans="1:2" x14ac:dyDescent="0.4">
      <c r="A106" s="67" t="s">
        <v>497</v>
      </c>
      <c r="B106" s="71">
        <v>0</v>
      </c>
    </row>
    <row r="107" spans="1:2" x14ac:dyDescent="0.4">
      <c r="A107" s="67" t="s">
        <v>498</v>
      </c>
      <c r="B107" s="71">
        <v>0</v>
      </c>
    </row>
    <row r="108" spans="1:2" x14ac:dyDescent="0.4">
      <c r="A108" s="67" t="s">
        <v>499</v>
      </c>
      <c r="B108" s="71">
        <v>0</v>
      </c>
    </row>
    <row r="109" spans="1:2" x14ac:dyDescent="0.4">
      <c r="A109" s="67" t="s">
        <v>500</v>
      </c>
      <c r="B109" s="71">
        <v>0</v>
      </c>
    </row>
    <row r="110" spans="1:2" x14ac:dyDescent="0.4">
      <c r="A110" s="67" t="s">
        <v>501</v>
      </c>
      <c r="B110" s="71">
        <v>0</v>
      </c>
    </row>
    <row r="111" spans="1:2" x14ac:dyDescent="0.4">
      <c r="A111" s="67" t="s">
        <v>502</v>
      </c>
      <c r="B111" s="71">
        <v>0</v>
      </c>
    </row>
    <row r="112" spans="1:2" x14ac:dyDescent="0.4">
      <c r="A112" s="67" t="s">
        <v>503</v>
      </c>
      <c r="B112" s="71">
        <v>0</v>
      </c>
    </row>
    <row r="113" spans="1:2" x14ac:dyDescent="0.4">
      <c r="A113" s="67" t="s">
        <v>504</v>
      </c>
      <c r="B113" s="71">
        <v>0</v>
      </c>
    </row>
    <row r="114" spans="1:2" x14ac:dyDescent="0.4">
      <c r="A114" s="67" t="s">
        <v>505</v>
      </c>
      <c r="B114" s="71">
        <v>0</v>
      </c>
    </row>
    <row r="115" spans="1:2" x14ac:dyDescent="0.4">
      <c r="A115" s="67" t="s">
        <v>506</v>
      </c>
      <c r="B115" s="71">
        <v>0</v>
      </c>
    </row>
    <row r="116" spans="1:2" x14ac:dyDescent="0.4">
      <c r="A116" s="67" t="s">
        <v>507</v>
      </c>
      <c r="B116" s="71">
        <v>0</v>
      </c>
    </row>
    <row r="117" spans="1:2" x14ac:dyDescent="0.4">
      <c r="A117" s="67" t="s">
        <v>508</v>
      </c>
      <c r="B117" s="71">
        <v>0</v>
      </c>
    </row>
    <row r="118" spans="1:2" x14ac:dyDescent="0.4">
      <c r="A118" s="67" t="s">
        <v>509</v>
      </c>
      <c r="B118" s="71">
        <v>0</v>
      </c>
    </row>
    <row r="119" spans="1:2" x14ac:dyDescent="0.4">
      <c r="A119" s="67" t="s">
        <v>510</v>
      </c>
      <c r="B119" s="71">
        <v>0</v>
      </c>
    </row>
    <row r="120" spans="1:2" x14ac:dyDescent="0.4">
      <c r="A120" s="67" t="s">
        <v>511</v>
      </c>
      <c r="B120" s="71">
        <v>0</v>
      </c>
    </row>
    <row r="121" spans="1:2" x14ac:dyDescent="0.4">
      <c r="A121" s="67" t="s">
        <v>512</v>
      </c>
      <c r="B121" s="71">
        <v>0</v>
      </c>
    </row>
    <row r="122" spans="1:2" x14ac:dyDescent="0.4">
      <c r="A122" s="67" t="s">
        <v>513</v>
      </c>
      <c r="B122" s="71">
        <v>0</v>
      </c>
    </row>
    <row r="123" spans="1:2" x14ac:dyDescent="0.4">
      <c r="A123" s="67" t="s">
        <v>514</v>
      </c>
      <c r="B123" s="71">
        <v>0</v>
      </c>
    </row>
    <row r="124" spans="1:2" x14ac:dyDescent="0.4">
      <c r="A124" s="67" t="s">
        <v>515</v>
      </c>
      <c r="B124" s="71">
        <v>0</v>
      </c>
    </row>
    <row r="125" spans="1:2" x14ac:dyDescent="0.4">
      <c r="A125" s="67" t="s">
        <v>516</v>
      </c>
      <c r="B125" s="71">
        <v>0</v>
      </c>
    </row>
    <row r="126" spans="1:2" x14ac:dyDescent="0.4">
      <c r="A126" s="67" t="s">
        <v>517</v>
      </c>
      <c r="B126" s="71">
        <v>0</v>
      </c>
    </row>
    <row r="127" spans="1:2" x14ac:dyDescent="0.4">
      <c r="A127" s="67" t="s">
        <v>518</v>
      </c>
      <c r="B127" s="71">
        <v>0</v>
      </c>
    </row>
    <row r="128" spans="1:2" x14ac:dyDescent="0.4">
      <c r="A128" s="67" t="s">
        <v>519</v>
      </c>
      <c r="B128" s="71">
        <v>0</v>
      </c>
    </row>
    <row r="129" spans="1:2" x14ac:dyDescent="0.4">
      <c r="A129" s="67" t="s">
        <v>520</v>
      </c>
      <c r="B129" s="71">
        <v>0</v>
      </c>
    </row>
    <row r="130" spans="1:2" x14ac:dyDescent="0.4">
      <c r="A130" s="67" t="s">
        <v>521</v>
      </c>
      <c r="B130" s="71">
        <v>0</v>
      </c>
    </row>
    <row r="131" spans="1:2" x14ac:dyDescent="0.4">
      <c r="A131" s="67" t="s">
        <v>522</v>
      </c>
      <c r="B131" s="71">
        <v>0</v>
      </c>
    </row>
    <row r="132" spans="1:2" x14ac:dyDescent="0.4">
      <c r="A132" s="67" t="s">
        <v>523</v>
      </c>
      <c r="B132" s="71">
        <v>0</v>
      </c>
    </row>
    <row r="133" spans="1:2" x14ac:dyDescent="0.4">
      <c r="A133" s="67" t="s">
        <v>524</v>
      </c>
      <c r="B133" s="71">
        <v>0</v>
      </c>
    </row>
    <row r="134" spans="1:2" x14ac:dyDescent="0.4">
      <c r="A134" s="67" t="s">
        <v>525</v>
      </c>
      <c r="B134" s="71">
        <v>0</v>
      </c>
    </row>
    <row r="135" spans="1:2" x14ac:dyDescent="0.4">
      <c r="A135" s="67" t="s">
        <v>526</v>
      </c>
      <c r="B135" s="71">
        <v>0</v>
      </c>
    </row>
    <row r="136" spans="1:2" x14ac:dyDescent="0.4">
      <c r="A136" s="67" t="s">
        <v>527</v>
      </c>
      <c r="B136" s="71">
        <v>0</v>
      </c>
    </row>
    <row r="137" spans="1:2" x14ac:dyDescent="0.4">
      <c r="A137" s="67" t="s">
        <v>528</v>
      </c>
      <c r="B137" s="71">
        <v>0</v>
      </c>
    </row>
    <row r="138" spans="1:2" x14ac:dyDescent="0.4">
      <c r="A138" s="67" t="s">
        <v>529</v>
      </c>
      <c r="B138" s="71">
        <v>0</v>
      </c>
    </row>
    <row r="139" spans="1:2" x14ac:dyDescent="0.4">
      <c r="A139" s="67" t="s">
        <v>530</v>
      </c>
      <c r="B139" s="71">
        <v>0</v>
      </c>
    </row>
    <row r="140" spans="1:2" x14ac:dyDescent="0.4">
      <c r="A140" s="67" t="s">
        <v>531</v>
      </c>
      <c r="B140" s="71">
        <v>0</v>
      </c>
    </row>
    <row r="141" spans="1:2" x14ac:dyDescent="0.4">
      <c r="A141" s="67" t="s">
        <v>532</v>
      </c>
      <c r="B141" s="71">
        <v>0</v>
      </c>
    </row>
    <row r="142" spans="1:2" x14ac:dyDescent="0.4">
      <c r="A142" s="67" t="s">
        <v>533</v>
      </c>
      <c r="B142" s="71">
        <v>0</v>
      </c>
    </row>
    <row r="143" spans="1:2" x14ac:dyDescent="0.4">
      <c r="A143" s="67" t="s">
        <v>534</v>
      </c>
      <c r="B143" s="71">
        <v>0</v>
      </c>
    </row>
    <row r="144" spans="1:2" x14ac:dyDescent="0.4">
      <c r="A144" s="67" t="s">
        <v>535</v>
      </c>
      <c r="B144" s="71">
        <v>0</v>
      </c>
    </row>
    <row r="145" spans="1:2" x14ac:dyDescent="0.4">
      <c r="A145" s="67" t="s">
        <v>536</v>
      </c>
      <c r="B145" s="71">
        <v>0</v>
      </c>
    </row>
    <row r="146" spans="1:2" x14ac:dyDescent="0.4">
      <c r="A146" s="67" t="s">
        <v>537</v>
      </c>
      <c r="B146" s="71">
        <v>0</v>
      </c>
    </row>
    <row r="147" spans="1:2" x14ac:dyDescent="0.4">
      <c r="A147" s="67" t="s">
        <v>538</v>
      </c>
      <c r="B147" s="71">
        <v>0</v>
      </c>
    </row>
    <row r="148" spans="1:2" x14ac:dyDescent="0.4">
      <c r="A148" s="67" t="s">
        <v>539</v>
      </c>
      <c r="B148" s="71">
        <v>0</v>
      </c>
    </row>
    <row r="149" spans="1:2" x14ac:dyDescent="0.4">
      <c r="A149" s="67" t="s">
        <v>540</v>
      </c>
      <c r="B149" s="71">
        <v>0</v>
      </c>
    </row>
    <row r="150" spans="1:2" x14ac:dyDescent="0.4">
      <c r="A150" s="67" t="s">
        <v>541</v>
      </c>
      <c r="B150" s="71">
        <v>0</v>
      </c>
    </row>
    <row r="151" spans="1:2" x14ac:dyDescent="0.4">
      <c r="A151" s="67" t="s">
        <v>542</v>
      </c>
      <c r="B151" s="71">
        <v>0</v>
      </c>
    </row>
    <row r="152" spans="1:2" x14ac:dyDescent="0.4">
      <c r="A152" s="67" t="s">
        <v>543</v>
      </c>
      <c r="B152" s="71">
        <v>0</v>
      </c>
    </row>
    <row r="153" spans="1:2" x14ac:dyDescent="0.4">
      <c r="A153" s="67" t="s">
        <v>544</v>
      </c>
      <c r="B153" s="71">
        <v>0</v>
      </c>
    </row>
    <row r="154" spans="1:2" x14ac:dyDescent="0.4">
      <c r="A154" s="67" t="s">
        <v>545</v>
      </c>
      <c r="B154" s="71">
        <v>0</v>
      </c>
    </row>
    <row r="155" spans="1:2" x14ac:dyDescent="0.4">
      <c r="A155" s="67" t="s">
        <v>546</v>
      </c>
      <c r="B155" s="71">
        <v>0</v>
      </c>
    </row>
    <row r="156" spans="1:2" x14ac:dyDescent="0.4">
      <c r="A156" s="67" t="s">
        <v>547</v>
      </c>
      <c r="B156" s="71">
        <v>0</v>
      </c>
    </row>
    <row r="157" spans="1:2" x14ac:dyDescent="0.4">
      <c r="A157" s="67" t="s">
        <v>548</v>
      </c>
      <c r="B157" s="71">
        <v>0</v>
      </c>
    </row>
    <row r="158" spans="1:2" x14ac:dyDescent="0.4">
      <c r="A158" s="67" t="s">
        <v>549</v>
      </c>
      <c r="B158" s="71">
        <v>0</v>
      </c>
    </row>
    <row r="159" spans="1:2" x14ac:dyDescent="0.4">
      <c r="A159" s="67" t="s">
        <v>550</v>
      </c>
      <c r="B159" s="71">
        <v>0</v>
      </c>
    </row>
    <row r="160" spans="1:2" x14ac:dyDescent="0.4">
      <c r="A160" s="67" t="s">
        <v>551</v>
      </c>
      <c r="B160" s="71">
        <v>0</v>
      </c>
    </row>
    <row r="161" spans="1:2" x14ac:dyDescent="0.4">
      <c r="A161" s="67" t="s">
        <v>552</v>
      </c>
      <c r="B161" s="71">
        <v>0</v>
      </c>
    </row>
    <row r="162" spans="1:2" x14ac:dyDescent="0.4">
      <c r="A162" s="67" t="s">
        <v>553</v>
      </c>
      <c r="B162" s="71">
        <v>0</v>
      </c>
    </row>
    <row r="163" spans="1:2" x14ac:dyDescent="0.4">
      <c r="A163" s="67" t="s">
        <v>554</v>
      </c>
      <c r="B163" s="71">
        <v>0</v>
      </c>
    </row>
    <row r="164" spans="1:2" x14ac:dyDescent="0.4">
      <c r="A164" s="67" t="s">
        <v>555</v>
      </c>
      <c r="B164" s="71">
        <v>0</v>
      </c>
    </row>
    <row r="165" spans="1:2" x14ac:dyDescent="0.4">
      <c r="A165" s="67" t="s">
        <v>556</v>
      </c>
      <c r="B165" s="71">
        <v>0</v>
      </c>
    </row>
    <row r="166" spans="1:2" x14ac:dyDescent="0.4">
      <c r="A166" s="67" t="s">
        <v>557</v>
      </c>
      <c r="B166" s="71">
        <v>0</v>
      </c>
    </row>
    <row r="167" spans="1:2" x14ac:dyDescent="0.4">
      <c r="A167" s="67" t="s">
        <v>558</v>
      </c>
      <c r="B167" s="71">
        <v>0</v>
      </c>
    </row>
    <row r="168" spans="1:2" x14ac:dyDescent="0.4">
      <c r="A168" s="67" t="s">
        <v>559</v>
      </c>
      <c r="B168" s="71">
        <v>0</v>
      </c>
    </row>
    <row r="169" spans="1:2" x14ac:dyDescent="0.4">
      <c r="A169" s="67" t="s">
        <v>560</v>
      </c>
      <c r="B169" s="71">
        <v>0</v>
      </c>
    </row>
    <row r="170" spans="1:2" x14ac:dyDescent="0.4">
      <c r="A170" s="67" t="s">
        <v>561</v>
      </c>
      <c r="B170" s="71">
        <v>0</v>
      </c>
    </row>
    <row r="171" spans="1:2" x14ac:dyDescent="0.4">
      <c r="A171" s="67" t="s">
        <v>562</v>
      </c>
      <c r="B171" s="71">
        <v>0</v>
      </c>
    </row>
    <row r="172" spans="1:2" x14ac:dyDescent="0.4">
      <c r="A172" s="67" t="s">
        <v>563</v>
      </c>
      <c r="B172" s="71">
        <v>0</v>
      </c>
    </row>
    <row r="173" spans="1:2" x14ac:dyDescent="0.4">
      <c r="A173" s="67" t="s">
        <v>564</v>
      </c>
      <c r="B173" s="71">
        <v>0</v>
      </c>
    </row>
    <row r="174" spans="1:2" x14ac:dyDescent="0.4">
      <c r="A174" s="67" t="s">
        <v>565</v>
      </c>
      <c r="B174" s="71">
        <v>0</v>
      </c>
    </row>
    <row r="175" spans="1:2" x14ac:dyDescent="0.4">
      <c r="A175" s="67" t="s">
        <v>566</v>
      </c>
      <c r="B175" s="71">
        <v>0</v>
      </c>
    </row>
    <row r="176" spans="1:2" x14ac:dyDescent="0.4">
      <c r="A176" s="67" t="s">
        <v>567</v>
      </c>
      <c r="B176" s="71">
        <v>0</v>
      </c>
    </row>
    <row r="177" spans="1:2" x14ac:dyDescent="0.4">
      <c r="A177" s="67" t="s">
        <v>568</v>
      </c>
      <c r="B177" s="71">
        <v>0</v>
      </c>
    </row>
    <row r="178" spans="1:2" x14ac:dyDescent="0.4">
      <c r="A178" s="67" t="s">
        <v>569</v>
      </c>
      <c r="B178" s="71">
        <v>0</v>
      </c>
    </row>
    <row r="179" spans="1:2" x14ac:dyDescent="0.4">
      <c r="A179" s="67" t="s">
        <v>570</v>
      </c>
      <c r="B179" s="71">
        <v>0</v>
      </c>
    </row>
    <row r="180" spans="1:2" x14ac:dyDescent="0.4">
      <c r="A180" s="67" t="s">
        <v>571</v>
      </c>
      <c r="B180" s="71">
        <v>0</v>
      </c>
    </row>
    <row r="181" spans="1:2" x14ac:dyDescent="0.4">
      <c r="A181" s="67" t="s">
        <v>572</v>
      </c>
      <c r="B181" s="71">
        <v>0</v>
      </c>
    </row>
    <row r="182" spans="1:2" x14ac:dyDescent="0.4">
      <c r="A182" s="67" t="s">
        <v>573</v>
      </c>
      <c r="B182" s="71">
        <v>0</v>
      </c>
    </row>
    <row r="183" spans="1:2" x14ac:dyDescent="0.4">
      <c r="A183" s="67" t="s">
        <v>574</v>
      </c>
      <c r="B183" s="71">
        <v>0</v>
      </c>
    </row>
    <row r="184" spans="1:2" x14ac:dyDescent="0.4">
      <c r="A184" s="67" t="s">
        <v>575</v>
      </c>
      <c r="B184" s="71">
        <v>0</v>
      </c>
    </row>
    <row r="185" spans="1:2" x14ac:dyDescent="0.4">
      <c r="A185" s="67" t="s">
        <v>576</v>
      </c>
      <c r="B185" s="71">
        <v>0</v>
      </c>
    </row>
    <row r="186" spans="1:2" x14ac:dyDescent="0.4">
      <c r="A186" s="67" t="s">
        <v>577</v>
      </c>
      <c r="B186" s="71">
        <v>0</v>
      </c>
    </row>
    <row r="187" spans="1:2" x14ac:dyDescent="0.4">
      <c r="A187" s="67" t="s">
        <v>578</v>
      </c>
      <c r="B187" s="71">
        <v>0</v>
      </c>
    </row>
    <row r="188" spans="1:2" x14ac:dyDescent="0.4">
      <c r="A188" s="67" t="s">
        <v>579</v>
      </c>
      <c r="B188" s="71">
        <v>0</v>
      </c>
    </row>
    <row r="189" spans="1:2" x14ac:dyDescent="0.4">
      <c r="A189" s="67" t="s">
        <v>580</v>
      </c>
      <c r="B189" s="71">
        <v>0</v>
      </c>
    </row>
    <row r="190" spans="1:2" x14ac:dyDescent="0.4">
      <c r="A190" s="67" t="s">
        <v>581</v>
      </c>
      <c r="B190" s="71">
        <v>0</v>
      </c>
    </row>
    <row r="191" spans="1:2" x14ac:dyDescent="0.4">
      <c r="A191" s="67" t="s">
        <v>582</v>
      </c>
      <c r="B191" s="71">
        <v>0</v>
      </c>
    </row>
    <row r="192" spans="1:2" x14ac:dyDescent="0.4">
      <c r="A192" s="67" t="s">
        <v>583</v>
      </c>
      <c r="B192" s="71">
        <v>0</v>
      </c>
    </row>
    <row r="193" spans="1:2" x14ac:dyDescent="0.4">
      <c r="A193" s="67" t="s">
        <v>584</v>
      </c>
      <c r="B193" s="71">
        <v>0</v>
      </c>
    </row>
    <row r="194" spans="1:2" x14ac:dyDescent="0.4">
      <c r="A194" s="67" t="s">
        <v>585</v>
      </c>
      <c r="B194" s="71">
        <v>0</v>
      </c>
    </row>
    <row r="195" spans="1:2" x14ac:dyDescent="0.4">
      <c r="A195" s="67" t="s">
        <v>586</v>
      </c>
      <c r="B195" s="71">
        <v>0</v>
      </c>
    </row>
    <row r="196" spans="1:2" x14ac:dyDescent="0.4">
      <c r="A196" s="67" t="s">
        <v>587</v>
      </c>
      <c r="B196" s="71">
        <v>0</v>
      </c>
    </row>
    <row r="197" spans="1:2" x14ac:dyDescent="0.4">
      <c r="A197" s="67" t="s">
        <v>588</v>
      </c>
      <c r="B197" s="71">
        <v>0</v>
      </c>
    </row>
    <row r="198" spans="1:2" x14ac:dyDescent="0.4">
      <c r="A198" s="67" t="s">
        <v>589</v>
      </c>
      <c r="B198" s="71">
        <v>0</v>
      </c>
    </row>
    <row r="199" spans="1:2" x14ac:dyDescent="0.4">
      <c r="A199" s="67" t="s">
        <v>590</v>
      </c>
      <c r="B199" s="71">
        <v>0</v>
      </c>
    </row>
    <row r="200" spans="1:2" x14ac:dyDescent="0.4">
      <c r="A200" s="67" t="s">
        <v>591</v>
      </c>
      <c r="B200" s="71">
        <v>0</v>
      </c>
    </row>
    <row r="201" spans="1:2" x14ac:dyDescent="0.4">
      <c r="A201" s="67" t="s">
        <v>592</v>
      </c>
      <c r="B201" s="71">
        <v>0</v>
      </c>
    </row>
    <row r="202" spans="1:2" x14ac:dyDescent="0.4">
      <c r="A202" s="67" t="s">
        <v>593</v>
      </c>
      <c r="B202" s="71">
        <v>0</v>
      </c>
    </row>
    <row r="203" spans="1:2" x14ac:dyDescent="0.4">
      <c r="A203" s="67" t="s">
        <v>594</v>
      </c>
      <c r="B203" s="71">
        <v>0</v>
      </c>
    </row>
    <row r="204" spans="1:2" x14ac:dyDescent="0.4">
      <c r="A204" s="67" t="s">
        <v>595</v>
      </c>
      <c r="B204" s="71">
        <v>0</v>
      </c>
    </row>
    <row r="205" spans="1:2" x14ac:dyDescent="0.4">
      <c r="A205" s="67" t="s">
        <v>596</v>
      </c>
      <c r="B205" s="71">
        <v>0</v>
      </c>
    </row>
    <row r="206" spans="1:2" x14ac:dyDescent="0.4">
      <c r="A206" s="67" t="s">
        <v>597</v>
      </c>
      <c r="B206" s="71">
        <v>0</v>
      </c>
    </row>
    <row r="207" spans="1:2" x14ac:dyDescent="0.4">
      <c r="A207" s="67" t="s">
        <v>598</v>
      </c>
      <c r="B207" s="71">
        <v>0</v>
      </c>
    </row>
    <row r="208" spans="1:2" x14ac:dyDescent="0.4">
      <c r="A208" s="67" t="s">
        <v>599</v>
      </c>
      <c r="B208" s="71">
        <v>0</v>
      </c>
    </row>
    <row r="209" spans="1:2" x14ac:dyDescent="0.4">
      <c r="A209" s="67" t="s">
        <v>600</v>
      </c>
      <c r="B209" s="71">
        <v>0</v>
      </c>
    </row>
    <row r="210" spans="1:2" x14ac:dyDescent="0.4">
      <c r="A210" s="67" t="s">
        <v>601</v>
      </c>
      <c r="B210" s="71">
        <v>0</v>
      </c>
    </row>
    <row r="211" spans="1:2" x14ac:dyDescent="0.4">
      <c r="A211" s="67" t="s">
        <v>602</v>
      </c>
      <c r="B211" s="71">
        <v>0</v>
      </c>
    </row>
    <row r="212" spans="1:2" x14ac:dyDescent="0.4">
      <c r="A212" s="67" t="s">
        <v>603</v>
      </c>
      <c r="B212" s="71">
        <v>0</v>
      </c>
    </row>
    <row r="213" spans="1:2" x14ac:dyDescent="0.4">
      <c r="A213" s="67" t="s">
        <v>604</v>
      </c>
      <c r="B213" s="71">
        <v>0</v>
      </c>
    </row>
    <row r="214" spans="1:2" x14ac:dyDescent="0.4">
      <c r="A214" s="67" t="s">
        <v>605</v>
      </c>
      <c r="B214" s="71">
        <v>0</v>
      </c>
    </row>
    <row r="215" spans="1:2" x14ac:dyDescent="0.4">
      <c r="A215" s="67" t="s">
        <v>606</v>
      </c>
      <c r="B215" s="71">
        <v>0</v>
      </c>
    </row>
    <row r="216" spans="1:2" x14ac:dyDescent="0.4">
      <c r="A216" s="67" t="s">
        <v>607</v>
      </c>
      <c r="B216" s="71">
        <v>0</v>
      </c>
    </row>
    <row r="217" spans="1:2" x14ac:dyDescent="0.4">
      <c r="A217" s="67" t="s">
        <v>608</v>
      </c>
      <c r="B217" s="71">
        <v>0</v>
      </c>
    </row>
    <row r="218" spans="1:2" x14ac:dyDescent="0.4">
      <c r="A218" s="67" t="s">
        <v>609</v>
      </c>
      <c r="B218" s="71">
        <v>0</v>
      </c>
    </row>
    <row r="219" spans="1:2" x14ac:dyDescent="0.4">
      <c r="A219" s="67" t="s">
        <v>610</v>
      </c>
      <c r="B219" s="71">
        <v>0</v>
      </c>
    </row>
    <row r="220" spans="1:2" x14ac:dyDescent="0.4">
      <c r="A220" s="67" t="s">
        <v>611</v>
      </c>
      <c r="B220" s="71">
        <v>0</v>
      </c>
    </row>
    <row r="221" spans="1:2" x14ac:dyDescent="0.4">
      <c r="A221" s="67" t="s">
        <v>612</v>
      </c>
      <c r="B221" s="71">
        <v>0</v>
      </c>
    </row>
    <row r="222" spans="1:2" x14ac:dyDescent="0.4">
      <c r="A222" s="67" t="s">
        <v>613</v>
      </c>
      <c r="B222" s="71">
        <v>0</v>
      </c>
    </row>
    <row r="223" spans="1:2" x14ac:dyDescent="0.4">
      <c r="A223" s="67" t="s">
        <v>614</v>
      </c>
      <c r="B223" s="71">
        <v>0</v>
      </c>
    </row>
    <row r="224" spans="1:2" x14ac:dyDescent="0.4">
      <c r="A224" s="67" t="s">
        <v>615</v>
      </c>
      <c r="B224" s="71">
        <v>0</v>
      </c>
    </row>
    <row r="225" spans="1:2" x14ac:dyDescent="0.4">
      <c r="A225" s="67" t="s">
        <v>616</v>
      </c>
      <c r="B225" s="71">
        <v>0</v>
      </c>
    </row>
    <row r="226" spans="1:2" x14ac:dyDescent="0.4">
      <c r="A226" s="67" t="s">
        <v>617</v>
      </c>
      <c r="B226" s="71">
        <v>0</v>
      </c>
    </row>
    <row r="227" spans="1:2" x14ac:dyDescent="0.4">
      <c r="A227" s="67" t="s">
        <v>618</v>
      </c>
      <c r="B227" s="71">
        <v>0</v>
      </c>
    </row>
    <row r="228" spans="1:2" x14ac:dyDescent="0.4">
      <c r="A228" s="67" t="s">
        <v>619</v>
      </c>
      <c r="B228" s="71">
        <v>0</v>
      </c>
    </row>
    <row r="229" spans="1:2" x14ac:dyDescent="0.4">
      <c r="A229" s="67" t="s">
        <v>620</v>
      </c>
      <c r="B229" s="71">
        <v>0</v>
      </c>
    </row>
    <row r="230" spans="1:2" x14ac:dyDescent="0.4">
      <c r="A230" s="67" t="s">
        <v>621</v>
      </c>
      <c r="B230" s="71">
        <v>0</v>
      </c>
    </row>
    <row r="231" spans="1:2" x14ac:dyDescent="0.4">
      <c r="A231" s="67" t="s">
        <v>622</v>
      </c>
      <c r="B231" s="71">
        <v>0</v>
      </c>
    </row>
    <row r="232" spans="1:2" x14ac:dyDescent="0.4">
      <c r="A232" s="67" t="s">
        <v>623</v>
      </c>
      <c r="B232" s="71">
        <v>0</v>
      </c>
    </row>
    <row r="233" spans="1:2" x14ac:dyDescent="0.4">
      <c r="A233" s="67" t="s">
        <v>624</v>
      </c>
      <c r="B233" s="71">
        <v>0</v>
      </c>
    </row>
    <row r="234" spans="1:2" x14ac:dyDescent="0.4">
      <c r="A234" s="67" t="s">
        <v>625</v>
      </c>
      <c r="B234" s="71">
        <v>0</v>
      </c>
    </row>
    <row r="235" spans="1:2" x14ac:dyDescent="0.4">
      <c r="A235" s="67" t="s">
        <v>626</v>
      </c>
      <c r="B235" s="71">
        <v>0</v>
      </c>
    </row>
    <row r="236" spans="1:2" x14ac:dyDescent="0.4">
      <c r="A236" s="67" t="s">
        <v>627</v>
      </c>
      <c r="B236" s="71">
        <v>0</v>
      </c>
    </row>
    <row r="237" spans="1:2" x14ac:dyDescent="0.4">
      <c r="A237" s="67" t="s">
        <v>628</v>
      </c>
      <c r="B237" s="71">
        <v>0</v>
      </c>
    </row>
    <row r="238" spans="1:2" x14ac:dyDescent="0.4">
      <c r="A238" s="67" t="s">
        <v>629</v>
      </c>
      <c r="B238" s="71">
        <v>0</v>
      </c>
    </row>
    <row r="239" spans="1:2" x14ac:dyDescent="0.4">
      <c r="A239" s="67" t="s">
        <v>630</v>
      </c>
      <c r="B239" s="71">
        <v>0</v>
      </c>
    </row>
    <row r="240" spans="1:2" x14ac:dyDescent="0.4">
      <c r="A240" s="67" t="s">
        <v>631</v>
      </c>
      <c r="B240" s="71">
        <v>0</v>
      </c>
    </row>
    <row r="241" spans="1:2" x14ac:dyDescent="0.4">
      <c r="A241" s="67" t="s">
        <v>308</v>
      </c>
      <c r="B241" s="71">
        <v>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report</vt:lpstr>
      <vt:lpstr>report_new</vt:lpstr>
      <vt:lpstr>RW</vt:lpstr>
      <vt:lpstr>Sheet1</vt:lpstr>
      <vt:lpstr>SF</vt:lpstr>
      <vt:lpstr>Analysis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Tomizawa</dc:creator>
  <cp:lastModifiedBy>Masayuki Tomizawa</cp:lastModifiedBy>
  <dcterms:created xsi:type="dcterms:W3CDTF">2016-07-20T06:36:28Z</dcterms:created>
  <dcterms:modified xsi:type="dcterms:W3CDTF">2017-06-09T06:46:06Z</dcterms:modified>
</cp:coreProperties>
</file>